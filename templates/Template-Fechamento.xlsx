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5.xml" ContentType="application/vnd.openxmlformats-officedocument.drawing+xml"/>
  <Override PartName="/xl/tables/table20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tables/table21.xml" ContentType="application/vnd.openxmlformats-officedocument.spreadsheetml.table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009" documentId="8_{C6C56A3F-2425-44CF-8BE3-ECE51A50A5D5}" xr6:coauthVersionLast="47" xr6:coauthVersionMax="47" xr10:uidLastSave="{CC5EC3F3-C151-49BF-9AFE-110695542F6F}"/>
  <bookViews>
    <workbookView xWindow="-120" yWindow="-120" windowWidth="29040" windowHeight="15840" activeTab="9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reunião" sheetId="32" r:id="rId5"/>
    <sheet name="n&amp;cn" sheetId="30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desp.m.ik" sheetId="39" r:id="rId14"/>
    <sheet name="m.vb" sheetId="37" r:id="rId15"/>
    <sheet name="rec" sheetId="9" r:id="rId16"/>
    <sheet name="unis.cruzado" sheetId="26" r:id="rId17"/>
    <sheet name="contr" sheetId="15" r:id="rId18"/>
    <sheet name="desp" sheetId="17" r:id="rId19"/>
    <sheet name="ecns" sheetId="8" r:id="rId20"/>
    <sheet name="empr" sheetId="38" r:id="rId21"/>
    <sheet name="estq" sheetId="7" r:id="rId22"/>
    <sheet name="unis" sheetId="11" r:id="rId23"/>
    <sheet name="caixa" sheetId="48" r:id="rId24"/>
    <sheet name="02-01-26" sheetId="47" r:id="rId25"/>
    <sheet name="02-02-26" sheetId="46" r:id="rId26"/>
    <sheet name="02-03-26" sheetId="45" r:id="rId27"/>
    <sheet name="02-04-26" sheetId="44" r:id="rId28"/>
    <sheet name="04-05-26" sheetId="43" r:id="rId29"/>
    <sheet name="01-06-26" sheetId="41" r:id="rId30"/>
    <sheet name="01-07-26" sheetId="42" r:id="rId31"/>
    <sheet name="caixa0" sheetId="35" r:id="rId32"/>
  </sheets>
  <definedNames>
    <definedName name="_xlnm._FilterDatabase" localSheetId="5" hidden="1">'n&amp;cn'!$B$151:$E$151</definedName>
  </definedNames>
  <calcPr calcId="191029"/>
  <pivotCaches>
    <pivotCache cacheId="123" r:id="rId33"/>
    <pivotCache cacheId="126" r:id="rId34"/>
    <pivotCache cacheId="130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" i="5" l="1"/>
  <c r="Z11" i="5"/>
  <c r="Z10" i="5"/>
  <c r="Z9" i="5"/>
  <c r="Z8" i="5"/>
  <c r="Z7" i="5"/>
  <c r="Z6" i="5"/>
  <c r="Z5" i="5"/>
  <c r="Z4" i="5"/>
  <c r="Y12" i="5"/>
  <c r="Y11" i="5"/>
  <c r="Y10" i="5"/>
  <c r="Y9" i="5"/>
  <c r="Y8" i="5"/>
  <c r="Y7" i="5"/>
  <c r="Y6" i="5"/>
  <c r="Y5" i="5"/>
  <c r="Y4" i="5"/>
  <c r="E12" i="5"/>
  <c r="E8" i="5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I14" i="5"/>
  <c r="H14" i="5"/>
  <c r="F5" i="5"/>
  <c r="E5" i="5"/>
  <c r="L5" i="5"/>
  <c r="K5" i="5"/>
  <c r="J5" i="5"/>
  <c r="G5" i="5"/>
  <c r="D5" i="5"/>
  <c r="C5" i="5"/>
  <c r="AL4" i="5"/>
  <c r="AJ4" i="5"/>
  <c r="AJ13" i="5" s="1"/>
  <c r="AG4" i="5"/>
  <c r="AF4" i="5"/>
  <c r="AH12" i="5"/>
  <c r="AH11" i="5"/>
  <c r="AH10" i="5"/>
  <c r="AH9" i="5"/>
  <c r="AH8" i="5"/>
  <c r="AH7" i="5"/>
  <c r="AH6" i="5"/>
  <c r="AH5" i="5"/>
  <c r="AI13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36" i="5"/>
  <c r="F36" i="5"/>
  <c r="E36" i="5"/>
  <c r="D36" i="5"/>
  <c r="C36" i="5"/>
  <c r="G32" i="5"/>
  <c r="F32" i="5"/>
  <c r="E32" i="5"/>
  <c r="D32" i="5"/>
  <c r="C32" i="5"/>
  <c r="G28" i="5"/>
  <c r="F28" i="5"/>
  <c r="E28" i="5"/>
  <c r="D28" i="5"/>
  <c r="C28" i="5"/>
  <c r="G24" i="5"/>
  <c r="F24" i="5"/>
  <c r="E24" i="5"/>
  <c r="D24" i="5"/>
  <c r="C24" i="5"/>
  <c r="G20" i="5"/>
  <c r="F20" i="5"/>
  <c r="E20" i="5"/>
  <c r="D20" i="5"/>
  <c r="C20" i="5"/>
  <c r="G16" i="5"/>
  <c r="F16" i="5"/>
  <c r="E16" i="5"/>
  <c r="D16" i="5"/>
  <c r="C16" i="5"/>
  <c r="G12" i="5"/>
  <c r="F12" i="5"/>
  <c r="D12" i="5"/>
  <c r="C12" i="5"/>
  <c r="G8" i="5"/>
  <c r="F8" i="5"/>
  <c r="D8" i="5"/>
  <c r="C8" i="5"/>
  <c r="G4" i="5"/>
  <c r="F4" i="5"/>
  <c r="E4" i="5"/>
  <c r="D4" i="5"/>
  <c r="C4" i="5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4" i="33"/>
  <c r="C43" i="33"/>
  <c r="C52" i="33"/>
  <c r="C51" i="33"/>
  <c r="C50" i="33"/>
  <c r="C49" i="33"/>
  <c r="AA45" i="34" a="1"/>
  <c r="AA45" i="34" s="1"/>
  <c r="AA44" i="34" s="1" a="1"/>
  <c r="AA44" i="34" s="1"/>
  <c r="Z45" i="34" a="1"/>
  <c r="Z45" i="34" s="1"/>
  <c r="Z44" i="34" s="1" a="1"/>
  <c r="Z44" i="34" s="1"/>
  <c r="Y45" i="34" a="1"/>
  <c r="Y45" i="34" s="1"/>
  <c r="Y44" i="34" s="1" a="1"/>
  <c r="Y44" i="34" s="1"/>
  <c r="X45" i="34" a="1"/>
  <c r="X45" i="34" s="1"/>
  <c r="X44" i="34" s="1" a="1"/>
  <c r="X44" i="34" s="1"/>
  <c r="W45" i="34" a="1"/>
  <c r="W45" i="34" s="1"/>
  <c r="W44" i="34" s="1" a="1"/>
  <c r="W44" i="34" s="1"/>
  <c r="V45" i="34" a="1"/>
  <c r="V45" i="34" s="1"/>
  <c r="V44" i="34" s="1" a="1"/>
  <c r="V44" i="34" s="1"/>
  <c r="U45" i="34" a="1"/>
  <c r="U45" i="34" s="1"/>
  <c r="U44" i="34" s="1" a="1"/>
  <c r="U44" i="34" s="1"/>
  <c r="T45" i="34" a="1"/>
  <c r="T45" i="34" s="1"/>
  <c r="T44" i="34" s="1" a="1"/>
  <c r="T44" i="34" s="1"/>
  <c r="S45" i="34" a="1"/>
  <c r="S45" i="34" s="1"/>
  <c r="S44" i="34" s="1" a="1"/>
  <c r="S44" i="34" s="1"/>
  <c r="R45" i="34" a="1"/>
  <c r="R45" i="34" s="1"/>
  <c r="R44" i="34" s="1" a="1"/>
  <c r="R44" i="34" s="1"/>
  <c r="Q45" i="34" a="1"/>
  <c r="Q45" i="34" s="1"/>
  <c r="Q44" i="34" s="1" a="1"/>
  <c r="Q44" i="34" s="1"/>
  <c r="P45" i="34" a="1"/>
  <c r="P45" i="34" s="1"/>
  <c r="P44" i="34" s="1" a="1"/>
  <c r="P44" i="34" s="1"/>
  <c r="M43" i="33"/>
  <c r="L43" i="33"/>
  <c r="K43" i="33"/>
  <c r="J43" i="33"/>
  <c r="I43" i="33"/>
  <c r="H43" i="33"/>
  <c r="G43" i="33"/>
  <c r="F43" i="33"/>
  <c r="M44" i="33"/>
  <c r="L44" i="33"/>
  <c r="K44" i="33"/>
  <c r="J44" i="33"/>
  <c r="I44" i="33"/>
  <c r="H44" i="33"/>
  <c r="G44" i="33"/>
  <c r="F44" i="33"/>
  <c r="Y282" i="31"/>
  <c r="T281" i="31"/>
  <c r="A281" i="3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S308" i="31"/>
  <c r="S281" i="31" s="1"/>
  <c r="R308" i="31"/>
  <c r="R281" i="31" s="1"/>
  <c r="Q308" i="31"/>
  <c r="Q281" i="31" s="1"/>
  <c r="P308" i="31"/>
  <c r="P281" i="31" s="1"/>
  <c r="A308" i="31"/>
  <c r="AA309" i="31"/>
  <c r="AA282" i="31" s="1"/>
  <c r="Z309" i="31"/>
  <c r="Z282" i="31" s="1"/>
  <c r="Y309" i="3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309" i="31"/>
  <c r="AA310" i="31"/>
  <c r="AA283" i="31" s="1"/>
  <c r="Z310" i="31"/>
  <c r="Z283" i="31" s="1"/>
  <c r="Y310" i="31"/>
  <c r="Y283" i="31" s="1"/>
  <c r="X310" i="31"/>
  <c r="X283" i="31" s="1"/>
  <c r="W310" i="31"/>
  <c r="W283" i="31" s="1"/>
  <c r="V310" i="31"/>
  <c r="V283" i="31" s="1"/>
  <c r="U310" i="31"/>
  <c r="U283" i="31" s="1"/>
  <c r="T310" i="31"/>
  <c r="T283" i="31" s="1"/>
  <c r="S310" i="31"/>
  <c r="S283" i="31" s="1"/>
  <c r="R310" i="31"/>
  <c r="R283" i="31" s="1"/>
  <c r="Q310" i="31"/>
  <c r="Q283" i="31" s="1"/>
  <c r="P310" i="31"/>
  <c r="P283" i="31" s="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AA289" i="31"/>
  <c r="AA262" i="31" s="1"/>
  <c r="Z289" i="31"/>
  <c r="Z262" i="31" s="1"/>
  <c r="Y289" i="31"/>
  <c r="Y262" i="31" s="1"/>
  <c r="X289" i="31"/>
  <c r="X262" i="31" s="1"/>
  <c r="W289" i="31"/>
  <c r="W262" i="31" s="1"/>
  <c r="V289" i="31"/>
  <c r="V262" i="31" s="1"/>
  <c r="U289" i="31"/>
  <c r="U262" i="31" s="1"/>
  <c r="T289" i="31"/>
  <c r="T262" i="31" s="1"/>
  <c r="S289" i="31"/>
  <c r="S262" i="31" s="1"/>
  <c r="R289" i="31"/>
  <c r="R262" i="31" s="1"/>
  <c r="Q289" i="31"/>
  <c r="Q262" i="31" s="1"/>
  <c r="P289" i="31"/>
  <c r="P262" i="31" s="1"/>
  <c r="AA288" i="31"/>
  <c r="AA261" i="31" s="1"/>
  <c r="Z288" i="31"/>
  <c r="Z261" i="31" s="1"/>
  <c r="Y288" i="31"/>
  <c r="Y261" i="31" s="1"/>
  <c r="X288" i="31"/>
  <c r="X261" i="31" s="1"/>
  <c r="W288" i="31"/>
  <c r="W261" i="31" s="1"/>
  <c r="V288" i="31"/>
  <c r="V261" i="31" s="1"/>
  <c r="U288" i="31"/>
  <c r="U261" i="31" s="1"/>
  <c r="T288" i="31"/>
  <c r="T261" i="31" s="1"/>
  <c r="S288" i="31"/>
  <c r="S261" i="31" s="1"/>
  <c r="R288" i="31"/>
  <c r="R261" i="31" s="1"/>
  <c r="Q288" i="31"/>
  <c r="Q261" i="31" s="1"/>
  <c r="P288" i="31"/>
  <c r="P261" i="31" s="1"/>
  <c r="AA287" i="31"/>
  <c r="AA260" i="31" s="1"/>
  <c r="Z287" i="31"/>
  <c r="Z260" i="31" s="1"/>
  <c r="Y287" i="31"/>
  <c r="Y260" i="31" s="1"/>
  <c r="X287" i="31"/>
  <c r="X260" i="31" s="1"/>
  <c r="W287" i="31"/>
  <c r="W260" i="31" s="1"/>
  <c r="V287" i="31"/>
  <c r="V260" i="31" s="1"/>
  <c r="U287" i="31"/>
  <c r="U260" i="31" s="1"/>
  <c r="T287" i="31"/>
  <c r="T260" i="31" s="1"/>
  <c r="S287" i="31"/>
  <c r="S260" i="31" s="1"/>
  <c r="R287" i="31"/>
  <c r="R260" i="31" s="1"/>
  <c r="Q287" i="31"/>
  <c r="Q260" i="31" s="1"/>
  <c r="P287" i="31"/>
  <c r="P260" i="31" s="1"/>
  <c r="AA286" i="31"/>
  <c r="AA259" i="31" s="1"/>
  <c r="Z286" i="31"/>
  <c r="Z259" i="31" s="1"/>
  <c r="Y286" i="31"/>
  <c r="Y259" i="31" s="1"/>
  <c r="X286" i="31"/>
  <c r="X259" i="31" s="1"/>
  <c r="W286" i="31"/>
  <c r="W259" i="31" s="1"/>
  <c r="V286" i="31"/>
  <c r="V259" i="31" s="1"/>
  <c r="U286" i="31"/>
  <c r="U259" i="31" s="1"/>
  <c r="T286" i="31"/>
  <c r="T259" i="31" s="1"/>
  <c r="S286" i="31"/>
  <c r="S259" i="31" s="1"/>
  <c r="R286" i="31"/>
  <c r="R259" i="31" s="1"/>
  <c r="Q286" i="31"/>
  <c r="Q259" i="31" s="1"/>
  <c r="P286" i="31"/>
  <c r="P259" i="31" s="1"/>
  <c r="AA285" i="31"/>
  <c r="AA258" i="31" s="1"/>
  <c r="Z285" i="31"/>
  <c r="Z258" i="31" s="1"/>
  <c r="Y285" i="31"/>
  <c r="Y258" i="31" s="1"/>
  <c r="X285" i="31"/>
  <c r="X258" i="31" s="1"/>
  <c r="W285" i="31"/>
  <c r="W258" i="31" s="1"/>
  <c r="V285" i="31"/>
  <c r="V258" i="31" s="1"/>
  <c r="U285" i="31"/>
  <c r="U258" i="31" s="1"/>
  <c r="T285" i="31"/>
  <c r="T258" i="31" s="1"/>
  <c r="S285" i="31"/>
  <c r="S258" i="31" s="1"/>
  <c r="R285" i="31"/>
  <c r="R258" i="31" s="1"/>
  <c r="Q285" i="31"/>
  <c r="Q258" i="31" s="1"/>
  <c r="P285" i="31"/>
  <c r="P258" i="31" s="1"/>
  <c r="L2" i="48"/>
  <c r="K2" i="48"/>
  <c r="J2" i="48"/>
  <c r="J3" i="48" s="1"/>
  <c r="J9" i="48" s="1"/>
  <c r="I2" i="48"/>
  <c r="H2" i="48"/>
  <c r="G2" i="48"/>
  <c r="F2" i="48"/>
  <c r="L4" i="48"/>
  <c r="L3" i="48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D40" i="33" a="1"/>
  <c r="D40" i="33" s="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B28" i="41"/>
  <c r="B27" i="41"/>
  <c r="B26" i="41"/>
  <c r="B25" i="41"/>
  <c r="B24" i="41"/>
  <c r="B23" i="41"/>
  <c r="B22" i="41"/>
  <c r="B21" i="41"/>
  <c r="B20" i="41"/>
  <c r="B19" i="41"/>
  <c r="B18" i="41"/>
  <c r="B17" i="41"/>
  <c r="B16" i="41"/>
  <c r="B15" i="41"/>
  <c r="B14" i="41"/>
  <c r="B13" i="41"/>
  <c r="B12" i="41"/>
  <c r="B11" i="41"/>
  <c r="B10" i="41"/>
  <c r="B9" i="41"/>
  <c r="B8" i="41"/>
  <c r="B7" i="41"/>
  <c r="B6" i="41"/>
  <c r="B5" i="41"/>
  <c r="B4" i="41"/>
  <c r="B3" i="41"/>
  <c r="B28" i="43"/>
  <c r="B27" i="43"/>
  <c r="B26" i="43"/>
  <c r="B25" i="43"/>
  <c r="B24" i="43"/>
  <c r="B23" i="43"/>
  <c r="B22" i="43"/>
  <c r="B21" i="43"/>
  <c r="B20" i="43"/>
  <c r="B19" i="43"/>
  <c r="B18" i="43"/>
  <c r="B17" i="43"/>
  <c r="B16" i="43"/>
  <c r="B15" i="43"/>
  <c r="B14" i="43"/>
  <c r="B13" i="43"/>
  <c r="B12" i="43"/>
  <c r="B11" i="43"/>
  <c r="B10" i="43"/>
  <c r="B9" i="43"/>
  <c r="B8" i="43"/>
  <c r="B7" i="43"/>
  <c r="B6" i="43"/>
  <c r="B5" i="43"/>
  <c r="B4" i="43"/>
  <c r="B3" i="43"/>
  <c r="B28" i="44"/>
  <c r="B27" i="44"/>
  <c r="B26" i="44"/>
  <c r="B25" i="44"/>
  <c r="B24" i="44"/>
  <c r="B23" i="44"/>
  <c r="B22" i="44"/>
  <c r="B21" i="44"/>
  <c r="B20" i="44"/>
  <c r="B19" i="44"/>
  <c r="B18" i="44"/>
  <c r="B17" i="44"/>
  <c r="B16" i="44"/>
  <c r="B15" i="44"/>
  <c r="B14" i="44"/>
  <c r="B13" i="44"/>
  <c r="B12" i="44"/>
  <c r="B11" i="44"/>
  <c r="B10" i="44"/>
  <c r="B9" i="44"/>
  <c r="B8" i="44"/>
  <c r="B7" i="44"/>
  <c r="B6" i="44"/>
  <c r="B5" i="44"/>
  <c r="B4" i="44"/>
  <c r="B3" i="44"/>
  <c r="B26" i="45"/>
  <c r="B25" i="45"/>
  <c r="B24" i="45"/>
  <c r="B23" i="45"/>
  <c r="B22" i="45"/>
  <c r="B21" i="45"/>
  <c r="B20" i="45"/>
  <c r="B19" i="45"/>
  <c r="B18" i="45"/>
  <c r="B17" i="45"/>
  <c r="B16" i="45"/>
  <c r="B15" i="45"/>
  <c r="B14" i="45"/>
  <c r="B13" i="45"/>
  <c r="B12" i="45"/>
  <c r="B11" i="45"/>
  <c r="B10" i="45"/>
  <c r="B9" i="45"/>
  <c r="B8" i="45"/>
  <c r="B7" i="45"/>
  <c r="B6" i="45"/>
  <c r="B5" i="45"/>
  <c r="B4" i="45"/>
  <c r="B3" i="45"/>
  <c r="B26" i="46"/>
  <c r="B25" i="46"/>
  <c r="B24" i="46"/>
  <c r="B23" i="46"/>
  <c r="B22" i="46"/>
  <c r="B21" i="46"/>
  <c r="B20" i="46"/>
  <c r="B19" i="46"/>
  <c r="B18" i="46"/>
  <c r="B17" i="46"/>
  <c r="B16" i="46"/>
  <c r="B15" i="46"/>
  <c r="B14" i="46"/>
  <c r="B13" i="46"/>
  <c r="B12" i="46"/>
  <c r="B11" i="46"/>
  <c r="B10" i="46"/>
  <c r="B9" i="46"/>
  <c r="B8" i="46"/>
  <c r="B7" i="46"/>
  <c r="B6" i="46"/>
  <c r="B5" i="46"/>
  <c r="B4" i="46"/>
  <c r="B3" i="46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5" i="47"/>
  <c r="B4" i="47"/>
  <c r="B3" i="47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C28" i="41"/>
  <c r="C27" i="41"/>
  <c r="C26" i="41"/>
  <c r="C25" i="41"/>
  <c r="C24" i="41"/>
  <c r="C23" i="41"/>
  <c r="C22" i="41"/>
  <c r="C21" i="41"/>
  <c r="C20" i="41"/>
  <c r="C19" i="41"/>
  <c r="C18" i="41"/>
  <c r="C17" i="41"/>
  <c r="C16" i="41"/>
  <c r="C15" i="41"/>
  <c r="C14" i="41"/>
  <c r="C13" i="41"/>
  <c r="C12" i="41"/>
  <c r="C11" i="41"/>
  <c r="C10" i="41"/>
  <c r="C9" i="41"/>
  <c r="C8" i="41"/>
  <c r="C7" i="41"/>
  <c r="C6" i="41"/>
  <c r="C5" i="41"/>
  <c r="C4" i="41"/>
  <c r="C3" i="41"/>
  <c r="C28" i="43"/>
  <c r="C27" i="43"/>
  <c r="C26" i="43"/>
  <c r="C25" i="43"/>
  <c r="C24" i="43"/>
  <c r="C23" i="43"/>
  <c r="C22" i="43"/>
  <c r="C21" i="43"/>
  <c r="C20" i="43"/>
  <c r="C19" i="43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4" i="43"/>
  <c r="C3" i="43"/>
  <c r="C30" i="43" s="1"/>
  <c r="C28" i="44"/>
  <c r="C27" i="44"/>
  <c r="C26" i="44"/>
  <c r="C25" i="44"/>
  <c r="C24" i="44"/>
  <c r="C23" i="44"/>
  <c r="C22" i="44"/>
  <c r="C21" i="44"/>
  <c r="C20" i="44"/>
  <c r="C19" i="44"/>
  <c r="C18" i="44"/>
  <c r="C17" i="44"/>
  <c r="C16" i="44"/>
  <c r="C15" i="44"/>
  <c r="C14" i="44"/>
  <c r="C13" i="44"/>
  <c r="C12" i="44"/>
  <c r="C11" i="44"/>
  <c r="C10" i="44"/>
  <c r="C9" i="44"/>
  <c r="C8" i="44"/>
  <c r="C7" i="44"/>
  <c r="C6" i="44"/>
  <c r="C5" i="44"/>
  <c r="C4" i="44"/>
  <c r="C30" i="44" s="1"/>
  <c r="C3" i="44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C3" i="45"/>
  <c r="C26" i="46"/>
  <c r="C25" i="46"/>
  <c r="C24" i="46"/>
  <c r="C23" i="46"/>
  <c r="C22" i="46"/>
  <c r="C21" i="46"/>
  <c r="C20" i="46"/>
  <c r="C19" i="46"/>
  <c r="C18" i="46"/>
  <c r="C17" i="46"/>
  <c r="C16" i="46"/>
  <c r="C15" i="46"/>
  <c r="C14" i="46"/>
  <c r="C13" i="46"/>
  <c r="C12" i="46"/>
  <c r="C11" i="46"/>
  <c r="C10" i="46"/>
  <c r="C9" i="46"/>
  <c r="C8" i="46"/>
  <c r="C7" i="46"/>
  <c r="C6" i="46"/>
  <c r="C5" i="46"/>
  <c r="C4" i="46"/>
  <c r="C3" i="46"/>
  <c r="C26" i="47"/>
  <c r="C25" i="47"/>
  <c r="C24" i="47"/>
  <c r="C23" i="47"/>
  <c r="C22" i="47"/>
  <c r="C21" i="47"/>
  <c r="C20" i="47"/>
  <c r="C19" i="47"/>
  <c r="C18" i="47"/>
  <c r="C17" i="47"/>
  <c r="C16" i="47"/>
  <c r="C15" i="47"/>
  <c r="C14" i="47"/>
  <c r="C13" i="47"/>
  <c r="C12" i="47"/>
  <c r="C11" i="47"/>
  <c r="C10" i="47"/>
  <c r="C9" i="47"/>
  <c r="C8" i="47"/>
  <c r="C7" i="47"/>
  <c r="C6" i="47"/>
  <c r="C5" i="47"/>
  <c r="C4" i="47"/>
  <c r="C3" i="47"/>
  <c r="C29" i="47" s="1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A14" i="42" s="1"/>
  <c r="A15" i="42" s="1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A26" i="42" s="1"/>
  <c r="A27" i="42" s="1"/>
  <c r="A28" i="42" s="1"/>
  <c r="A4" i="41"/>
  <c r="A5" i="41" s="1"/>
  <c r="A6" i="41" s="1"/>
  <c r="A7" i="41" s="1"/>
  <c r="A8" i="41" s="1"/>
  <c r="A9" i="41" s="1"/>
  <c r="A10" i="41" s="1"/>
  <c r="A11" i="41" s="1"/>
  <c r="A12" i="41" s="1"/>
  <c r="A13" i="41" s="1"/>
  <c r="A14" i="41" s="1"/>
  <c r="A15" i="41" s="1"/>
  <c r="A16" i="41" s="1"/>
  <c r="A17" i="41" s="1"/>
  <c r="A18" i="41" s="1"/>
  <c r="A19" i="41" s="1"/>
  <c r="A20" i="41" s="1"/>
  <c r="A21" i="41" s="1"/>
  <c r="A22" i="41" s="1"/>
  <c r="A23" i="41" s="1"/>
  <c r="A24" i="41" s="1"/>
  <c r="A25" i="41" s="1"/>
  <c r="A26" i="41" s="1"/>
  <c r="A27" i="41" s="1"/>
  <c r="A28" i="41" s="1"/>
  <c r="A4" i="43"/>
  <c r="A5" i="43" s="1"/>
  <c r="A6" i="43" s="1"/>
  <c r="A7" i="43" s="1"/>
  <c r="A8" i="43" s="1"/>
  <c r="A9" i="43" s="1"/>
  <c r="A10" i="43" s="1"/>
  <c r="A11" i="43" s="1"/>
  <c r="A12" i="43" s="1"/>
  <c r="A13" i="43" s="1"/>
  <c r="A14" i="43" s="1"/>
  <c r="A15" i="43" s="1"/>
  <c r="A16" i="43" s="1"/>
  <c r="A17" i="43" s="1"/>
  <c r="A18" i="43" s="1"/>
  <c r="A19" i="43" s="1"/>
  <c r="A20" i="43" s="1"/>
  <c r="A21" i="43" s="1"/>
  <c r="A22" i="43" s="1"/>
  <c r="A23" i="43" s="1"/>
  <c r="A24" i="43" s="1"/>
  <c r="A25" i="43" s="1"/>
  <c r="A26" i="43" s="1"/>
  <c r="A27" i="43" s="1"/>
  <c r="A28" i="43" s="1"/>
  <c r="A4" i="44"/>
  <c r="A5" i="44" s="1"/>
  <c r="A6" i="44" s="1"/>
  <c r="A7" i="44" s="1"/>
  <c r="A8" i="44" s="1"/>
  <c r="A9" i="44" s="1"/>
  <c r="A10" i="44" s="1"/>
  <c r="A11" i="44" s="1"/>
  <c r="A12" i="44" s="1"/>
  <c r="A13" i="44" s="1"/>
  <c r="A14" i="44" s="1"/>
  <c r="A15" i="44" s="1"/>
  <c r="A16" i="44" s="1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4" i="45"/>
  <c r="A5" i="45" s="1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4" i="46"/>
  <c r="A5" i="46" s="1"/>
  <c r="A6" i="46" s="1"/>
  <c r="A7" i="46" s="1"/>
  <c r="A8" i="46" s="1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4" i="47"/>
  <c r="A5" i="47" s="1"/>
  <c r="A6" i="47" s="1"/>
  <c r="A7" i="47" s="1"/>
  <c r="A8" i="47" s="1"/>
  <c r="A9" i="47" s="1"/>
  <c r="A10" i="47" s="1"/>
  <c r="A11" i="47" s="1"/>
  <c r="A12" i="47" s="1"/>
  <c r="A13" i="47" s="1"/>
  <c r="A14" i="47" s="1"/>
  <c r="A15" i="47" s="1"/>
  <c r="A16" i="47" s="1"/>
  <c r="A17" i="47" s="1"/>
  <c r="A18" i="47" s="1"/>
  <c r="A19" i="47" s="1"/>
  <c r="A20" i="47" s="1"/>
  <c r="A21" i="47" s="1"/>
  <c r="A22" i="47" s="1"/>
  <c r="A23" i="47" s="1"/>
  <c r="A24" i="47" s="1"/>
  <c r="A25" i="47" s="1"/>
  <c r="A26" i="47" s="1"/>
  <c r="W28" i="47"/>
  <c r="S28" i="47"/>
  <c r="R28" i="47"/>
  <c r="P28" i="47"/>
  <c r="N28" i="47"/>
  <c r="M28" i="47"/>
  <c r="L28" i="47"/>
  <c r="K28" i="47"/>
  <c r="J28" i="47"/>
  <c r="I28" i="47"/>
  <c r="H28" i="47"/>
  <c r="G28" i="47"/>
  <c r="F28" i="47"/>
  <c r="J29" i="47" s="1"/>
  <c r="U23" i="47"/>
  <c r="U22" i="47"/>
  <c r="U16" i="47"/>
  <c r="V11" i="47"/>
  <c r="T11" i="47"/>
  <c r="T10" i="47"/>
  <c r="T9" i="47"/>
  <c r="T8" i="47"/>
  <c r="T6" i="47"/>
  <c r="V5" i="47"/>
  <c r="T5" i="47"/>
  <c r="U4" i="47"/>
  <c r="T4" i="47"/>
  <c r="W28" i="46"/>
  <c r="S28" i="46"/>
  <c r="R28" i="46"/>
  <c r="P28" i="46"/>
  <c r="N28" i="46"/>
  <c r="M28" i="46"/>
  <c r="L28" i="46"/>
  <c r="K28" i="46"/>
  <c r="J28" i="46"/>
  <c r="I28" i="46"/>
  <c r="H28" i="46"/>
  <c r="G28" i="46"/>
  <c r="F28" i="46"/>
  <c r="U23" i="46"/>
  <c r="U22" i="46"/>
  <c r="U17" i="46"/>
  <c r="U16" i="46"/>
  <c r="V11" i="46"/>
  <c r="T11" i="46"/>
  <c r="T10" i="46"/>
  <c r="T9" i="46"/>
  <c r="T8" i="46"/>
  <c r="T6" i="46"/>
  <c r="V5" i="46"/>
  <c r="T5" i="46"/>
  <c r="U4" i="46"/>
  <c r="T4" i="46"/>
  <c r="O40" i="45"/>
  <c r="J29" i="45"/>
  <c r="J40" i="45" s="1"/>
  <c r="W27" i="45"/>
  <c r="S27" i="45"/>
  <c r="R27" i="45"/>
  <c r="P27" i="45"/>
  <c r="N27" i="45"/>
  <c r="M27" i="45"/>
  <c r="L27" i="45"/>
  <c r="K27" i="45"/>
  <c r="J27" i="45"/>
  <c r="I27" i="45"/>
  <c r="H27" i="45"/>
  <c r="G27" i="45"/>
  <c r="F27" i="45"/>
  <c r="U23" i="45"/>
  <c r="U22" i="45"/>
  <c r="U17" i="45"/>
  <c r="U16" i="45"/>
  <c r="V11" i="45"/>
  <c r="T11" i="45"/>
  <c r="T10" i="45"/>
  <c r="T9" i="45"/>
  <c r="T8" i="45"/>
  <c r="T6" i="45"/>
  <c r="V5" i="45"/>
  <c r="V27" i="45" s="1"/>
  <c r="T5" i="45"/>
  <c r="T4" i="45"/>
  <c r="O42" i="44"/>
  <c r="J31" i="44"/>
  <c r="J42" i="44" s="1"/>
  <c r="W29" i="44"/>
  <c r="S29" i="44"/>
  <c r="R29" i="44"/>
  <c r="P29" i="44"/>
  <c r="N29" i="44"/>
  <c r="M29" i="44"/>
  <c r="L29" i="44"/>
  <c r="K29" i="44"/>
  <c r="J29" i="44"/>
  <c r="I29" i="44"/>
  <c r="H29" i="44"/>
  <c r="G29" i="44"/>
  <c r="F29" i="44"/>
  <c r="U25" i="44"/>
  <c r="U24" i="44"/>
  <c r="U19" i="44"/>
  <c r="U18" i="44"/>
  <c r="T14" i="44"/>
  <c r="V13" i="44"/>
  <c r="T13" i="44"/>
  <c r="T10" i="44"/>
  <c r="T9" i="44"/>
  <c r="T8" i="44"/>
  <c r="T6" i="44"/>
  <c r="V5" i="44"/>
  <c r="V29" i="44" s="1"/>
  <c r="T5" i="44"/>
  <c r="T4" i="44"/>
  <c r="O44" i="43"/>
  <c r="J31" i="43"/>
  <c r="J45" i="43" s="1"/>
  <c r="S29" i="43"/>
  <c r="R29" i="43"/>
  <c r="P29" i="43"/>
  <c r="N29" i="43"/>
  <c r="M29" i="43"/>
  <c r="L29" i="43"/>
  <c r="K29" i="43"/>
  <c r="J29" i="43"/>
  <c r="I29" i="43"/>
  <c r="H29" i="43"/>
  <c r="G29" i="43"/>
  <c r="F29" i="43"/>
  <c r="U25" i="43"/>
  <c r="U24" i="43"/>
  <c r="U19" i="43"/>
  <c r="U18" i="43"/>
  <c r="T14" i="43"/>
  <c r="V13" i="43"/>
  <c r="T13" i="43"/>
  <c r="T10" i="43"/>
  <c r="T9" i="43"/>
  <c r="T8" i="43"/>
  <c r="T6" i="43"/>
  <c r="V5" i="43"/>
  <c r="T5" i="43"/>
  <c r="W4" i="43"/>
  <c r="W29" i="43" s="1"/>
  <c r="V4" i="43"/>
  <c r="T4" i="43"/>
  <c r="O44" i="42"/>
  <c r="J31" i="42"/>
  <c r="J45" i="42" s="1"/>
  <c r="S29" i="42"/>
  <c r="R29" i="42"/>
  <c r="P29" i="42"/>
  <c r="N29" i="42"/>
  <c r="M29" i="42"/>
  <c r="L29" i="42"/>
  <c r="K29" i="42"/>
  <c r="J29" i="42"/>
  <c r="I29" i="42"/>
  <c r="H29" i="42"/>
  <c r="G29" i="42"/>
  <c r="F29" i="42"/>
  <c r="U25" i="42"/>
  <c r="U24" i="42"/>
  <c r="U19" i="42"/>
  <c r="U18" i="42"/>
  <c r="T14" i="42"/>
  <c r="V13" i="42"/>
  <c r="T13" i="42"/>
  <c r="T10" i="42"/>
  <c r="T9" i="42"/>
  <c r="T8" i="42"/>
  <c r="T6" i="42"/>
  <c r="V5" i="42"/>
  <c r="T5" i="42"/>
  <c r="W4" i="42"/>
  <c r="W29" i="42" s="1"/>
  <c r="V4" i="42"/>
  <c r="T4" i="42"/>
  <c r="J6" i="33"/>
  <c r="M6" i="33"/>
  <c r="L6" i="34"/>
  <c r="G6" i="34"/>
  <c r="H5" i="33"/>
  <c r="X6" i="34"/>
  <c r="P6" i="34"/>
  <c r="Q6" i="34"/>
  <c r="E5" i="33"/>
  <c r="K8" i="33"/>
  <c r="G6" i="33"/>
  <c r="J6" i="34"/>
  <c r="F5" i="33"/>
  <c r="E6" i="33"/>
  <c r="Y6" i="34"/>
  <c r="L5" i="33"/>
  <c r="L8" i="33"/>
  <c r="K6" i="33"/>
  <c r="U6" i="34"/>
  <c r="D6" i="34"/>
  <c r="E6" i="34"/>
  <c r="G8" i="33"/>
  <c r="R6" i="34"/>
  <c r="L6" i="33"/>
  <c r="I6" i="33"/>
  <c r="M8" i="33"/>
  <c r="M6" i="34"/>
  <c r="T6" i="34"/>
  <c r="Z6" i="34"/>
  <c r="H6" i="34"/>
  <c r="I5" i="33"/>
  <c r="H6" i="33"/>
  <c r="AA6" i="34"/>
  <c r="F6" i="33"/>
  <c r="G5" i="33"/>
  <c r="H8" i="33"/>
  <c r="F6" i="34"/>
  <c r="E8" i="33"/>
  <c r="J5" i="33"/>
  <c r="F8" i="33"/>
  <c r="J8" i="33"/>
  <c r="V6" i="34"/>
  <c r="K5" i="33"/>
  <c r="W6" i="34"/>
  <c r="M5" i="33"/>
  <c r="I8" i="33"/>
  <c r="O6" i="34"/>
  <c r="S6" i="34"/>
  <c r="N6" i="34"/>
  <c r="K6" i="34"/>
  <c r="I6" i="34"/>
  <c r="AM6" i="5" l="1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4" i="33"/>
  <c r="D43" i="33"/>
  <c r="I3" i="48"/>
  <c r="I9" i="48" s="1"/>
  <c r="H3" i="48"/>
  <c r="H9" i="48" s="1"/>
  <c r="G3" i="48"/>
  <c r="G9" i="48" s="1"/>
  <c r="K3" i="48"/>
  <c r="F3" i="48"/>
  <c r="AE94" i="31"/>
  <c r="AC94" i="31"/>
  <c r="C30" i="42"/>
  <c r="C30" i="41"/>
  <c r="C28" i="45"/>
  <c r="T28" i="46"/>
  <c r="C29" i="46"/>
  <c r="U29" i="42"/>
  <c r="V29" i="43"/>
  <c r="T29" i="42"/>
  <c r="J30" i="42"/>
  <c r="V29" i="42"/>
  <c r="U29" i="43"/>
  <c r="T29" i="43"/>
  <c r="J30" i="43"/>
  <c r="U29" i="44"/>
  <c r="J30" i="44"/>
  <c r="T29" i="44"/>
  <c r="J28" i="45"/>
  <c r="T27" i="45"/>
  <c r="U27" i="45"/>
  <c r="J29" i="46"/>
  <c r="J40" i="46" s="1"/>
  <c r="U28" i="46"/>
  <c r="W31" i="46" s="1"/>
  <c r="V28" i="46"/>
  <c r="J41" i="47"/>
  <c r="T28" i="47"/>
  <c r="V28" i="47"/>
  <c r="U28" i="47"/>
  <c r="J42" i="45"/>
  <c r="J44" i="44"/>
  <c r="D8" i="33"/>
  <c r="D6" i="33"/>
  <c r="D5" i="33"/>
  <c r="I4" i="48" l="1"/>
  <c r="AM13" i="5"/>
  <c r="H4" i="48"/>
  <c r="G4" i="48"/>
  <c r="F4" i="48"/>
  <c r="F9" i="48"/>
  <c r="J4" i="48"/>
  <c r="K9" i="48"/>
  <c r="K4" i="48"/>
  <c r="W33" i="42"/>
  <c r="K31" i="42" s="1"/>
  <c r="K45" i="42" s="1"/>
  <c r="W33" i="43"/>
  <c r="K31" i="43" s="1"/>
  <c r="K45" i="43" s="1"/>
  <c r="W33" i="44"/>
  <c r="W31" i="45"/>
  <c r="W31" i="47"/>
  <c r="E245" i="30"/>
  <c r="E244" i="30"/>
  <c r="E243" i="30"/>
  <c r="E242" i="30"/>
  <c r="E241" i="30"/>
  <c r="E240" i="30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AC43" i="34"/>
  <c r="AC38" i="34"/>
  <c r="AC32" i="34"/>
  <c r="AC31" i="34"/>
  <c r="AC28" i="34"/>
  <c r="AC27" i="34"/>
  <c r="AC256" i="31"/>
  <c r="AC221" i="31"/>
  <c r="AC196" i="31"/>
  <c r="AC195" i="31"/>
  <c r="AC174" i="31"/>
  <c r="AC173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C36" i="33" a="1"/>
  <c r="C36" i="33" s="1"/>
  <c r="D36" i="33" l="1"/>
  <c r="AC12" i="3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56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BJ68" i="28"/>
  <c r="O44" i="41"/>
  <c r="J31" i="41"/>
  <c r="J45" i="41" s="1"/>
  <c r="S29" i="41"/>
  <c r="R29" i="41"/>
  <c r="P29" i="41"/>
  <c r="N29" i="41"/>
  <c r="M29" i="41"/>
  <c r="L29" i="41"/>
  <c r="K29" i="41"/>
  <c r="J29" i="41"/>
  <c r="I29" i="41"/>
  <c r="H29" i="41"/>
  <c r="G29" i="41"/>
  <c r="F29" i="41"/>
  <c r="U25" i="41"/>
  <c r="U24" i="41"/>
  <c r="U19" i="41"/>
  <c r="U18" i="41"/>
  <c r="T14" i="41"/>
  <c r="V13" i="41"/>
  <c r="T13" i="41"/>
  <c r="T10" i="41"/>
  <c r="T9" i="41"/>
  <c r="T8" i="41"/>
  <c r="T6" i="41"/>
  <c r="V5" i="41"/>
  <c r="T5" i="41"/>
  <c r="W4" i="41"/>
  <c r="W29" i="41" s="1"/>
  <c r="V4" i="41"/>
  <c r="T4" i="41"/>
  <c r="U29" i="41" l="1"/>
  <c r="V29" i="41"/>
  <c r="J30" i="41"/>
  <c r="T29" i="41"/>
  <c r="AC45" i="31"/>
  <c r="AC46" i="31"/>
  <c r="AC48" i="31"/>
  <c r="AC47" i="31"/>
  <c r="AC50" i="31"/>
  <c r="AC49" i="31"/>
  <c r="AE50" i="31"/>
  <c r="AE49" i="31"/>
  <c r="AE47" i="31"/>
  <c r="AE48" i="31"/>
  <c r="AE46" i="31"/>
  <c r="AE45" i="31"/>
  <c r="W33" i="41" l="1"/>
  <c r="K31" i="41" s="1"/>
  <c r="K45" i="41" s="1"/>
  <c r="F107" i="36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1" i="33" a="1"/>
  <c r="M41" i="33" s="1"/>
  <c r="L41" i="33" a="1"/>
  <c r="L41" i="33" s="1"/>
  <c r="K41" i="33" a="1"/>
  <c r="K41" i="33" s="1"/>
  <c r="J41" i="33" a="1"/>
  <c r="J41" i="33" s="1"/>
  <c r="I41" i="33" a="1"/>
  <c r="I41" i="33" s="1"/>
  <c r="H41" i="33" a="1"/>
  <c r="H41" i="33" s="1"/>
  <c r="G41" i="33" a="1"/>
  <c r="G41" i="33" s="1"/>
  <c r="F41" i="33" a="1"/>
  <c r="F41" i="33" s="1"/>
  <c r="E41" i="33" a="1"/>
  <c r="E41" i="33" s="1"/>
  <c r="C41" i="33" a="1"/>
  <c r="C41" i="33" s="1"/>
  <c r="O42" i="33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19" i="31"/>
  <c r="Z119" i="31"/>
  <c r="Y119" i="31"/>
  <c r="X119" i="31"/>
  <c r="W119" i="31"/>
  <c r="V119" i="31"/>
  <c r="U119" i="31"/>
  <c r="T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A117" i="31"/>
  <c r="Z117" i="31"/>
  <c r="Y117" i="31"/>
  <c r="X117" i="31"/>
  <c r="W117" i="31"/>
  <c r="V117" i="31"/>
  <c r="U117" i="31"/>
  <c r="T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8" i="31"/>
  <c r="Z118" i="31"/>
  <c r="Y118" i="31"/>
  <c r="X118" i="31"/>
  <c r="W118" i="31"/>
  <c r="V118" i="31"/>
  <c r="U118" i="31"/>
  <c r="T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AA254" i="31"/>
  <c r="Z254" i="31"/>
  <c r="Y254" i="31"/>
  <c r="X254" i="31"/>
  <c r="W254" i="31"/>
  <c r="V254" i="31"/>
  <c r="U254" i="31"/>
  <c r="T254" i="31"/>
  <c r="S254" i="31"/>
  <c r="R254" i="31"/>
  <c r="Q254" i="31"/>
  <c r="P254" i="31"/>
  <c r="O254" i="31"/>
  <c r="N254" i="31"/>
  <c r="M254" i="31"/>
  <c r="L254" i="31"/>
  <c r="K254" i="31"/>
  <c r="J254" i="31"/>
  <c r="I254" i="31"/>
  <c r="H254" i="31"/>
  <c r="G254" i="31"/>
  <c r="F254" i="31"/>
  <c r="E254" i="31"/>
  <c r="D254" i="31"/>
  <c r="AA255" i="31"/>
  <c r="Z255" i="31"/>
  <c r="Y255" i="31"/>
  <c r="X255" i="31"/>
  <c r="W255" i="31"/>
  <c r="V255" i="31"/>
  <c r="U255" i="31"/>
  <c r="T255" i="31"/>
  <c r="S255" i="31"/>
  <c r="R255" i="31"/>
  <c r="Q255" i="31"/>
  <c r="P255" i="31"/>
  <c r="O255" i="31"/>
  <c r="N255" i="31"/>
  <c r="M255" i="31"/>
  <c r="L255" i="31"/>
  <c r="K255" i="31"/>
  <c r="J255" i="31"/>
  <c r="I255" i="31"/>
  <c r="H255" i="31"/>
  <c r="G255" i="31"/>
  <c r="F255" i="31"/>
  <c r="E255" i="31"/>
  <c r="D255" i="31"/>
  <c r="AA251" i="31"/>
  <c r="Z251" i="31"/>
  <c r="Y251" i="31"/>
  <c r="X251" i="31"/>
  <c r="W251" i="31"/>
  <c r="V251" i="31"/>
  <c r="U251" i="31"/>
  <c r="T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2" i="31"/>
  <c r="Z252" i="31"/>
  <c r="Y252" i="31"/>
  <c r="X252" i="31"/>
  <c r="W252" i="31"/>
  <c r="V252" i="31"/>
  <c r="U252" i="31"/>
  <c r="T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V35" i="34" s="1"/>
  <c r="V34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AA220" i="31" a="1"/>
  <c r="AA220" i="31" s="1"/>
  <c r="AA219" i="31" a="1"/>
  <c r="AA219" i="31" s="1"/>
  <c r="AA218" i="31" a="1"/>
  <c r="AA218" i="31" s="1"/>
  <c r="AA217" i="31" a="1"/>
  <c r="AA217" i="31" s="1"/>
  <c r="AA216" i="31" a="1"/>
  <c r="AA216" i="31" s="1"/>
  <c r="AA215" i="31" a="1"/>
  <c r="AA215" i="31" s="1"/>
  <c r="AA214" i="31" a="1"/>
  <c r="AA214" i="31" s="1"/>
  <c r="AA213" i="31" a="1"/>
  <c r="AA213" i="31" s="1"/>
  <c r="AA212" i="31" a="1"/>
  <c r="AA212" i="31" s="1"/>
  <c r="AA211" i="31" a="1"/>
  <c r="AA211" i="31" s="1"/>
  <c r="AA210" i="31" a="1"/>
  <c r="AA210" i="31" s="1"/>
  <c r="AA209" i="31" a="1"/>
  <c r="AA209" i="31" s="1"/>
  <c r="AA208" i="31" a="1"/>
  <c r="AA208" i="31" s="1"/>
  <c r="AA207" i="31" a="1"/>
  <c r="AA207" i="31" s="1"/>
  <c r="Z220" i="31" a="1"/>
  <c r="Z220" i="31" s="1"/>
  <c r="Z219" i="31" a="1"/>
  <c r="Z219" i="31" s="1"/>
  <c r="Z218" i="31" a="1"/>
  <c r="Z218" i="31" s="1"/>
  <c r="Z217" i="31" a="1"/>
  <c r="Z217" i="31" s="1"/>
  <c r="Z216" i="31" a="1"/>
  <c r="Z216" i="31" s="1"/>
  <c r="Z215" i="31" a="1"/>
  <c r="Z215" i="31" s="1"/>
  <c r="Z214" i="31" a="1"/>
  <c r="Z214" i="31" s="1"/>
  <c r="Z213" i="31" a="1"/>
  <c r="Z213" i="31" s="1"/>
  <c r="Z212" i="31" a="1"/>
  <c r="Z212" i="31" s="1"/>
  <c r="Z211" i="31" a="1"/>
  <c r="Z211" i="31" s="1"/>
  <c r="Z210" i="31" a="1"/>
  <c r="Z210" i="31" s="1"/>
  <c r="Z209" i="31" a="1"/>
  <c r="Z209" i="31" s="1"/>
  <c r="Z208" i="31" a="1"/>
  <c r="Z208" i="31" s="1"/>
  <c r="Z207" i="31" a="1"/>
  <c r="Z207" i="31" s="1"/>
  <c r="Y220" i="31" a="1"/>
  <c r="Y220" i="31" s="1"/>
  <c r="Y219" i="31" a="1"/>
  <c r="Y219" i="31" s="1"/>
  <c r="Y218" i="31" a="1"/>
  <c r="Y218" i="31" s="1"/>
  <c r="Y217" i="31" a="1"/>
  <c r="Y217" i="31" s="1"/>
  <c r="Y216" i="31" a="1"/>
  <c r="Y216" i="31" s="1"/>
  <c r="Y215" i="31" a="1"/>
  <c r="Y215" i="31" s="1"/>
  <c r="Y214" i="31" a="1"/>
  <c r="Y214" i="31" s="1"/>
  <c r="Y213" i="31" a="1"/>
  <c r="Y213" i="31" s="1"/>
  <c r="Y212" i="31" a="1"/>
  <c r="Y212" i="31" s="1"/>
  <c r="Y211" i="31" a="1"/>
  <c r="Y211" i="31" s="1"/>
  <c r="Y210" i="31" a="1"/>
  <c r="Y210" i="31" s="1"/>
  <c r="Y209" i="31" a="1"/>
  <c r="Y209" i="31" s="1"/>
  <c r="Y208" i="31" a="1"/>
  <c r="Y208" i="31" s="1"/>
  <c r="Y207" i="31" a="1"/>
  <c r="Y207" i="31" s="1"/>
  <c r="X220" i="31" a="1"/>
  <c r="X220" i="31" s="1"/>
  <c r="X219" i="31" a="1"/>
  <c r="X219" i="31" s="1"/>
  <c r="X218" i="31" a="1"/>
  <c r="X218" i="31" s="1"/>
  <c r="X217" i="31" a="1"/>
  <c r="X217" i="31" s="1"/>
  <c r="X216" i="31" a="1"/>
  <c r="X216" i="31" s="1"/>
  <c r="X215" i="31" a="1"/>
  <c r="X215" i="31" s="1"/>
  <c r="X214" i="31" a="1"/>
  <c r="X214" i="31" s="1"/>
  <c r="X213" i="31" a="1"/>
  <c r="X213" i="31" s="1"/>
  <c r="X212" i="31" a="1"/>
  <c r="X212" i="31" s="1"/>
  <c r="X211" i="31" a="1"/>
  <c r="X211" i="31" s="1"/>
  <c r="X210" i="31" a="1"/>
  <c r="X210" i="31" s="1"/>
  <c r="X209" i="31" a="1"/>
  <c r="X209" i="31" s="1"/>
  <c r="X208" i="31" a="1"/>
  <c r="X208" i="31" s="1"/>
  <c r="X207" i="31" a="1"/>
  <c r="X207" i="31" s="1"/>
  <c r="W220" i="31" a="1"/>
  <c r="W220" i="31" s="1"/>
  <c r="W219" i="31" a="1"/>
  <c r="W219" i="31" s="1"/>
  <c r="W218" i="31" a="1"/>
  <c r="W218" i="31" s="1"/>
  <c r="W217" i="31" a="1"/>
  <c r="W217" i="31" s="1"/>
  <c r="W216" i="31" a="1"/>
  <c r="W216" i="31" s="1"/>
  <c r="W215" i="31" a="1"/>
  <c r="W215" i="31" s="1"/>
  <c r="W214" i="31" a="1"/>
  <c r="W214" i="31" s="1"/>
  <c r="W213" i="31" a="1"/>
  <c r="W213" i="31" s="1"/>
  <c r="W212" i="31" a="1"/>
  <c r="W212" i="31" s="1"/>
  <c r="W211" i="31" a="1"/>
  <c r="W211" i="31" s="1"/>
  <c r="W210" i="31" a="1"/>
  <c r="W210" i="31" s="1"/>
  <c r="W209" i="31" a="1"/>
  <c r="W209" i="31" s="1"/>
  <c r="W208" i="31" a="1"/>
  <c r="W208" i="31" s="1"/>
  <c r="W207" i="31" a="1"/>
  <c r="W207" i="31" s="1"/>
  <c r="V220" i="31" a="1"/>
  <c r="V220" i="31" s="1"/>
  <c r="V219" i="31" a="1"/>
  <c r="V219" i="31" s="1"/>
  <c r="V218" i="31" a="1"/>
  <c r="V218" i="31" s="1"/>
  <c r="V217" i="31" a="1"/>
  <c r="V217" i="31" s="1"/>
  <c r="V216" i="31" a="1"/>
  <c r="V216" i="31" s="1"/>
  <c r="V215" i="31" a="1"/>
  <c r="V215" i="31" s="1"/>
  <c r="V214" i="31" a="1"/>
  <c r="V214" i="31" s="1"/>
  <c r="V213" i="31" a="1"/>
  <c r="V213" i="31" s="1"/>
  <c r="V212" i="31" a="1"/>
  <c r="V212" i="31" s="1"/>
  <c r="V211" i="31" a="1"/>
  <c r="V211" i="31" s="1"/>
  <c r="V210" i="31" a="1"/>
  <c r="V210" i="31" s="1"/>
  <c r="V209" i="31" a="1"/>
  <c r="V209" i="31" s="1"/>
  <c r="V208" i="31" a="1"/>
  <c r="V208" i="31" s="1"/>
  <c r="V207" i="31" a="1"/>
  <c r="V207" i="31" s="1"/>
  <c r="U220" i="31" a="1"/>
  <c r="U220" i="31" s="1"/>
  <c r="U219" i="31" a="1"/>
  <c r="U219" i="31" s="1"/>
  <c r="U218" i="31" a="1"/>
  <c r="U218" i="31" s="1"/>
  <c r="U217" i="31" a="1"/>
  <c r="U217" i="31" s="1"/>
  <c r="U216" i="31" a="1"/>
  <c r="U216" i="31" s="1"/>
  <c r="U215" i="31" a="1"/>
  <c r="U215" i="31" s="1"/>
  <c r="U214" i="31" a="1"/>
  <c r="U214" i="31" s="1"/>
  <c r="U213" i="31" a="1"/>
  <c r="U213" i="31" s="1"/>
  <c r="U212" i="31" a="1"/>
  <c r="U212" i="31" s="1"/>
  <c r="U211" i="31" a="1"/>
  <c r="U211" i="31" s="1"/>
  <c r="U210" i="31" a="1"/>
  <c r="U210" i="31" s="1"/>
  <c r="U209" i="31" a="1"/>
  <c r="U209" i="31" s="1"/>
  <c r="U208" i="31" a="1"/>
  <c r="U208" i="31" s="1"/>
  <c r="U207" i="31" a="1"/>
  <c r="U207" i="31" s="1"/>
  <c r="Z249" i="31"/>
  <c r="Z248" i="31" s="1"/>
  <c r="Z247" i="31"/>
  <c r="Z246" i="31"/>
  <c r="Z243" i="31"/>
  <c r="Z242" i="31"/>
  <c r="Z241" i="31"/>
  <c r="Z240" i="31"/>
  <c r="Z239" i="31"/>
  <c r="Z238" i="31"/>
  <c r="Z245" i="31"/>
  <c r="Z244" i="31"/>
  <c r="Z237" i="31"/>
  <c r="Z236" i="31"/>
  <c r="Z235" i="31"/>
  <c r="Z233" i="31"/>
  <c r="Z234" i="31"/>
  <c r="Z232" i="31"/>
  <c r="Z230" i="31"/>
  <c r="Z231" i="31"/>
  <c r="Z228" i="31"/>
  <c r="Z229" i="31"/>
  <c r="Z227" i="31"/>
  <c r="Z226" i="31"/>
  <c r="Z225" i="31"/>
  <c r="Z224" i="31"/>
  <c r="Z200" i="31"/>
  <c r="Z194" i="31"/>
  <c r="Z192" i="31"/>
  <c r="Z193" i="31"/>
  <c r="Z191" i="31"/>
  <c r="Z190" i="31"/>
  <c r="Z189" i="31"/>
  <c r="Z188" i="31"/>
  <c r="Z187" i="31"/>
  <c r="Z186" i="31"/>
  <c r="Z185" i="31"/>
  <c r="Z184" i="31"/>
  <c r="Z182" i="31"/>
  <c r="Z183" i="31"/>
  <c r="Z181" i="31"/>
  <c r="Z180" i="31"/>
  <c r="Z179" i="31"/>
  <c r="Z178" i="31"/>
  <c r="Z177" i="31"/>
  <c r="Z172" i="31"/>
  <c r="Z169" i="31"/>
  <c r="Z168" i="31"/>
  <c r="Z167" i="31"/>
  <c r="Z165" i="31"/>
  <c r="Z164" i="31" s="1"/>
  <c r="Z163" i="31"/>
  <c r="Z159" i="31"/>
  <c r="Z162" i="31"/>
  <c r="Z161" i="31"/>
  <c r="Z160" i="31"/>
  <c r="Z158" i="31"/>
  <c r="Z157" i="31"/>
  <c r="Z155" i="31"/>
  <c r="Z154" i="31"/>
  <c r="Z156" i="31"/>
  <c r="Z151" i="31"/>
  <c r="Z152" i="31"/>
  <c r="Z150" i="31"/>
  <c r="Z149" i="31"/>
  <c r="Z148" i="31"/>
  <c r="Z147" i="31"/>
  <c r="Z146" i="31"/>
  <c r="Z145" i="31"/>
  <c r="Z144" i="31"/>
  <c r="Z142" i="31"/>
  <c r="Z141" i="31"/>
  <c r="Z143" i="31"/>
  <c r="Z137" i="31"/>
  <c r="Z140" i="31"/>
  <c r="Z139" i="31"/>
  <c r="Z138" i="31"/>
  <c r="Z135" i="31"/>
  <c r="Z136" i="31"/>
  <c r="Z134" i="31"/>
  <c r="Z133" i="31"/>
  <c r="Z130" i="31"/>
  <c r="Z132" i="31"/>
  <c r="Z131" i="31"/>
  <c r="Z129" i="31"/>
  <c r="Z128" i="31"/>
  <c r="Z127" i="31"/>
  <c r="Z115" i="31"/>
  <c r="Z113" i="31"/>
  <c r="Z114" i="31"/>
  <c r="Z110" i="31"/>
  <c r="Z112" i="31"/>
  <c r="Z111" i="31"/>
  <c r="Z109" i="31"/>
  <c r="Z107" i="31"/>
  <c r="Z108" i="31"/>
  <c r="Z106" i="31"/>
  <c r="Z105" i="31"/>
  <c r="Z104" i="31"/>
  <c r="Z102" i="31"/>
  <c r="Z101" i="31"/>
  <c r="Z100" i="31"/>
  <c r="Z99" i="31"/>
  <c r="Z98" i="31"/>
  <c r="Z97" i="31"/>
  <c r="Z93" i="31"/>
  <c r="Z96" i="31"/>
  <c r="Z95" i="31"/>
  <c r="Z90" i="31"/>
  <c r="Z92" i="31"/>
  <c r="Z91" i="31"/>
  <c r="Z88" i="31"/>
  <c r="Z89" i="31"/>
  <c r="Z84" i="31"/>
  <c r="Z83" i="31"/>
  <c r="Z82" i="31"/>
  <c r="Z81" i="31"/>
  <c r="Z86" i="31"/>
  <c r="Z85" i="31" s="1"/>
  <c r="Z70" i="31"/>
  <c r="Z69" i="31"/>
  <c r="Z68" i="31"/>
  <c r="Z79" i="31"/>
  <c r="Z78" i="31"/>
  <c r="Z77" i="31"/>
  <c r="Z76" i="31"/>
  <c r="Z75" i="31"/>
  <c r="Z74" i="31"/>
  <c r="Z73" i="31"/>
  <c r="Z72" i="31"/>
  <c r="Z44" i="31"/>
  <c r="Z43" i="31"/>
  <c r="Z41" i="31"/>
  <c r="Z42" i="31"/>
  <c r="Z40" i="31"/>
  <c r="Z38" i="31"/>
  <c r="Z39" i="31"/>
  <c r="Z37" i="31"/>
  <c r="Z36" i="31"/>
  <c r="Z35" i="31"/>
  <c r="Z34" i="31"/>
  <c r="Z22" i="31"/>
  <c r="Y249" i="31"/>
  <c r="Y248" i="31" s="1"/>
  <c r="Y247" i="31"/>
  <c r="Y246" i="31"/>
  <c r="Y243" i="31"/>
  <c r="Y242" i="31"/>
  <c r="Y241" i="31"/>
  <c r="Y240" i="31"/>
  <c r="Y239" i="31"/>
  <c r="Y238" i="31"/>
  <c r="Y245" i="31"/>
  <c r="Y244" i="31"/>
  <c r="Y237" i="31"/>
  <c r="Y236" i="31"/>
  <c r="Y235" i="31"/>
  <c r="Y233" i="31"/>
  <c r="Y234" i="31"/>
  <c r="Y232" i="31"/>
  <c r="Y230" i="31"/>
  <c r="Y231" i="31"/>
  <c r="Y228" i="31"/>
  <c r="Y229" i="31"/>
  <c r="Y227" i="31"/>
  <c r="Y226" i="31"/>
  <c r="Y225" i="31"/>
  <c r="Y224" i="31"/>
  <c r="Y200" i="31"/>
  <c r="Y194" i="31"/>
  <c r="Y192" i="31"/>
  <c r="Y193" i="31"/>
  <c r="Y191" i="31"/>
  <c r="Y190" i="31"/>
  <c r="Y189" i="31"/>
  <c r="Y188" i="31"/>
  <c r="Y187" i="31"/>
  <c r="Y186" i="31"/>
  <c r="Y185" i="31"/>
  <c r="Y184" i="31"/>
  <c r="Y182" i="31"/>
  <c r="Y183" i="31"/>
  <c r="Y181" i="31"/>
  <c r="Y180" i="31"/>
  <c r="Y179" i="31"/>
  <c r="Y178" i="31"/>
  <c r="Y177" i="31"/>
  <c r="Y172" i="31"/>
  <c r="Y169" i="31"/>
  <c r="Y168" i="31"/>
  <c r="Y167" i="31"/>
  <c r="Y165" i="31"/>
  <c r="Y164" i="31" s="1"/>
  <c r="Y163" i="31"/>
  <c r="Y159" i="31"/>
  <c r="Y162" i="31"/>
  <c r="Y161" i="31"/>
  <c r="Y160" i="31"/>
  <c r="Y158" i="31"/>
  <c r="Y157" i="31"/>
  <c r="Y155" i="31"/>
  <c r="Y154" i="31"/>
  <c r="Y156" i="31"/>
  <c r="Y151" i="31"/>
  <c r="Y152" i="31"/>
  <c r="Y150" i="31"/>
  <c r="Y149" i="31"/>
  <c r="Y148" i="31"/>
  <c r="Y147" i="31"/>
  <c r="Y146" i="31"/>
  <c r="Y145" i="31"/>
  <c r="Y144" i="31"/>
  <c r="Y142" i="31"/>
  <c r="Y141" i="31"/>
  <c r="Y143" i="31"/>
  <c r="Y137" i="31"/>
  <c r="Y140" i="31"/>
  <c r="Y139" i="31"/>
  <c r="Y138" i="31"/>
  <c r="Y135" i="31"/>
  <c r="Y136" i="31"/>
  <c r="Y134" i="31"/>
  <c r="Y133" i="31"/>
  <c r="Y130" i="31"/>
  <c r="Y132" i="31"/>
  <c r="Y131" i="31"/>
  <c r="Y129" i="31"/>
  <c r="Y128" i="31"/>
  <c r="Y127" i="31"/>
  <c r="Y115" i="31"/>
  <c r="Y113" i="31"/>
  <c r="Y114" i="31"/>
  <c r="Y110" i="31"/>
  <c r="Y112" i="31"/>
  <c r="Y111" i="31"/>
  <c r="Y109" i="31"/>
  <c r="Y107" i="31"/>
  <c r="Y108" i="31"/>
  <c r="Y106" i="31"/>
  <c r="Y105" i="31"/>
  <c r="Y104" i="31"/>
  <c r="Y102" i="31"/>
  <c r="Y101" i="31"/>
  <c r="Y100" i="31"/>
  <c r="Y99" i="31"/>
  <c r="Y98" i="31"/>
  <c r="Y97" i="31"/>
  <c r="Y93" i="31"/>
  <c r="Y96" i="31"/>
  <c r="Y95" i="31"/>
  <c r="Y90" i="31"/>
  <c r="Y92" i="31"/>
  <c r="Y91" i="31"/>
  <c r="Y88" i="31"/>
  <c r="Y89" i="31"/>
  <c r="Y84" i="31"/>
  <c r="Y83" i="31"/>
  <c r="Y82" i="31"/>
  <c r="Y81" i="31"/>
  <c r="Y86" i="31"/>
  <c r="Y85" i="31" s="1"/>
  <c r="Y70" i="31"/>
  <c r="Y69" i="31"/>
  <c r="Y68" i="31"/>
  <c r="Y79" i="31"/>
  <c r="Y78" i="31"/>
  <c r="Y77" i="31"/>
  <c r="Y76" i="31"/>
  <c r="Y75" i="31"/>
  <c r="Y74" i="31"/>
  <c r="Y73" i="31"/>
  <c r="Y72" i="31"/>
  <c r="Y44" i="31"/>
  <c r="Y43" i="31"/>
  <c r="Y41" i="31"/>
  <c r="Y42" i="31"/>
  <c r="Y40" i="31"/>
  <c r="Y38" i="31"/>
  <c r="Y39" i="31"/>
  <c r="Y37" i="31"/>
  <c r="Y36" i="31"/>
  <c r="Y35" i="31"/>
  <c r="Y34" i="31"/>
  <c r="Y22" i="31"/>
  <c r="X249" i="31"/>
  <c r="X248" i="31" s="1"/>
  <c r="X247" i="31"/>
  <c r="X246" i="31"/>
  <c r="X243" i="31"/>
  <c r="X242" i="31"/>
  <c r="X241" i="31"/>
  <c r="X240" i="31"/>
  <c r="X239" i="31"/>
  <c r="X238" i="31"/>
  <c r="X245" i="31"/>
  <c r="X244" i="31"/>
  <c r="X237" i="31"/>
  <c r="X236" i="31"/>
  <c r="X235" i="31"/>
  <c r="X233" i="31"/>
  <c r="X234" i="31"/>
  <c r="X232" i="31"/>
  <c r="X230" i="31"/>
  <c r="X231" i="31"/>
  <c r="X228" i="31"/>
  <c r="X229" i="31"/>
  <c r="X227" i="31"/>
  <c r="X226" i="31"/>
  <c r="X225" i="31"/>
  <c r="X224" i="31"/>
  <c r="X200" i="31"/>
  <c r="X194" i="31"/>
  <c r="X192" i="31"/>
  <c r="X193" i="31"/>
  <c r="X191" i="31"/>
  <c r="X190" i="31"/>
  <c r="X189" i="31"/>
  <c r="X188" i="31"/>
  <c r="X187" i="31"/>
  <c r="X186" i="31"/>
  <c r="X185" i="31"/>
  <c r="X184" i="31"/>
  <c r="X182" i="31"/>
  <c r="X183" i="31"/>
  <c r="X181" i="31"/>
  <c r="X180" i="31"/>
  <c r="X179" i="31"/>
  <c r="X178" i="31"/>
  <c r="X177" i="31"/>
  <c r="X172" i="31"/>
  <c r="X169" i="31"/>
  <c r="X168" i="31"/>
  <c r="X167" i="31"/>
  <c r="X165" i="31"/>
  <c r="X164" i="31" s="1"/>
  <c r="X163" i="31"/>
  <c r="X159" i="31"/>
  <c r="X162" i="31"/>
  <c r="X161" i="31"/>
  <c r="X160" i="31"/>
  <c r="X158" i="31"/>
  <c r="X157" i="31"/>
  <c r="X155" i="31"/>
  <c r="X154" i="31"/>
  <c r="X156" i="31"/>
  <c r="X151" i="31"/>
  <c r="X152" i="31"/>
  <c r="X150" i="31"/>
  <c r="X149" i="31"/>
  <c r="X148" i="31"/>
  <c r="X147" i="31"/>
  <c r="X146" i="31"/>
  <c r="X145" i="31"/>
  <c r="X144" i="31"/>
  <c r="X142" i="31"/>
  <c r="X141" i="31"/>
  <c r="X143" i="31"/>
  <c r="X137" i="31"/>
  <c r="X140" i="31"/>
  <c r="X139" i="31"/>
  <c r="X138" i="31"/>
  <c r="X135" i="31"/>
  <c r="X136" i="31"/>
  <c r="X134" i="31"/>
  <c r="X133" i="31"/>
  <c r="X130" i="31"/>
  <c r="X132" i="31"/>
  <c r="X131" i="31"/>
  <c r="X129" i="31"/>
  <c r="X128" i="31"/>
  <c r="X127" i="31"/>
  <c r="X115" i="31"/>
  <c r="X113" i="31"/>
  <c r="X114" i="31"/>
  <c r="X110" i="31"/>
  <c r="X112" i="31"/>
  <c r="X111" i="31"/>
  <c r="X109" i="31"/>
  <c r="X107" i="31"/>
  <c r="X108" i="31"/>
  <c r="X106" i="31"/>
  <c r="X105" i="31"/>
  <c r="X104" i="31"/>
  <c r="X102" i="31"/>
  <c r="X101" i="31"/>
  <c r="X100" i="31"/>
  <c r="X99" i="31"/>
  <c r="X98" i="31"/>
  <c r="X97" i="31"/>
  <c r="X93" i="31"/>
  <c r="X96" i="31"/>
  <c r="X95" i="31"/>
  <c r="X90" i="31"/>
  <c r="X92" i="31"/>
  <c r="X91" i="31"/>
  <c r="X88" i="31"/>
  <c r="X89" i="31"/>
  <c r="X84" i="31"/>
  <c r="X83" i="31"/>
  <c r="X82" i="31"/>
  <c r="X81" i="31"/>
  <c r="X86" i="31"/>
  <c r="X85" i="31" s="1"/>
  <c r="X70" i="31"/>
  <c r="X69" i="31"/>
  <c r="X68" i="31"/>
  <c r="X79" i="31"/>
  <c r="X78" i="31"/>
  <c r="X77" i="31"/>
  <c r="X76" i="31"/>
  <c r="X75" i="31"/>
  <c r="X74" i="31"/>
  <c r="X73" i="31"/>
  <c r="X72" i="31"/>
  <c r="X44" i="31"/>
  <c r="X43" i="31"/>
  <c r="X41" i="31"/>
  <c r="X42" i="31"/>
  <c r="X40" i="31"/>
  <c r="X38" i="31"/>
  <c r="X39" i="31"/>
  <c r="X37" i="31"/>
  <c r="X36" i="31"/>
  <c r="X35" i="31"/>
  <c r="X34" i="31"/>
  <c r="X22" i="31"/>
  <c r="W249" i="31"/>
  <c r="W248" i="31" s="1"/>
  <c r="W247" i="31"/>
  <c r="W246" i="31"/>
  <c r="W243" i="31"/>
  <c r="W242" i="31"/>
  <c r="W241" i="31"/>
  <c r="W240" i="31"/>
  <c r="W239" i="31"/>
  <c r="W238" i="31"/>
  <c r="W245" i="31"/>
  <c r="W244" i="31"/>
  <c r="W237" i="31"/>
  <c r="W236" i="31"/>
  <c r="W235" i="31"/>
  <c r="W233" i="31"/>
  <c r="W234" i="31"/>
  <c r="W232" i="31"/>
  <c r="W230" i="31"/>
  <c r="W231" i="31"/>
  <c r="W228" i="31"/>
  <c r="W229" i="31"/>
  <c r="W227" i="31"/>
  <c r="W226" i="31"/>
  <c r="W225" i="31"/>
  <c r="W224" i="31"/>
  <c r="W200" i="31"/>
  <c r="W194" i="31"/>
  <c r="W192" i="31"/>
  <c r="W193" i="31"/>
  <c r="W191" i="31"/>
  <c r="W190" i="31"/>
  <c r="W189" i="31"/>
  <c r="W188" i="31"/>
  <c r="W187" i="31"/>
  <c r="W186" i="31"/>
  <c r="W185" i="31"/>
  <c r="W184" i="31"/>
  <c r="W182" i="31"/>
  <c r="W183" i="31"/>
  <c r="W181" i="31"/>
  <c r="W180" i="31"/>
  <c r="W179" i="31"/>
  <c r="W178" i="31"/>
  <c r="W177" i="31"/>
  <c r="W172" i="31"/>
  <c r="W169" i="31"/>
  <c r="W168" i="31"/>
  <c r="W167" i="31"/>
  <c r="W165" i="31"/>
  <c r="W164" i="31" s="1"/>
  <c r="W163" i="31"/>
  <c r="W159" i="31"/>
  <c r="W162" i="31"/>
  <c r="W161" i="31"/>
  <c r="W160" i="31"/>
  <c r="W158" i="31"/>
  <c r="W157" i="31"/>
  <c r="W155" i="31"/>
  <c r="W154" i="31"/>
  <c r="W156" i="31"/>
  <c r="W151" i="31"/>
  <c r="W152" i="31"/>
  <c r="W150" i="31"/>
  <c r="W149" i="31"/>
  <c r="W148" i="31"/>
  <c r="W147" i="31"/>
  <c r="W146" i="31"/>
  <c r="W145" i="31"/>
  <c r="W144" i="31"/>
  <c r="W142" i="31"/>
  <c r="W141" i="31"/>
  <c r="W143" i="31"/>
  <c r="W137" i="31"/>
  <c r="W140" i="31"/>
  <c r="W139" i="31"/>
  <c r="W138" i="31"/>
  <c r="W135" i="31"/>
  <c r="W136" i="31"/>
  <c r="W134" i="31"/>
  <c r="W133" i="31"/>
  <c r="W130" i="31"/>
  <c r="W132" i="31"/>
  <c r="W131" i="31"/>
  <c r="W129" i="31"/>
  <c r="W128" i="31"/>
  <c r="W127" i="31"/>
  <c r="W115" i="31"/>
  <c r="W113" i="31"/>
  <c r="W114" i="31"/>
  <c r="W110" i="31"/>
  <c r="W112" i="31"/>
  <c r="W111" i="31"/>
  <c r="W109" i="31"/>
  <c r="W107" i="31"/>
  <c r="W108" i="31"/>
  <c r="W106" i="31"/>
  <c r="W105" i="31"/>
  <c r="W104" i="31"/>
  <c r="W102" i="31"/>
  <c r="W101" i="31"/>
  <c r="W100" i="31"/>
  <c r="W99" i="31"/>
  <c r="W98" i="31"/>
  <c r="W97" i="31"/>
  <c r="W93" i="31"/>
  <c r="W96" i="31"/>
  <c r="W95" i="31"/>
  <c r="W90" i="31"/>
  <c r="W92" i="31"/>
  <c r="W91" i="31"/>
  <c r="W88" i="31"/>
  <c r="W89" i="31"/>
  <c r="W84" i="31"/>
  <c r="W83" i="31"/>
  <c r="W82" i="31"/>
  <c r="W81" i="31"/>
  <c r="W86" i="31"/>
  <c r="W85" i="31" s="1"/>
  <c r="W70" i="31"/>
  <c r="W69" i="31"/>
  <c r="W68" i="31"/>
  <c r="W79" i="31"/>
  <c r="W78" i="31"/>
  <c r="W77" i="31"/>
  <c r="W76" i="31"/>
  <c r="W75" i="31"/>
  <c r="W74" i="31"/>
  <c r="W73" i="31"/>
  <c r="W72" i="31"/>
  <c r="W44" i="31"/>
  <c r="W43" i="31"/>
  <c r="W41" i="31"/>
  <c r="W42" i="31"/>
  <c r="W40" i="31"/>
  <c r="W38" i="31"/>
  <c r="W39" i="31"/>
  <c r="W37" i="31"/>
  <c r="W36" i="31"/>
  <c r="W35" i="31"/>
  <c r="W34" i="31"/>
  <c r="W22" i="31"/>
  <c r="V249" i="31"/>
  <c r="V248" i="31" s="1"/>
  <c r="V247" i="31"/>
  <c r="V246" i="31"/>
  <c r="V243" i="31"/>
  <c r="V242" i="31"/>
  <c r="V241" i="31"/>
  <c r="V240" i="31"/>
  <c r="V239" i="31"/>
  <c r="V238" i="31"/>
  <c r="V245" i="31"/>
  <c r="V244" i="31"/>
  <c r="V237" i="31"/>
  <c r="V236" i="31"/>
  <c r="V235" i="31"/>
  <c r="V233" i="31"/>
  <c r="V234" i="31"/>
  <c r="V232" i="31"/>
  <c r="V230" i="31"/>
  <c r="V231" i="31"/>
  <c r="V228" i="31"/>
  <c r="V229" i="31"/>
  <c r="V227" i="31"/>
  <c r="V226" i="31"/>
  <c r="V225" i="31"/>
  <c r="V224" i="31"/>
  <c r="V200" i="31"/>
  <c r="V194" i="31"/>
  <c r="V192" i="31"/>
  <c r="V193" i="31"/>
  <c r="V191" i="31"/>
  <c r="V190" i="31"/>
  <c r="V189" i="31"/>
  <c r="V188" i="31"/>
  <c r="V187" i="31"/>
  <c r="V186" i="31"/>
  <c r="V185" i="31"/>
  <c r="V184" i="31"/>
  <c r="V182" i="31"/>
  <c r="V183" i="31"/>
  <c r="V181" i="31"/>
  <c r="V180" i="31"/>
  <c r="V179" i="31"/>
  <c r="V178" i="31"/>
  <c r="V177" i="31"/>
  <c r="V172" i="31"/>
  <c r="V169" i="31"/>
  <c r="V168" i="31"/>
  <c r="V167" i="31"/>
  <c r="V165" i="31"/>
  <c r="V164" i="31" s="1"/>
  <c r="V163" i="31"/>
  <c r="V159" i="31"/>
  <c r="V162" i="31"/>
  <c r="V161" i="31"/>
  <c r="V160" i="31"/>
  <c r="V158" i="31"/>
  <c r="V157" i="31"/>
  <c r="V155" i="31"/>
  <c r="V154" i="31"/>
  <c r="V156" i="31"/>
  <c r="V151" i="31"/>
  <c r="V152" i="31"/>
  <c r="V150" i="31"/>
  <c r="V149" i="31"/>
  <c r="V148" i="31"/>
  <c r="V147" i="31"/>
  <c r="V146" i="31"/>
  <c r="V145" i="31"/>
  <c r="V144" i="31"/>
  <c r="V142" i="31"/>
  <c r="V141" i="31"/>
  <c r="V143" i="31"/>
  <c r="V137" i="31"/>
  <c r="V140" i="31"/>
  <c r="V139" i="31"/>
  <c r="V138" i="31"/>
  <c r="V135" i="31"/>
  <c r="V136" i="31"/>
  <c r="V134" i="31"/>
  <c r="V133" i="31"/>
  <c r="V130" i="31"/>
  <c r="V132" i="31"/>
  <c r="V131" i="31"/>
  <c r="V129" i="31"/>
  <c r="V128" i="31"/>
  <c r="V127" i="31"/>
  <c r="V115" i="31"/>
  <c r="V113" i="31"/>
  <c r="V114" i="31"/>
  <c r="V110" i="31"/>
  <c r="V112" i="31"/>
  <c r="V111" i="31"/>
  <c r="V109" i="31"/>
  <c r="V107" i="31"/>
  <c r="V108" i="31"/>
  <c r="V106" i="31"/>
  <c r="V105" i="31"/>
  <c r="V104" i="31"/>
  <c r="V102" i="31"/>
  <c r="V101" i="31"/>
  <c r="V100" i="31"/>
  <c r="V99" i="31"/>
  <c r="V98" i="31"/>
  <c r="V97" i="31"/>
  <c r="V93" i="31"/>
  <c r="V96" i="31"/>
  <c r="V95" i="31"/>
  <c r="V90" i="31"/>
  <c r="V92" i="31"/>
  <c r="V91" i="31"/>
  <c r="V88" i="31"/>
  <c r="V89" i="31"/>
  <c r="V84" i="31"/>
  <c r="V83" i="31"/>
  <c r="V82" i="31"/>
  <c r="V81" i="31"/>
  <c r="V86" i="31"/>
  <c r="V85" i="31" s="1"/>
  <c r="V70" i="31"/>
  <c r="V69" i="31"/>
  <c r="V68" i="31"/>
  <c r="V79" i="31"/>
  <c r="V78" i="31"/>
  <c r="V77" i="31"/>
  <c r="V76" i="31"/>
  <c r="V75" i="31"/>
  <c r="V74" i="31"/>
  <c r="V73" i="31"/>
  <c r="V72" i="31"/>
  <c r="V44" i="31"/>
  <c r="V43" i="31"/>
  <c r="V41" i="31"/>
  <c r="V42" i="31"/>
  <c r="V40" i="31"/>
  <c r="V38" i="31"/>
  <c r="V39" i="31"/>
  <c r="V37" i="31"/>
  <c r="V36" i="31"/>
  <c r="V35" i="31"/>
  <c r="V34" i="31"/>
  <c r="V22" i="31"/>
  <c r="U249" i="31"/>
  <c r="U248" i="31" s="1"/>
  <c r="U247" i="31"/>
  <c r="U246" i="31"/>
  <c r="U243" i="31"/>
  <c r="U242" i="31"/>
  <c r="U241" i="31"/>
  <c r="U240" i="31"/>
  <c r="U239" i="31"/>
  <c r="U238" i="31"/>
  <c r="U245" i="31"/>
  <c r="U244" i="31"/>
  <c r="U237" i="31"/>
  <c r="U236" i="31"/>
  <c r="U235" i="31"/>
  <c r="U233" i="31"/>
  <c r="U234" i="31"/>
  <c r="U232" i="31"/>
  <c r="U230" i="31"/>
  <c r="U231" i="31"/>
  <c r="U228" i="31"/>
  <c r="U229" i="31"/>
  <c r="U227" i="31"/>
  <c r="U226" i="31"/>
  <c r="U225" i="31"/>
  <c r="U224" i="31"/>
  <c r="U194" i="31"/>
  <c r="U192" i="31"/>
  <c r="U193" i="31"/>
  <c r="U191" i="31"/>
  <c r="U190" i="31"/>
  <c r="U189" i="31"/>
  <c r="U188" i="31"/>
  <c r="U187" i="31"/>
  <c r="U186" i="31"/>
  <c r="U185" i="31"/>
  <c r="U184" i="31"/>
  <c r="U182" i="31"/>
  <c r="U183" i="31"/>
  <c r="U181" i="31"/>
  <c r="U180" i="31"/>
  <c r="U179" i="31"/>
  <c r="U178" i="31"/>
  <c r="U177" i="31"/>
  <c r="U172" i="31"/>
  <c r="U169" i="31"/>
  <c r="U168" i="31"/>
  <c r="U167" i="31"/>
  <c r="U165" i="31"/>
  <c r="U164" i="31" s="1"/>
  <c r="U163" i="31"/>
  <c r="U159" i="31"/>
  <c r="U162" i="31"/>
  <c r="U161" i="31"/>
  <c r="U160" i="31"/>
  <c r="U158" i="31"/>
  <c r="U157" i="31"/>
  <c r="U155" i="31"/>
  <c r="U154" i="31"/>
  <c r="U156" i="31"/>
  <c r="U151" i="31"/>
  <c r="U152" i="31"/>
  <c r="U150" i="31"/>
  <c r="U149" i="31"/>
  <c r="U148" i="31"/>
  <c r="U147" i="31"/>
  <c r="U146" i="31"/>
  <c r="U145" i="31"/>
  <c r="U144" i="31"/>
  <c r="U142" i="31"/>
  <c r="U141" i="31"/>
  <c r="U143" i="31"/>
  <c r="U137" i="31"/>
  <c r="U140" i="31"/>
  <c r="U139" i="31"/>
  <c r="U138" i="31"/>
  <c r="U135" i="31"/>
  <c r="U136" i="31"/>
  <c r="U134" i="31"/>
  <c r="U133" i="31"/>
  <c r="U130" i="31"/>
  <c r="U132" i="31"/>
  <c r="U131" i="31"/>
  <c r="U129" i="31"/>
  <c r="U128" i="31"/>
  <c r="U127" i="31"/>
  <c r="U115" i="31"/>
  <c r="U113" i="31"/>
  <c r="U114" i="31"/>
  <c r="U110" i="31"/>
  <c r="U112" i="31"/>
  <c r="U111" i="31"/>
  <c r="U109" i="31"/>
  <c r="U107" i="31"/>
  <c r="U108" i="31"/>
  <c r="U106" i="31"/>
  <c r="U105" i="31"/>
  <c r="U104" i="31"/>
  <c r="U102" i="31"/>
  <c r="U101" i="31"/>
  <c r="U100" i="31"/>
  <c r="U99" i="31"/>
  <c r="U98" i="31"/>
  <c r="U97" i="31"/>
  <c r="U93" i="31"/>
  <c r="U96" i="31"/>
  <c r="U95" i="31"/>
  <c r="U90" i="31"/>
  <c r="U92" i="31"/>
  <c r="U91" i="31"/>
  <c r="U88" i="31"/>
  <c r="U89" i="31"/>
  <c r="U84" i="31"/>
  <c r="U83" i="31"/>
  <c r="U82" i="31"/>
  <c r="U81" i="31"/>
  <c r="U86" i="31"/>
  <c r="U85" i="31" s="1"/>
  <c r="U70" i="31"/>
  <c r="U69" i="31"/>
  <c r="U68" i="31"/>
  <c r="U79" i="31"/>
  <c r="U78" i="31"/>
  <c r="U77" i="31"/>
  <c r="U76" i="31"/>
  <c r="U75" i="31"/>
  <c r="U74" i="31"/>
  <c r="U73" i="31"/>
  <c r="U72" i="31"/>
  <c r="U44" i="31"/>
  <c r="U43" i="31"/>
  <c r="U41" i="31"/>
  <c r="U42" i="31"/>
  <c r="U40" i="31"/>
  <c r="U38" i="31"/>
  <c r="U39" i="31"/>
  <c r="U37" i="31"/>
  <c r="U36" i="31"/>
  <c r="U35" i="31"/>
  <c r="U34" i="31"/>
  <c r="T249" i="31"/>
  <c r="T248" i="31" s="1"/>
  <c r="T247" i="31"/>
  <c r="T246" i="31"/>
  <c r="T243" i="31"/>
  <c r="T242" i="31"/>
  <c r="T241" i="31"/>
  <c r="T240" i="31"/>
  <c r="T239" i="31"/>
  <c r="T238" i="31"/>
  <c r="T245" i="31"/>
  <c r="T244" i="31"/>
  <c r="T237" i="31"/>
  <c r="T236" i="31"/>
  <c r="T235" i="31"/>
  <c r="T233" i="31"/>
  <c r="T234" i="31"/>
  <c r="T232" i="31"/>
  <c r="T230" i="31"/>
  <c r="T231" i="31"/>
  <c r="T228" i="31"/>
  <c r="T229" i="31"/>
  <c r="T227" i="31"/>
  <c r="T226" i="31"/>
  <c r="T225" i="31"/>
  <c r="T224" i="31"/>
  <c r="T220" i="31" a="1"/>
  <c r="T220" i="31" s="1"/>
  <c r="T219" i="31" a="1"/>
  <c r="T219" i="31" s="1"/>
  <c r="T218" i="31" a="1"/>
  <c r="T218" i="31" s="1"/>
  <c r="T217" i="31" a="1"/>
  <c r="T217" i="31" s="1"/>
  <c r="T216" i="31" a="1"/>
  <c r="T216" i="31" s="1"/>
  <c r="T215" i="31" a="1"/>
  <c r="T215" i="31" s="1"/>
  <c r="T214" i="31" a="1"/>
  <c r="T214" i="31" s="1"/>
  <c r="T213" i="31" a="1"/>
  <c r="T213" i="31" s="1"/>
  <c r="T212" i="31" a="1"/>
  <c r="T212" i="31" s="1"/>
  <c r="T211" i="31" a="1"/>
  <c r="T211" i="31" s="1"/>
  <c r="T210" i="31" a="1"/>
  <c r="T210" i="31" s="1"/>
  <c r="T209" i="31" a="1"/>
  <c r="T209" i="31" s="1"/>
  <c r="T208" i="31" a="1"/>
  <c r="T208" i="31" s="1"/>
  <c r="T207" i="31" a="1"/>
  <c r="T207" i="31" s="1"/>
  <c r="T194" i="31"/>
  <c r="T192" i="31"/>
  <c r="T193" i="31"/>
  <c r="T191" i="31"/>
  <c r="T190" i="31"/>
  <c r="T189" i="31"/>
  <c r="T188" i="31"/>
  <c r="T187" i="31"/>
  <c r="T186" i="31"/>
  <c r="T185" i="31"/>
  <c r="T184" i="31"/>
  <c r="T182" i="31"/>
  <c r="T183" i="31"/>
  <c r="T181" i="31"/>
  <c r="T180" i="31"/>
  <c r="T179" i="31"/>
  <c r="T178" i="31"/>
  <c r="T177" i="31"/>
  <c r="T172" i="31"/>
  <c r="T169" i="31"/>
  <c r="T168" i="31"/>
  <c r="T167" i="31"/>
  <c r="T165" i="31"/>
  <c r="T164" i="31" s="1"/>
  <c r="T163" i="31"/>
  <c r="T159" i="31"/>
  <c r="T162" i="31"/>
  <c r="T161" i="31"/>
  <c r="T160" i="31"/>
  <c r="T158" i="31"/>
  <c r="T157" i="31"/>
  <c r="T155" i="31"/>
  <c r="T154" i="31"/>
  <c r="T156" i="31"/>
  <c r="T151" i="31"/>
  <c r="T152" i="31"/>
  <c r="T150" i="31"/>
  <c r="T149" i="31"/>
  <c r="T148" i="31"/>
  <c r="T147" i="31"/>
  <c r="T146" i="31"/>
  <c r="T145" i="31"/>
  <c r="T144" i="31"/>
  <c r="T142" i="31"/>
  <c r="T141" i="31"/>
  <c r="T143" i="31"/>
  <c r="T137" i="31"/>
  <c r="T140" i="31"/>
  <c r="T139" i="31"/>
  <c r="T138" i="31"/>
  <c r="T135" i="31"/>
  <c r="T136" i="31"/>
  <c r="T134" i="31"/>
  <c r="T133" i="31"/>
  <c r="T130" i="31"/>
  <c r="T132" i="31"/>
  <c r="T131" i="31"/>
  <c r="T129" i="31"/>
  <c r="T128" i="31"/>
  <c r="T127" i="31"/>
  <c r="T115" i="31"/>
  <c r="T113" i="31"/>
  <c r="T114" i="31"/>
  <c r="T110" i="31"/>
  <c r="T112" i="31"/>
  <c r="T111" i="31"/>
  <c r="T109" i="31"/>
  <c r="T107" i="31"/>
  <c r="T108" i="31"/>
  <c r="T106" i="31"/>
  <c r="T105" i="31"/>
  <c r="T104" i="31"/>
  <c r="T102" i="31"/>
  <c r="T101" i="31"/>
  <c r="T100" i="31"/>
  <c r="T99" i="31"/>
  <c r="T98" i="31"/>
  <c r="T97" i="31"/>
  <c r="T93" i="31"/>
  <c r="T96" i="31"/>
  <c r="T95" i="31"/>
  <c r="T90" i="31"/>
  <c r="T92" i="31"/>
  <c r="T91" i="31"/>
  <c r="T88" i="31"/>
  <c r="T89" i="31"/>
  <c r="T84" i="31"/>
  <c r="T83" i="31"/>
  <c r="T82" i="31"/>
  <c r="T81" i="31"/>
  <c r="T86" i="31"/>
  <c r="T85" i="31" s="1"/>
  <c r="T70" i="31"/>
  <c r="T69" i="31"/>
  <c r="T68" i="31"/>
  <c r="T79" i="31"/>
  <c r="T78" i="31"/>
  <c r="T77" i="31"/>
  <c r="T76" i="31"/>
  <c r="T75" i="31"/>
  <c r="T74" i="31"/>
  <c r="T73" i="31"/>
  <c r="T72" i="31"/>
  <c r="T44" i="31"/>
  <c r="T43" i="31"/>
  <c r="T41" i="31"/>
  <c r="T42" i="31"/>
  <c r="T40" i="31"/>
  <c r="T38" i="31"/>
  <c r="T39" i="31"/>
  <c r="T37" i="31"/>
  <c r="T36" i="31"/>
  <c r="T35" i="31"/>
  <c r="T34" i="31"/>
  <c r="J81" i="36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79" i="31"/>
  <c r="S79" i="3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G230" i="31"/>
  <c r="H228" i="31"/>
  <c r="J227" i="31"/>
  <c r="H227" i="31"/>
  <c r="J226" i="31"/>
  <c r="H226" i="31"/>
  <c r="N224" i="31"/>
  <c r="M224" i="31"/>
  <c r="AA249" i="31"/>
  <c r="S249" i="31"/>
  <c r="S248" i="31" s="1"/>
  <c r="R249" i="31"/>
  <c r="Q249" i="31"/>
  <c r="P249" i="31"/>
  <c r="O249" i="31"/>
  <c r="N249" i="31"/>
  <c r="M249" i="31"/>
  <c r="L249" i="31"/>
  <c r="K249" i="31"/>
  <c r="J249" i="31"/>
  <c r="I249" i="31"/>
  <c r="H249" i="31"/>
  <c r="G249" i="31"/>
  <c r="F249" i="31"/>
  <c r="E249" i="31"/>
  <c r="AA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D235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D233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D234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D232" i="31"/>
  <c r="AA230" i="31"/>
  <c r="S230" i="31"/>
  <c r="R230" i="31"/>
  <c r="Q230" i="31"/>
  <c r="P230" i="31"/>
  <c r="O230" i="31"/>
  <c r="N230" i="31"/>
  <c r="M230" i="31"/>
  <c r="L230" i="31"/>
  <c r="K230" i="31"/>
  <c r="J230" i="31"/>
  <c r="I230" i="31"/>
  <c r="H230" i="31"/>
  <c r="F230" i="31"/>
  <c r="E230" i="31"/>
  <c r="AA231" i="31"/>
  <c r="S231" i="31"/>
  <c r="R231" i="31"/>
  <c r="Q231" i="31"/>
  <c r="P231" i="31"/>
  <c r="O231" i="31"/>
  <c r="N231" i="31"/>
  <c r="M231" i="31"/>
  <c r="L231" i="31"/>
  <c r="K231" i="31"/>
  <c r="J231" i="31"/>
  <c r="I231" i="31"/>
  <c r="H231" i="31"/>
  <c r="G231" i="31"/>
  <c r="F231" i="31"/>
  <c r="E231" i="31"/>
  <c r="AA228" i="31"/>
  <c r="S228" i="31"/>
  <c r="R228" i="31"/>
  <c r="Q228" i="31"/>
  <c r="P228" i="31"/>
  <c r="O228" i="31"/>
  <c r="N228" i="31"/>
  <c r="M228" i="31"/>
  <c r="L228" i="31"/>
  <c r="K228" i="31"/>
  <c r="J228" i="31"/>
  <c r="I228" i="31"/>
  <c r="G228" i="31"/>
  <c r="F228" i="31"/>
  <c r="E228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H229" i="31"/>
  <c r="G229" i="31"/>
  <c r="F229" i="31"/>
  <c r="E229" i="31"/>
  <c r="AA227" i="31"/>
  <c r="S227" i="31"/>
  <c r="R227" i="31"/>
  <c r="Q227" i="31"/>
  <c r="P227" i="31"/>
  <c r="O227" i="31"/>
  <c r="N227" i="31"/>
  <c r="M227" i="31"/>
  <c r="L227" i="31"/>
  <c r="K227" i="31"/>
  <c r="I227" i="31"/>
  <c r="G227" i="31"/>
  <c r="F227" i="31"/>
  <c r="E227" i="31"/>
  <c r="AA226" i="31"/>
  <c r="S226" i="31"/>
  <c r="R226" i="31"/>
  <c r="Q226" i="31"/>
  <c r="P226" i="31"/>
  <c r="O226" i="31"/>
  <c r="N226" i="31"/>
  <c r="M226" i="31"/>
  <c r="L226" i="31"/>
  <c r="K226" i="31"/>
  <c r="I226" i="31"/>
  <c r="G226" i="31"/>
  <c r="F226" i="31"/>
  <c r="E226" i="31"/>
  <c r="AA225" i="31"/>
  <c r="S225" i="31"/>
  <c r="R225" i="31"/>
  <c r="Q225" i="31"/>
  <c r="P225" i="31"/>
  <c r="O225" i="31"/>
  <c r="N225" i="31"/>
  <c r="M225" i="31"/>
  <c r="L225" i="31"/>
  <c r="K225" i="31"/>
  <c r="J225" i="31"/>
  <c r="I225" i="31"/>
  <c r="H225" i="31"/>
  <c r="G225" i="31"/>
  <c r="F225" i="31"/>
  <c r="E225" i="31"/>
  <c r="D230" i="31"/>
  <c r="D231" i="31"/>
  <c r="D228" i="31"/>
  <c r="D229" i="31"/>
  <c r="D227" i="31"/>
  <c r="D226" i="31"/>
  <c r="D225" i="31"/>
  <c r="AA224" i="31"/>
  <c r="S224" i="31"/>
  <c r="R224" i="31"/>
  <c r="Q224" i="31"/>
  <c r="P224" i="31"/>
  <c r="O224" i="31"/>
  <c r="L224" i="31"/>
  <c r="K224" i="31"/>
  <c r="J224" i="31"/>
  <c r="I224" i="31"/>
  <c r="H224" i="31"/>
  <c r="G224" i="31"/>
  <c r="F224" i="31"/>
  <c r="E224" i="31"/>
  <c r="D224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9" i="31"/>
  <c r="S179" i="31"/>
  <c r="R179" i="31"/>
  <c r="Q179" i="31"/>
  <c r="P179" i="31"/>
  <c r="O179" i="31"/>
  <c r="N179" i="31"/>
  <c r="M179" i="31"/>
  <c r="L179" i="31"/>
  <c r="K179" i="31"/>
  <c r="J179" i="31"/>
  <c r="I179" i="31"/>
  <c r="H179" i="31"/>
  <c r="G179" i="31"/>
  <c r="F179" i="31"/>
  <c r="E179" i="31"/>
  <c r="D179" i="31"/>
  <c r="AA178" i="31"/>
  <c r="S178" i="31"/>
  <c r="R178" i="31"/>
  <c r="Q178" i="31"/>
  <c r="P178" i="31"/>
  <c r="O178" i="31"/>
  <c r="N178" i="31"/>
  <c r="M178" i="31"/>
  <c r="L178" i="31"/>
  <c r="K178" i="31"/>
  <c r="J178" i="31"/>
  <c r="I178" i="31"/>
  <c r="H178" i="31"/>
  <c r="G178" i="31"/>
  <c r="F178" i="31"/>
  <c r="E178" i="31"/>
  <c r="D178" i="31"/>
  <c r="AA177" i="31"/>
  <c r="S177" i="31"/>
  <c r="R177" i="31"/>
  <c r="Q177" i="31"/>
  <c r="P177" i="31"/>
  <c r="O177" i="31"/>
  <c r="N177" i="31"/>
  <c r="M177" i="31"/>
  <c r="L177" i="31"/>
  <c r="K177" i="31"/>
  <c r="J177" i="31"/>
  <c r="I177" i="31"/>
  <c r="H177" i="31"/>
  <c r="G177" i="31"/>
  <c r="F177" i="31"/>
  <c r="E177" i="31"/>
  <c r="D177" i="31"/>
  <c r="AA169" i="31"/>
  <c r="S169" i="3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AA168" i="31"/>
  <c r="S168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7" i="31"/>
  <c r="S167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AA165" i="31"/>
  <c r="S165" i="31"/>
  <c r="S164" i="31" s="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6" i="31"/>
  <c r="S156" i="3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29" i="31"/>
  <c r="S129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AA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0" i="31"/>
  <c r="S90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AA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6" i="31"/>
  <c r="S86" i="31"/>
  <c r="S85" i="31" s="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AA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A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L101" i="30"/>
  <c r="L100" i="30"/>
  <c r="E54" i="30"/>
  <c r="D23" i="31" a="1"/>
  <c r="D23" i="31" s="1"/>
  <c r="AC23" i="31" s="1"/>
  <c r="BJ67" i="28"/>
  <c r="BJ66" i="28"/>
  <c r="J7" i="33" a="1"/>
  <c r="J7" i="33" s="1"/>
  <c r="D205" i="31" a="1"/>
  <c r="D202" i="31" a="1"/>
  <c r="D203" i="31" a="1"/>
  <c r="D204" i="31" a="1"/>
  <c r="E35" i="33" s="1"/>
  <c r="D201" i="31" a="1"/>
  <c r="S37" i="34" a="1"/>
  <c r="S37" i="34" s="1"/>
  <c r="S26" i="34"/>
  <c r="S210" i="31" a="1"/>
  <c r="S210" i="31" s="1"/>
  <c r="R210" i="31" a="1"/>
  <c r="R210" i="31" s="1"/>
  <c r="Q210" i="31" a="1"/>
  <c r="Q210" i="31" s="1"/>
  <c r="P210" i="31" a="1"/>
  <c r="P210" i="31" s="1"/>
  <c r="O210" i="31" a="1"/>
  <c r="O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E16" i="29"/>
  <c r="E15" i="29"/>
  <c r="A16" i="29"/>
  <c r="S172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91" i="36"/>
  <c r="J74" i="36"/>
  <c r="J48" i="36"/>
  <c r="J40" i="36"/>
  <c r="J39" i="36"/>
  <c r="J36" i="36"/>
  <c r="J32" i="36"/>
  <c r="J16" i="36"/>
  <c r="J8" i="36"/>
  <c r="P7" i="36"/>
  <c r="P6" i="36"/>
  <c r="P5" i="36"/>
  <c r="P4" i="36"/>
  <c r="P3" i="36"/>
  <c r="L102" i="30"/>
  <c r="L99" i="30"/>
  <c r="L98" i="30"/>
  <c r="L97" i="30"/>
  <c r="L96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J60" i="36" l="1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AC210" i="31"/>
  <c r="AC54" i="31"/>
  <c r="AC55" i="31"/>
  <c r="AC52" i="31"/>
  <c r="AC53" i="31"/>
  <c r="AC56" i="31"/>
  <c r="AC58" i="31"/>
  <c r="AC59" i="31"/>
  <c r="AC57" i="31"/>
  <c r="AC60" i="31"/>
  <c r="AC61" i="31"/>
  <c r="AC64" i="31"/>
  <c r="AC63" i="31"/>
  <c r="AC65" i="31"/>
  <c r="AC66" i="31"/>
  <c r="AC62" i="31"/>
  <c r="AC252" i="31"/>
  <c r="AC251" i="31"/>
  <c r="AC255" i="31"/>
  <c r="AC254" i="31"/>
  <c r="AC253" i="31"/>
  <c r="AC118" i="31"/>
  <c r="AC117" i="31"/>
  <c r="AC119" i="31"/>
  <c r="AC120" i="31"/>
  <c r="AC122" i="31"/>
  <c r="AC121" i="31"/>
  <c r="AC125" i="31"/>
  <c r="AC124" i="31"/>
  <c r="AC123" i="31"/>
  <c r="AC36" i="31"/>
  <c r="AC72" i="31"/>
  <c r="AC69" i="31"/>
  <c r="AC88" i="31"/>
  <c r="AC98" i="31"/>
  <c r="AC108" i="31"/>
  <c r="AC115" i="31"/>
  <c r="AC134" i="31"/>
  <c r="AC141" i="31"/>
  <c r="AC150" i="31"/>
  <c r="AC161" i="31"/>
  <c r="AC177" i="31"/>
  <c r="AC185" i="31"/>
  <c r="AC192" i="31"/>
  <c r="AC244" i="31"/>
  <c r="AC246" i="31"/>
  <c r="AC99" i="31"/>
  <c r="AC127" i="31"/>
  <c r="AC136" i="31"/>
  <c r="AC162" i="31"/>
  <c r="AC178" i="31"/>
  <c r="AC225" i="31"/>
  <c r="AC39" i="31"/>
  <c r="AC74" i="31"/>
  <c r="AC86" i="31"/>
  <c r="AC92" i="31"/>
  <c r="AC100" i="31"/>
  <c r="AC109" i="31"/>
  <c r="AC128" i="31"/>
  <c r="AC135" i="31"/>
  <c r="AC144" i="31"/>
  <c r="AC156" i="31"/>
  <c r="AC159" i="31"/>
  <c r="AC179" i="31"/>
  <c r="AC187" i="31"/>
  <c r="AC224" i="31"/>
  <c r="AC226" i="31"/>
  <c r="AC232" i="31"/>
  <c r="AC238" i="31"/>
  <c r="AC43" i="31"/>
  <c r="AC37" i="31"/>
  <c r="AC91" i="31"/>
  <c r="AC247" i="31"/>
  <c r="AC38" i="31"/>
  <c r="AC75" i="31"/>
  <c r="AC81" i="31"/>
  <c r="AC90" i="31"/>
  <c r="AC101" i="31"/>
  <c r="AC111" i="31"/>
  <c r="AC129" i="31"/>
  <c r="AC138" i="31"/>
  <c r="AC145" i="31"/>
  <c r="AC154" i="31"/>
  <c r="AC163" i="31"/>
  <c r="AC180" i="31"/>
  <c r="AC188" i="31"/>
  <c r="AC227" i="31"/>
  <c r="AC234" i="31"/>
  <c r="AC239" i="31"/>
  <c r="AC79" i="31"/>
  <c r="AC73" i="31"/>
  <c r="AC142" i="31"/>
  <c r="AC151" i="31"/>
  <c r="AC40" i="31"/>
  <c r="AC77" i="31"/>
  <c r="AC82" i="31"/>
  <c r="AC95" i="31"/>
  <c r="AC102" i="31"/>
  <c r="AC112" i="31"/>
  <c r="AC131" i="31"/>
  <c r="AC139" i="31"/>
  <c r="AC146" i="31"/>
  <c r="AC155" i="31"/>
  <c r="AC165" i="31"/>
  <c r="AC181" i="31"/>
  <c r="AC189" i="31"/>
  <c r="AC229" i="31"/>
  <c r="AC233" i="31"/>
  <c r="AC240" i="31"/>
  <c r="AC152" i="31"/>
  <c r="AC186" i="31"/>
  <c r="AC194" i="31"/>
  <c r="AC42" i="31"/>
  <c r="AC78" i="31"/>
  <c r="AC83" i="31"/>
  <c r="AC96" i="31"/>
  <c r="AC104" i="31"/>
  <c r="AC110" i="31"/>
  <c r="AC132" i="31"/>
  <c r="AC140" i="31"/>
  <c r="AC147" i="31"/>
  <c r="AC157" i="31"/>
  <c r="AC167" i="31"/>
  <c r="AC183" i="31"/>
  <c r="AC190" i="31"/>
  <c r="AC228" i="31"/>
  <c r="AC235" i="31"/>
  <c r="AC241" i="31"/>
  <c r="AC107" i="31"/>
  <c r="AC245" i="31"/>
  <c r="AC34" i="31"/>
  <c r="AC41" i="31"/>
  <c r="AC76" i="31"/>
  <c r="AC84" i="31"/>
  <c r="AC93" i="31"/>
  <c r="AC105" i="31"/>
  <c r="AC114" i="31"/>
  <c r="AC130" i="31"/>
  <c r="AC137" i="31"/>
  <c r="AC148" i="31"/>
  <c r="AC158" i="31"/>
  <c r="AC168" i="31"/>
  <c r="AC182" i="31"/>
  <c r="AC191" i="31"/>
  <c r="AC231" i="31"/>
  <c r="AC236" i="31"/>
  <c r="AC242" i="31"/>
  <c r="AC70" i="31"/>
  <c r="AC35" i="31"/>
  <c r="AC44" i="31"/>
  <c r="AC68" i="31"/>
  <c r="AC89" i="31"/>
  <c r="AC97" i="31"/>
  <c r="AC106" i="31"/>
  <c r="AC113" i="31"/>
  <c r="AC133" i="31"/>
  <c r="AC143" i="31"/>
  <c r="AC149" i="31"/>
  <c r="AC160" i="31"/>
  <c r="AC169" i="31"/>
  <c r="AC184" i="31"/>
  <c r="AC193" i="31"/>
  <c r="AC230" i="31"/>
  <c r="AC237" i="31"/>
  <c r="AC243" i="31"/>
  <c r="D250" i="31"/>
  <c r="L250" i="31"/>
  <c r="T250" i="31"/>
  <c r="E250" i="31"/>
  <c r="M250" i="31"/>
  <c r="U250" i="31"/>
  <c r="F250" i="31"/>
  <c r="N250" i="31"/>
  <c r="V250" i="31"/>
  <c r="G250" i="31"/>
  <c r="O250" i="31"/>
  <c r="W250" i="31"/>
  <c r="H250" i="31"/>
  <c r="P250" i="31"/>
  <c r="X250" i="31"/>
  <c r="I250" i="31"/>
  <c r="Q250" i="31"/>
  <c r="Y250" i="31"/>
  <c r="J250" i="31"/>
  <c r="R250" i="31"/>
  <c r="Z250" i="31"/>
  <c r="K250" i="31"/>
  <c r="S250" i="31"/>
  <c r="AA250" i="31"/>
  <c r="L116" i="31"/>
  <c r="T116" i="31"/>
  <c r="E116" i="31"/>
  <c r="M116" i="31"/>
  <c r="U116" i="31"/>
  <c r="F116" i="31"/>
  <c r="N116" i="31"/>
  <c r="V116" i="31"/>
  <c r="G116" i="31"/>
  <c r="O116" i="31"/>
  <c r="W116" i="31"/>
  <c r="H116" i="31"/>
  <c r="P116" i="31"/>
  <c r="X116" i="31"/>
  <c r="I116" i="31"/>
  <c r="Q116" i="31"/>
  <c r="Y116" i="31"/>
  <c r="J116" i="31"/>
  <c r="R116" i="31"/>
  <c r="Z116" i="31"/>
  <c r="K116" i="31"/>
  <c r="S116" i="31"/>
  <c r="AA116" i="31"/>
  <c r="D116" i="31"/>
  <c r="D87" i="31"/>
  <c r="L87" i="31"/>
  <c r="AA87" i="31"/>
  <c r="Z87" i="31"/>
  <c r="M87" i="31"/>
  <c r="F87" i="31"/>
  <c r="N87" i="31"/>
  <c r="T87" i="31"/>
  <c r="U87" i="31"/>
  <c r="X87" i="31"/>
  <c r="G87" i="31"/>
  <c r="O87" i="31"/>
  <c r="E87" i="31"/>
  <c r="H87" i="31"/>
  <c r="P87" i="31"/>
  <c r="V87" i="31"/>
  <c r="I87" i="31"/>
  <c r="Q87" i="31"/>
  <c r="Y87" i="31"/>
  <c r="J87" i="31"/>
  <c r="R87" i="31"/>
  <c r="K87" i="31"/>
  <c r="S87" i="31"/>
  <c r="W87" i="31"/>
  <c r="F33" i="31"/>
  <c r="N33" i="31"/>
  <c r="V33" i="31"/>
  <c r="D33" i="31"/>
  <c r="G33" i="31"/>
  <c r="Y33" i="31"/>
  <c r="H33" i="31"/>
  <c r="P33" i="31"/>
  <c r="O33" i="31"/>
  <c r="I33" i="31"/>
  <c r="Q33" i="31"/>
  <c r="W33" i="31"/>
  <c r="J33" i="31"/>
  <c r="Z33" i="31"/>
  <c r="K33" i="31"/>
  <c r="S33" i="31"/>
  <c r="L33" i="31"/>
  <c r="AA33" i="31"/>
  <c r="T33" i="31"/>
  <c r="U33" i="31"/>
  <c r="X33" i="31"/>
  <c r="R33" i="31"/>
  <c r="E33" i="31"/>
  <c r="M33" i="31"/>
  <c r="D202" i="31"/>
  <c r="AC202" i="31" s="1"/>
  <c r="I35" i="33"/>
  <c r="D205" i="31"/>
  <c r="AC205" i="31" s="1"/>
  <c r="F35" i="33"/>
  <c r="D201" i="31"/>
  <c r="AC201" i="31" s="1"/>
  <c r="L35" i="33"/>
  <c r="D203" i="31"/>
  <c r="AC203" i="31" s="1"/>
  <c r="H35" i="33"/>
  <c r="D204" i="31"/>
  <c r="AC204" i="31" s="1"/>
  <c r="U200" i="3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U41" i="34" a="1"/>
  <c r="U4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2" i="34" a="1"/>
  <c r="E42" i="34" s="1"/>
  <c r="M42" i="34" a="1"/>
  <c r="M42" i="34" s="1"/>
  <c r="U42" i="34" a="1"/>
  <c r="U42" i="34" s="1"/>
  <c r="F42" i="34" a="1"/>
  <c r="F42" i="34" s="1"/>
  <c r="N42" i="34" a="1"/>
  <c r="N42" i="34" s="1"/>
  <c r="V42" i="34" a="1"/>
  <c r="V42" i="34" s="1"/>
  <c r="G42" i="34" a="1"/>
  <c r="G42" i="34" s="1"/>
  <c r="O42" i="34" a="1"/>
  <c r="O42" i="34" s="1"/>
  <c r="W42" i="34" a="1"/>
  <c r="W42" i="34" s="1"/>
  <c r="H42" i="34" a="1"/>
  <c r="H42" i="34" s="1"/>
  <c r="P42" i="34" a="1"/>
  <c r="P42" i="34" s="1"/>
  <c r="X42" i="34" a="1"/>
  <c r="X42" i="34" s="1"/>
  <c r="I42" i="34" a="1"/>
  <c r="I42" i="34" s="1"/>
  <c r="Q42" i="34" a="1"/>
  <c r="Q42" i="34" s="1"/>
  <c r="Y42" i="34" a="1"/>
  <c r="Y42" i="34" s="1"/>
  <c r="J42" i="34" a="1"/>
  <c r="J42" i="34" s="1"/>
  <c r="R42" i="34" a="1"/>
  <c r="R42" i="34" s="1"/>
  <c r="Z42" i="34" a="1"/>
  <c r="Z42" i="34" s="1"/>
  <c r="K42" i="34" a="1"/>
  <c r="K42" i="34" s="1"/>
  <c r="S42" i="34" a="1"/>
  <c r="S42" i="34" s="1"/>
  <c r="AA42" i="34" a="1"/>
  <c r="AA42" i="34" s="1"/>
  <c r="D42" i="34" a="1"/>
  <c r="D42" i="34" s="1"/>
  <c r="L42" i="34" a="1"/>
  <c r="L42" i="34" s="1"/>
  <c r="T42" i="34" a="1"/>
  <c r="T42" i="34" s="1"/>
  <c r="U22" i="3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M30" i="36" s="1"/>
  <c r="J89" i="36"/>
  <c r="J97" i="36"/>
  <c r="L105" i="36"/>
  <c r="L62" i="36"/>
  <c r="D38" i="33"/>
  <c r="O41" i="33"/>
  <c r="O22" i="33"/>
  <c r="AE123" i="31"/>
  <c r="AE121" i="31"/>
  <c r="AE122" i="31"/>
  <c r="AE124" i="31"/>
  <c r="AE125" i="31"/>
  <c r="AE253" i="31"/>
  <c r="AE252" i="31"/>
  <c r="AE251" i="31"/>
  <c r="AE255" i="31"/>
  <c r="AE254" i="31"/>
  <c r="H13" i="34" a="1"/>
  <c r="H13" i="34" s="1"/>
  <c r="J21" i="34" a="1"/>
  <c r="J21" i="34" s="1"/>
  <c r="Q14" i="34" a="1"/>
  <c r="Q14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3" i="34" a="1"/>
  <c r="I13" i="34" s="1"/>
  <c r="R14" i="34" a="1"/>
  <c r="R14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H41" i="34" a="1"/>
  <c r="H41" i="34" s="1"/>
  <c r="D14" i="34" a="1"/>
  <c r="D14" i="34" s="1"/>
  <c r="P13" i="34" a="1"/>
  <c r="P13" i="34" s="1"/>
  <c r="Y14" i="34" a="1"/>
  <c r="Y14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I41" i="34" a="1"/>
  <c r="I41" i="34" s="1"/>
  <c r="Q13" i="34" a="1"/>
  <c r="Q13" i="34" s="1"/>
  <c r="Z14" i="34" a="1"/>
  <c r="Z14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P41" i="34" a="1"/>
  <c r="P41" i="34" s="1"/>
  <c r="X13" i="34" a="1"/>
  <c r="X13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Q41" i="34" a="1"/>
  <c r="Q41" i="34" s="1"/>
  <c r="D20" i="34" a="1"/>
  <c r="D20" i="34" s="1"/>
  <c r="Y13" i="34" a="1"/>
  <c r="Y13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X41" i="34" a="1"/>
  <c r="X41" i="34" s="1"/>
  <c r="I14" i="34" a="1"/>
  <c r="I14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Y41" i="34" a="1"/>
  <c r="Y41" i="34" s="1"/>
  <c r="J14" i="34" a="1"/>
  <c r="J14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3" i="34" a="1"/>
  <c r="F13" i="34" s="1"/>
  <c r="N13" i="34" a="1"/>
  <c r="N13" i="34" s="1"/>
  <c r="V13" i="34" a="1"/>
  <c r="V13" i="34" s="1"/>
  <c r="G14" i="34" a="1"/>
  <c r="G14" i="34" s="1"/>
  <c r="O14" i="34" a="1"/>
  <c r="O14" i="34" s="1"/>
  <c r="W14" i="34" a="1"/>
  <c r="W14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D41" i="34" a="1"/>
  <c r="D41" i="34" s="1"/>
  <c r="L40" i="34" a="1"/>
  <c r="L40" i="34" s="1"/>
  <c r="T40" i="34" a="1"/>
  <c r="T40" i="34" s="1"/>
  <c r="F41" i="34" a="1"/>
  <c r="F41" i="34" s="1"/>
  <c r="N41" i="34" a="1"/>
  <c r="N41" i="34" s="1"/>
  <c r="V41" i="34" a="1"/>
  <c r="V41" i="34" s="1"/>
  <c r="D13" i="34" a="1"/>
  <c r="D13" i="34" s="1"/>
  <c r="D18" i="34" a="1"/>
  <c r="D18" i="34" s="1"/>
  <c r="G13" i="34" a="1"/>
  <c r="G13" i="34" s="1"/>
  <c r="O13" i="34" a="1"/>
  <c r="O13" i="34" s="1"/>
  <c r="W13" i="34" a="1"/>
  <c r="W13" i="34" s="1"/>
  <c r="H14" i="34" a="1"/>
  <c r="H14" i="34" s="1"/>
  <c r="P14" i="34" a="1"/>
  <c r="P14" i="34" s="1"/>
  <c r="X14" i="34" a="1"/>
  <c r="X14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G41" i="34" a="1"/>
  <c r="G41" i="34" s="1"/>
  <c r="O41" i="34" a="1"/>
  <c r="O41" i="34" s="1"/>
  <c r="W41" i="34" a="1"/>
  <c r="W41" i="34" s="1"/>
  <c r="D15" i="34" a="1"/>
  <c r="D15" i="34" s="1"/>
  <c r="D21" i="34" a="1"/>
  <c r="D21" i="34" s="1"/>
  <c r="J13" i="34" a="1"/>
  <c r="J13" i="34" s="1"/>
  <c r="R13" i="34" a="1"/>
  <c r="R13" i="34" s="1"/>
  <c r="Z13" i="34" a="1"/>
  <c r="Z13" i="34" s="1"/>
  <c r="K14" i="34" a="1"/>
  <c r="K14" i="34" s="1"/>
  <c r="S14" i="34" a="1"/>
  <c r="S14" i="34" s="1"/>
  <c r="AA14" i="34" a="1"/>
  <c r="AA14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J41" i="34" a="1"/>
  <c r="J41" i="34" s="1"/>
  <c r="R41" i="34" a="1"/>
  <c r="R41" i="34" s="1"/>
  <c r="Z41" i="34" a="1"/>
  <c r="Z41" i="34" s="1"/>
  <c r="K13" i="34" a="1"/>
  <c r="K13" i="34" s="1"/>
  <c r="S13" i="34" a="1"/>
  <c r="S13" i="34" s="1"/>
  <c r="AA13" i="34" a="1"/>
  <c r="AA13" i="34" s="1"/>
  <c r="L14" i="34" a="1"/>
  <c r="L14" i="34" s="1"/>
  <c r="T14" i="34" a="1"/>
  <c r="T14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K41" i="34" a="1"/>
  <c r="K41" i="34" s="1"/>
  <c r="S41" i="34" a="1"/>
  <c r="S41" i="34" s="1"/>
  <c r="AA41" i="34" a="1"/>
  <c r="AA41" i="34" s="1"/>
  <c r="D16" i="34" a="1"/>
  <c r="D16" i="34" s="1"/>
  <c r="L13" i="34" a="1"/>
  <c r="L13" i="34" s="1"/>
  <c r="T13" i="34" a="1"/>
  <c r="T13" i="34" s="1"/>
  <c r="E14" i="34" a="1"/>
  <c r="E14" i="34" s="1"/>
  <c r="M14" i="34" a="1"/>
  <c r="M14" i="34" s="1"/>
  <c r="U14" i="34" a="1"/>
  <c r="U14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L41" i="34" a="1"/>
  <c r="L41" i="34" s="1"/>
  <c r="T41" i="34" a="1"/>
  <c r="T41" i="34" s="1"/>
  <c r="V40" i="34" a="1"/>
  <c r="V40" i="34" s="1"/>
  <c r="D22" i="34" a="1"/>
  <c r="D22" i="34" s="1"/>
  <c r="E13" i="34" a="1"/>
  <c r="E13" i="34" s="1"/>
  <c r="M13" i="34" a="1"/>
  <c r="M13" i="34" s="1"/>
  <c r="U13" i="34" a="1"/>
  <c r="U13" i="34" s="1"/>
  <c r="F14" i="34" a="1"/>
  <c r="F14" i="34" s="1"/>
  <c r="N14" i="34" a="1"/>
  <c r="N14" i="34" s="1"/>
  <c r="V14" i="34" a="1"/>
  <c r="V14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E41" i="34" a="1"/>
  <c r="E41" i="34" s="1"/>
  <c r="M41" i="34" a="1"/>
  <c r="M41" i="34" s="1"/>
  <c r="Z166" i="31"/>
  <c r="Z176" i="31"/>
  <c r="Z175" i="31" s="1"/>
  <c r="Z171" i="31" s="1"/>
  <c r="Z153" i="31"/>
  <c r="Z223" i="31"/>
  <c r="Z222" i="31" s="1"/>
  <c r="Z103" i="31"/>
  <c r="Z51" i="31"/>
  <c r="Z71" i="31"/>
  <c r="Z67" i="31"/>
  <c r="Z80" i="31"/>
  <c r="Z126" i="31"/>
  <c r="Z206" i="31"/>
  <c r="Z199" i="31" s="1"/>
  <c r="Z198" i="31" s="1"/>
  <c r="Z284" i="31"/>
  <c r="Y67" i="31"/>
  <c r="Y126" i="31"/>
  <c r="Y223" i="31"/>
  <c r="Y51" i="31"/>
  <c r="Y71" i="31"/>
  <c r="Y80" i="31"/>
  <c r="Y153" i="31"/>
  <c r="Y166" i="31"/>
  <c r="X80" i="31"/>
  <c r="X67" i="31"/>
  <c r="Y103" i="31"/>
  <c r="Y176" i="31"/>
  <c r="Y175" i="31" s="1"/>
  <c r="Y171" i="31" s="1"/>
  <c r="Y206" i="31"/>
  <c r="Y199" i="31" s="1"/>
  <c r="Y198" i="31" s="1"/>
  <c r="Y284" i="31"/>
  <c r="X103" i="31"/>
  <c r="X223" i="31"/>
  <c r="X126" i="31"/>
  <c r="X51" i="31"/>
  <c r="X71" i="31"/>
  <c r="X153" i="31"/>
  <c r="X166" i="31"/>
  <c r="X176" i="31"/>
  <c r="X175" i="31" s="1"/>
  <c r="X171" i="31" s="1"/>
  <c r="X284" i="31"/>
  <c r="X206" i="31"/>
  <c r="X199" i="31" s="1"/>
  <c r="X198" i="31" s="1"/>
  <c r="W103" i="31"/>
  <c r="W166" i="31"/>
  <c r="W80" i="31"/>
  <c r="W51" i="31"/>
  <c r="W71" i="31"/>
  <c r="W67" i="31"/>
  <c r="W126" i="31"/>
  <c r="W176" i="31"/>
  <c r="W175" i="31" s="1"/>
  <c r="W171" i="31" s="1"/>
  <c r="W223" i="31"/>
  <c r="W153" i="31"/>
  <c r="W206" i="31"/>
  <c r="W199" i="31" s="1"/>
  <c r="W198" i="31" s="1"/>
  <c r="W284" i="31"/>
  <c r="V126" i="31"/>
  <c r="V51" i="31"/>
  <c r="V67" i="31"/>
  <c r="V80" i="31"/>
  <c r="V166" i="31"/>
  <c r="V176" i="31"/>
  <c r="V175" i="31" s="1"/>
  <c r="V171" i="31" s="1"/>
  <c r="V71" i="31"/>
  <c r="V153" i="31"/>
  <c r="V223" i="31"/>
  <c r="V103" i="31"/>
  <c r="V206" i="31"/>
  <c r="V199" i="31" s="1"/>
  <c r="V198" i="31" s="1"/>
  <c r="V284" i="31"/>
  <c r="U71" i="31"/>
  <c r="U166" i="31"/>
  <c r="U176" i="31"/>
  <c r="U175" i="31" s="1"/>
  <c r="U171" i="31" s="1"/>
  <c r="U51" i="31"/>
  <c r="U67" i="31"/>
  <c r="U80" i="31"/>
  <c r="U126" i="31"/>
  <c r="U153" i="31"/>
  <c r="U223" i="31"/>
  <c r="U103" i="31"/>
  <c r="U206" i="31"/>
  <c r="U284" i="31"/>
  <c r="T22" i="31"/>
  <c r="T200" i="31"/>
  <c r="T67" i="31"/>
  <c r="T166" i="31"/>
  <c r="T153" i="31"/>
  <c r="T284" i="31"/>
  <c r="T176" i="31"/>
  <c r="T175" i="31" s="1"/>
  <c r="T171" i="31" s="1"/>
  <c r="T103" i="31"/>
  <c r="T80" i="31"/>
  <c r="T223" i="31"/>
  <c r="T51" i="31"/>
  <c r="T71" i="31"/>
  <c r="T126" i="31"/>
  <c r="T206" i="31"/>
  <c r="J87" i="36"/>
  <c r="J69" i="36"/>
  <c r="J29" i="36"/>
  <c r="AE152" i="31"/>
  <c r="AE79" i="31"/>
  <c r="H51" i="31"/>
  <c r="P51" i="31"/>
  <c r="I51" i="31"/>
  <c r="Q51" i="31"/>
  <c r="O51" i="31"/>
  <c r="J51" i="31"/>
  <c r="R51" i="31"/>
  <c r="G51" i="31"/>
  <c r="K51" i="31"/>
  <c r="S51" i="31"/>
  <c r="L51" i="31"/>
  <c r="AA51" i="31"/>
  <c r="E51" i="31"/>
  <c r="M51" i="31"/>
  <c r="F51" i="31"/>
  <c r="N51" i="31"/>
  <c r="D51" i="31"/>
  <c r="AE54" i="31"/>
  <c r="AE43" i="31"/>
  <c r="AE210" i="31"/>
  <c r="S67" i="31"/>
  <c r="S166" i="31"/>
  <c r="S284" i="31"/>
  <c r="S126" i="31"/>
  <c r="S71" i="31"/>
  <c r="S176" i="31"/>
  <c r="S175" i="31" s="1"/>
  <c r="S171" i="31" s="1"/>
  <c r="S80" i="31"/>
  <c r="S153" i="31"/>
  <c r="S103" i="31"/>
  <c r="S223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K91" i="36" s="1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M107" i="36" l="1"/>
  <c r="M70" i="36"/>
  <c r="AC23" i="34"/>
  <c r="AC19" i="34"/>
  <c r="AC18" i="34"/>
  <c r="AC14" i="34"/>
  <c r="AC13" i="34"/>
  <c r="AC42" i="34"/>
  <c r="AC30" i="34"/>
  <c r="AC21" i="34"/>
  <c r="AC17" i="34"/>
  <c r="D24" i="34" a="1"/>
  <c r="D24" i="34" s="1"/>
  <c r="AC11" i="34"/>
  <c r="AC15" i="34"/>
  <c r="AC16" i="34"/>
  <c r="AC20" i="34"/>
  <c r="AC12" i="34"/>
  <c r="AC22" i="34"/>
  <c r="AC40" i="34"/>
  <c r="AC41" i="34"/>
  <c r="X222" i="31"/>
  <c r="X197" i="31" s="1"/>
  <c r="AC51" i="31"/>
  <c r="V222" i="31"/>
  <c r="V197" i="31" s="1"/>
  <c r="Y222" i="31"/>
  <c r="Y197" i="31" s="1"/>
  <c r="AC250" i="31"/>
  <c r="R39" i="34"/>
  <c r="U39" i="34"/>
  <c r="AC116" i="31"/>
  <c r="AC33" i="31"/>
  <c r="AC87" i="31"/>
  <c r="S222" i="31"/>
  <c r="T222" i="31"/>
  <c r="U222" i="31"/>
  <c r="W222" i="31"/>
  <c r="W197" i="31" s="1"/>
  <c r="U199" i="31"/>
  <c r="U198" i="31" s="1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0" i="31" a="1"/>
  <c r="X170" i="31" s="1"/>
  <c r="X32" i="31" s="1"/>
  <c r="U170" i="31" a="1"/>
  <c r="U170" i="31" s="1"/>
  <c r="U32" i="31" s="1"/>
  <c r="W170" i="31" a="1"/>
  <c r="W170" i="31" s="1"/>
  <c r="W32" i="31" s="1"/>
  <c r="T170" i="31" a="1"/>
  <c r="T170" i="31" s="1"/>
  <c r="T32" i="31" s="1"/>
  <c r="Y170" i="31" a="1"/>
  <c r="Y170" i="31" s="1"/>
  <c r="Y32" i="31" s="1"/>
  <c r="V170" i="31" a="1"/>
  <c r="V170" i="31" s="1"/>
  <c r="V32" i="31" s="1"/>
  <c r="Z170" i="31" a="1"/>
  <c r="Z170" i="31" s="1"/>
  <c r="Z32" i="31" s="1"/>
  <c r="S170" i="31" a="1"/>
  <c r="S170" i="31" s="1"/>
  <c r="S32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2" i="34"/>
  <c r="T39" i="34"/>
  <c r="S39" i="34"/>
  <c r="L39" i="34"/>
  <c r="AE23" i="34"/>
  <c r="Z197" i="31"/>
  <c r="AE250" i="31"/>
  <c r="V33" i="34"/>
  <c r="Z257" i="31"/>
  <c r="X257" i="31"/>
  <c r="Y257" i="31"/>
  <c r="W257" i="31"/>
  <c r="V257" i="31"/>
  <c r="U257" i="31"/>
  <c r="T199" i="31"/>
  <c r="T198" i="31" s="1"/>
  <c r="T257" i="31"/>
  <c r="M69" i="36"/>
  <c r="K81" i="36"/>
  <c r="M29" i="36"/>
  <c r="K69" i="36"/>
  <c r="M81" i="36"/>
  <c r="K87" i="36"/>
  <c r="M87" i="36"/>
  <c r="M106" i="36"/>
  <c r="K29" i="36"/>
  <c r="K106" i="36"/>
  <c r="S257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40" i="33" a="1"/>
  <c r="C40" i="33" s="1"/>
  <c r="C17" i="33" a="1"/>
  <c r="C17" i="33" s="1"/>
  <c r="C15" i="33" a="1"/>
  <c r="C15" i="33" s="1"/>
  <c r="C14" i="33" a="1"/>
  <c r="C14" i="33" s="1"/>
  <c r="C13" i="33" a="1"/>
  <c r="C13" i="33" s="1"/>
  <c r="C12" i="33" a="1"/>
  <c r="C12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40" i="33" a="1"/>
  <c r="E40" i="33" s="1"/>
  <c r="E17" i="33" a="1"/>
  <c r="E17" i="33" s="1"/>
  <c r="E15" i="33" a="1"/>
  <c r="E15" i="33" s="1"/>
  <c r="E14" i="33" a="1"/>
  <c r="E14" i="33" s="1"/>
  <c r="E13" i="33" a="1"/>
  <c r="E13" i="33" s="1"/>
  <c r="E12" i="33" a="1"/>
  <c r="E12" i="33" s="1"/>
  <c r="D9" i="34" a="1"/>
  <c r="D9" i="34" s="1"/>
  <c r="AC9" i="34" s="1"/>
  <c r="R26" i="34"/>
  <c r="R172" i="31"/>
  <c r="R164" i="31"/>
  <c r="R248" i="31"/>
  <c r="R85" i="31"/>
  <c r="AC39" i="34" l="1"/>
  <c r="AC24" i="34"/>
  <c r="U197" i="31"/>
  <c r="E23" i="33" a="1"/>
  <c r="E23" i="33" s="1"/>
  <c r="C23" i="33" a="1"/>
  <c r="C23" i="33" s="1"/>
  <c r="E38" i="33"/>
  <c r="C38" i="33"/>
  <c r="T197" i="31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67" i="31"/>
  <c r="R166" i="31"/>
  <c r="R80" i="31"/>
  <c r="R71" i="31"/>
  <c r="R223" i="31"/>
  <c r="R222" i="31" s="1"/>
  <c r="R126" i="31"/>
  <c r="R176" i="31"/>
  <c r="R175" i="31" s="1"/>
  <c r="R171" i="31" s="1"/>
  <c r="R284" i="31"/>
  <c r="R103" i="31"/>
  <c r="R153" i="31"/>
  <c r="R170" i="31" l="1" a="1"/>
  <c r="R170" i="31" s="1"/>
  <c r="R32" i="31" s="1"/>
  <c r="C32" i="33"/>
  <c r="E32" i="33"/>
  <c r="R257" i="31"/>
  <c r="A310" i="31" l="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3" i="31"/>
  <c r="A282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2" i="31"/>
  <c r="AA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9" i="31" a="1"/>
  <c r="D249" i="31" s="1"/>
  <c r="AC249" i="31" s="1"/>
  <c r="BN104" i="30" a="1"/>
  <c r="BN104" i="30" s="1"/>
  <c r="BN103" i="30" a="1"/>
  <c r="BN103" i="30" s="1"/>
  <c r="BN102" i="30" a="1"/>
  <c r="BN102" i="30" s="1"/>
  <c r="BN101" i="30" a="1"/>
  <c r="BN101" i="30" s="1"/>
  <c r="BN100" i="30" a="1"/>
  <c r="BN100" i="30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 a="1"/>
  <c r="BJ103" i="30" s="1"/>
  <c r="BJ102" i="30" a="1"/>
  <c r="BJ102" i="30" s="1"/>
  <c r="BJ101" i="30" a="1"/>
  <c r="BJ101" i="30" s="1"/>
  <c r="BJ100" i="30" a="1"/>
  <c r="BJ100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 a="1"/>
  <c r="BD103" i="30" s="1"/>
  <c r="BD102" i="30" a="1"/>
  <c r="BD102" i="30" s="1"/>
  <c r="BD101" i="30" a="1"/>
  <c r="BD101" i="30" s="1"/>
  <c r="BD100" i="30" a="1"/>
  <c r="BD100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5" i="30" a="1"/>
  <c r="BD5" i="30" s="1"/>
  <c r="BB104" i="30" a="1"/>
  <c r="BB104" i="30" s="1"/>
  <c r="BB103" i="30" a="1"/>
  <c r="BB103" i="30" s="1"/>
  <c r="BB102" i="30" a="1"/>
  <c r="BB102" i="30" s="1"/>
  <c r="BB101" i="30" a="1"/>
  <c r="BB101" i="30" s="1"/>
  <c r="BB100" i="30" a="1"/>
  <c r="BB100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 a="1"/>
  <c r="AX104" i="30" s="1"/>
  <c r="AX103" i="30" a="1"/>
  <c r="AX103" i="30" s="1"/>
  <c r="AX102" i="30" a="1"/>
  <c r="AX102" i="30" s="1"/>
  <c r="AX101" i="30" a="1"/>
  <c r="AX101" i="30" s="1"/>
  <c r="AX100" i="30" a="1"/>
  <c r="AX100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 a="1"/>
  <c r="AR104" i="30" s="1"/>
  <c r="AR103" i="30" a="1"/>
  <c r="AR103" i="30" s="1"/>
  <c r="AR102" i="30" a="1"/>
  <c r="AR102" i="30" s="1"/>
  <c r="AR101" i="30" a="1"/>
  <c r="AR101" i="30" s="1"/>
  <c r="AR100" i="30" a="1"/>
  <c r="AR100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 a="1"/>
  <c r="AP103" i="30" s="1"/>
  <c r="AP102" i="30" a="1"/>
  <c r="AP102" i="30" s="1"/>
  <c r="AP101" i="30" a="1"/>
  <c r="AP101" i="30" s="1"/>
  <c r="AP100" i="30" a="1"/>
  <c r="AP100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5" i="30" a="1"/>
  <c r="AP5" i="30" s="1"/>
  <c r="AN104" i="30" a="1"/>
  <c r="AN104" i="30" s="1"/>
  <c r="AN103" i="30" a="1"/>
  <c r="AN103" i="30" s="1"/>
  <c r="AN102" i="30" a="1"/>
  <c r="AN102" i="30" s="1"/>
  <c r="AN101" i="30" a="1"/>
  <c r="AN101" i="30" s="1"/>
  <c r="AN100" i="30" a="1"/>
  <c r="AN100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 a="1"/>
  <c r="AL104" i="30" s="1"/>
  <c r="AL103" i="30" a="1"/>
  <c r="AL103" i="30" s="1"/>
  <c r="AL102" i="30" a="1"/>
  <c r="AL102" i="30" s="1"/>
  <c r="AL101" i="30" a="1"/>
  <c r="AL101" i="30" s="1"/>
  <c r="AL100" i="30" a="1"/>
  <c r="AL100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 a="1"/>
  <c r="AJ103" i="30" s="1"/>
  <c r="AJ102" i="30" a="1"/>
  <c r="AJ102" i="30" s="1"/>
  <c r="AJ101" i="30" a="1"/>
  <c r="AJ101" i="30" s="1"/>
  <c r="AJ100" i="30" a="1"/>
  <c r="AJ100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 a="1"/>
  <c r="X103" i="30" s="1"/>
  <c r="X102" i="30" a="1"/>
  <c r="X102" i="30" s="1"/>
  <c r="X101" i="30" a="1"/>
  <c r="X101" i="30" s="1"/>
  <c r="X100" i="30" a="1"/>
  <c r="X100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5" i="30" a="1"/>
  <c r="X5" i="30" s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1" i="31"/>
  <c r="AC281" i="31"/>
  <c r="AC6" i="34"/>
  <c r="E4" i="33"/>
  <c r="D248" i="31"/>
  <c r="AC248" i="31" s="1"/>
  <c r="R29" i="34"/>
  <c r="R25" i="34" s="1"/>
  <c r="AC44" i="34"/>
  <c r="O44" i="33"/>
  <c r="P284" i="31"/>
  <c r="AA284" i="31"/>
  <c r="Q284" i="31"/>
  <c r="AC272" i="31"/>
  <c r="AC278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6" i="31"/>
  <c r="P166" i="31"/>
  <c r="H166" i="31"/>
  <c r="F166" i="31"/>
  <c r="G166" i="31"/>
  <c r="M166" i="31"/>
  <c r="E166" i="31"/>
  <c r="N166" i="31"/>
  <c r="O166" i="31"/>
  <c r="I166" i="31"/>
  <c r="J166" i="31"/>
  <c r="AA166" i="31"/>
  <c r="D166" i="31"/>
  <c r="K166" i="31"/>
  <c r="Q166" i="31"/>
  <c r="AE167" i="31"/>
  <c r="AE168" i="31"/>
  <c r="AE169" i="31"/>
  <c r="AE249" i="31"/>
  <c r="AE66" i="31"/>
  <c r="AE100" i="31"/>
  <c r="AE56" i="31"/>
  <c r="AE194" i="31"/>
  <c r="AE192" i="31"/>
  <c r="AE247" i="31"/>
  <c r="AE242" i="31"/>
  <c r="AE239" i="31"/>
  <c r="AE241" i="31"/>
  <c r="AE244" i="31"/>
  <c r="AE240" i="31"/>
  <c r="AE246" i="31"/>
  <c r="AE238" i="31"/>
  <c r="AE243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23" i="33" a="1"/>
  <c r="M23" i="33" s="1"/>
  <c r="L23" i="33" a="1"/>
  <c r="L23" i="33" s="1"/>
  <c r="K23" i="33" a="1"/>
  <c r="K23" i="33" s="1"/>
  <c r="J23" i="33" a="1"/>
  <c r="J23" i="33" s="1"/>
  <c r="I23" i="33" a="1"/>
  <c r="I23" i="33" s="1"/>
  <c r="H23" i="33" a="1"/>
  <c r="H23" i="33" s="1"/>
  <c r="G23" i="33" a="1"/>
  <c r="G23" i="33" s="1"/>
  <c r="F23" i="33" a="1"/>
  <c r="F23" i="33" s="1"/>
  <c r="AC271" i="31" l="1"/>
  <c r="AC267" i="31"/>
  <c r="AC273" i="31"/>
  <c r="AC283" i="31"/>
  <c r="AC262" i="31"/>
  <c r="AC266" i="31"/>
  <c r="AC258" i="31"/>
  <c r="AC260" i="31"/>
  <c r="AC268" i="31"/>
  <c r="AC274" i="31"/>
  <c r="AC264" i="31"/>
  <c r="AC280" i="31"/>
  <c r="AC282" i="31"/>
  <c r="AC276" i="31"/>
  <c r="AC277" i="31"/>
  <c r="AC265" i="31"/>
  <c r="AC270" i="31"/>
  <c r="AC263" i="31"/>
  <c r="AC269" i="31"/>
  <c r="AC279" i="31"/>
  <c r="AC259" i="31"/>
  <c r="AC275" i="31"/>
  <c r="AC261" i="31"/>
  <c r="AC166" i="3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40" i="33"/>
  <c r="O12" i="33"/>
  <c r="O13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4" i="34"/>
  <c r="M24" i="33"/>
  <c r="G24" i="33"/>
  <c r="J24" i="33"/>
  <c r="O43" i="33"/>
  <c r="H24" i="33"/>
  <c r="I24" i="33"/>
  <c r="K24" i="33"/>
  <c r="L24" i="33"/>
  <c r="O25" i="33"/>
  <c r="AE268" i="31"/>
  <c r="AE272" i="31"/>
  <c r="AE263" i="31"/>
  <c r="AE266" i="31"/>
  <c r="AE262" i="31"/>
  <c r="AE264" i="31"/>
  <c r="AE269" i="31"/>
  <c r="AE274" i="31"/>
  <c r="AE279" i="31"/>
  <c r="AE259" i="31"/>
  <c r="AE275" i="31"/>
  <c r="AE261" i="31"/>
  <c r="AE271" i="31"/>
  <c r="AE258" i="31"/>
  <c r="AE260" i="31"/>
  <c r="AE270" i="31"/>
  <c r="AE280" i="31"/>
  <c r="AE282" i="31"/>
  <c r="AE267" i="31"/>
  <c r="AE283" i="31"/>
  <c r="AE273" i="31"/>
  <c r="AE278" i="31"/>
  <c r="AE276" i="31"/>
  <c r="AE277" i="31"/>
  <c r="AE265" i="31"/>
  <c r="AA257" i="31"/>
  <c r="Q257" i="31"/>
  <c r="P257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57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O28" i="33"/>
  <c r="O38" i="33"/>
  <c r="O8" i="33"/>
  <c r="AE257" i="31"/>
  <c r="AE13" i="34"/>
  <c r="AE14" i="34"/>
  <c r="AE18" i="34"/>
  <c r="AE15" i="34"/>
  <c r="AE41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95" i="30"/>
  <c r="L94" i="30"/>
  <c r="L93" i="30"/>
  <c r="L92" i="30"/>
  <c r="L91" i="30"/>
  <c r="L90" i="30"/>
  <c r="L89" i="30"/>
  <c r="E55" i="30"/>
  <c r="E53" i="30"/>
  <c r="E52" i="30"/>
  <c r="I15" i="30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I86" i="30" s="1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N65" i="28"/>
  <c r="Q172" i="31"/>
  <c r="Q164" i="31"/>
  <c r="Q85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D36" i="34" l="1" a="1"/>
  <c r="U35" i="34" s="1"/>
  <c r="U34" i="34" s="1"/>
  <c r="U33" i="34" s="1"/>
  <c r="H176" i="31"/>
  <c r="P176" i="31"/>
  <c r="K223" i="31"/>
  <c r="K222" i="31" s="1"/>
  <c r="G176" i="31"/>
  <c r="O176" i="31"/>
  <c r="J223" i="31"/>
  <c r="J222" i="31" s="1"/>
  <c r="I176" i="31"/>
  <c r="AA176" i="31"/>
  <c r="D223" i="31"/>
  <c r="L223" i="31"/>
  <c r="L222" i="31" s="1"/>
  <c r="Q176" i="31"/>
  <c r="Q175" i="31" s="1"/>
  <c r="Q171" i="31" s="1"/>
  <c r="J176" i="31"/>
  <c r="E223" i="31"/>
  <c r="E222" i="31" s="1"/>
  <c r="M223" i="31"/>
  <c r="M222" i="31" s="1"/>
  <c r="Q223" i="31"/>
  <c r="Q222" i="31" s="1"/>
  <c r="K176" i="31"/>
  <c r="F223" i="31"/>
  <c r="F222" i="31" s="1"/>
  <c r="N223" i="31"/>
  <c r="N222" i="31" s="1"/>
  <c r="D176" i="31"/>
  <c r="L176" i="31"/>
  <c r="G223" i="31"/>
  <c r="G222" i="31" s="1"/>
  <c r="O223" i="31"/>
  <c r="O222" i="31" s="1"/>
  <c r="E176" i="31"/>
  <c r="M176" i="31"/>
  <c r="H223" i="31"/>
  <c r="H222" i="31" s="1"/>
  <c r="P223" i="31"/>
  <c r="P222" i="31" s="1"/>
  <c r="F176" i="31"/>
  <c r="N176" i="31"/>
  <c r="I223" i="31"/>
  <c r="I222" i="31" s="1"/>
  <c r="AA223" i="31"/>
  <c r="AA222" i="31" s="1"/>
  <c r="AE248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34" i="33"/>
  <c r="L33" i="33" s="1"/>
  <c r="L32" i="33" s="1"/>
  <c r="I34" i="33"/>
  <c r="I33" i="33" s="1"/>
  <c r="I32" i="33" s="1"/>
  <c r="F34" i="33"/>
  <c r="F33" i="33" s="1"/>
  <c r="F32" i="33" s="1"/>
  <c r="I87" i="30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I99" i="30" s="1"/>
  <c r="I100" i="30" s="1"/>
  <c r="I101" i="30" s="1"/>
  <c r="I102" i="30" s="1"/>
  <c r="Q103" i="31"/>
  <c r="Q71" i="31"/>
  <c r="Q126" i="31"/>
  <c r="Q67" i="31"/>
  <c r="Q153" i="31"/>
  <c r="Q80" i="31"/>
  <c r="AY66" i="28"/>
  <c r="AA17" i="31"/>
  <c r="BA109" i="28"/>
  <c r="E79" i="28"/>
  <c r="AA111" i="28"/>
  <c r="AB85" i="28"/>
  <c r="G116" i="28"/>
  <c r="AL71" i="28"/>
  <c r="BT78" i="28"/>
  <c r="CG36" i="28"/>
  <c r="BI98" i="28"/>
  <c r="CQ108" i="28"/>
  <c r="S72" i="28"/>
  <c r="CO46" i="28"/>
  <c r="CP103" i="28"/>
  <c r="N17" i="31"/>
  <c r="BA70" i="28"/>
  <c r="AY62" i="28"/>
  <c r="S44" i="28"/>
  <c r="L6" i="31"/>
  <c r="D109" i="28"/>
  <c r="AA117" i="28"/>
  <c r="CP96" i="28"/>
  <c r="AO74" i="28"/>
  <c r="D44" i="28"/>
  <c r="C33" i="28"/>
  <c r="AX40" i="28"/>
  <c r="AC53" i="28"/>
  <c r="AC122" i="28"/>
  <c r="BU101" i="28"/>
  <c r="AW73" i="28"/>
  <c r="CE18" i="28"/>
  <c r="AY24" i="28"/>
  <c r="CO115" i="28"/>
  <c r="BI76" i="28"/>
  <c r="S50" i="28"/>
  <c r="AX47" i="28"/>
  <c r="BU106" i="28"/>
  <c r="BI86" i="28"/>
  <c r="D52" i="28"/>
  <c r="AK83" i="28"/>
  <c r="BI47" i="28"/>
  <c r="CQ121" i="28"/>
  <c r="C38" i="28"/>
  <c r="AK73" i="28"/>
  <c r="D7" i="34" a="1"/>
  <c r="P111" i="28"/>
  <c r="BI83" i="28"/>
  <c r="BU102" i="28"/>
  <c r="D103" i="28"/>
  <c r="AC115" i="28"/>
  <c r="AB19" i="28"/>
  <c r="CC97" i="28"/>
  <c r="CQ98" i="28"/>
  <c r="N5" i="31"/>
  <c r="P64" i="28"/>
  <c r="G66" i="28"/>
  <c r="BS80" i="28"/>
  <c r="AB38" i="28"/>
  <c r="BI89" i="28"/>
  <c r="CO118" i="28"/>
  <c r="O19" i="28"/>
  <c r="E62" i="28"/>
  <c r="BS105" i="28"/>
  <c r="AK33" i="28"/>
  <c r="CD58" i="28"/>
  <c r="CG33" i="28"/>
  <c r="AO107" i="28"/>
  <c r="O7" i="31"/>
  <c r="AW85" i="28"/>
  <c r="BI67" i="28"/>
  <c r="CO105" i="28"/>
  <c r="O78" i="28"/>
  <c r="P32" i="28"/>
  <c r="CO32" i="28"/>
  <c r="CO97" i="28"/>
  <c r="AM18" i="28"/>
  <c r="O71" i="28"/>
  <c r="BT99" i="28"/>
  <c r="AC105" i="28"/>
  <c r="CQ19" i="28"/>
  <c r="CO74" i="28"/>
  <c r="AA80" i="28"/>
  <c r="AC106" i="28"/>
  <c r="CS109" i="28"/>
  <c r="Q95" i="28"/>
  <c r="BU107" i="28"/>
  <c r="AK75" i="28"/>
  <c r="CO102" i="28"/>
  <c r="O115" i="28"/>
  <c r="CD120" i="28"/>
  <c r="D58" i="28"/>
  <c r="AA40" i="28"/>
  <c r="CP75" i="28"/>
  <c r="C107" i="28"/>
  <c r="CP79" i="28"/>
  <c r="CG37" i="28"/>
  <c r="S100" i="28"/>
  <c r="BS44" i="28"/>
  <c r="BA79" i="28"/>
  <c r="T27" i="31"/>
  <c r="BI64" i="28"/>
  <c r="AC120" i="28"/>
  <c r="BT117" i="28"/>
  <c r="E51" i="28"/>
  <c r="CQ62" i="28"/>
  <c r="G104" i="28"/>
  <c r="J9" i="31"/>
  <c r="AY61" i="28"/>
  <c r="AB78" i="28"/>
  <c r="AC108" i="28"/>
  <c r="G20" i="28"/>
  <c r="BA47" i="28"/>
  <c r="BU65" i="28"/>
  <c r="CE29" i="28"/>
  <c r="CG70" i="28"/>
  <c r="BU62" i="28"/>
  <c r="AB68" i="28"/>
  <c r="CP116" i="28"/>
  <c r="BA93" i="28"/>
  <c r="P78" i="28"/>
  <c r="Q34" i="28"/>
  <c r="O53" i="28"/>
  <c r="AK41" i="28"/>
  <c r="BU63" i="28"/>
  <c r="BS91" i="28"/>
  <c r="BU93" i="28"/>
  <c r="CG80" i="28"/>
  <c r="AO85" i="28"/>
  <c r="D121" i="28"/>
  <c r="AW20" i="28"/>
  <c r="AK19" i="28"/>
  <c r="AO82" i="28"/>
  <c r="BT95" i="28"/>
  <c r="Q60" i="28"/>
  <c r="BT60" i="28"/>
  <c r="CO119" i="28"/>
  <c r="BS75" i="28"/>
  <c r="Z29" i="31"/>
  <c r="AW70" i="28"/>
  <c r="AB58" i="28"/>
  <c r="AL41" i="28"/>
  <c r="BU68" i="28"/>
  <c r="M26" i="31"/>
  <c r="C80" i="28"/>
  <c r="AY97" i="28"/>
  <c r="CE62" i="28"/>
  <c r="C74" i="28"/>
  <c r="AW72" i="28"/>
  <c r="AL50" i="28"/>
  <c r="C87" i="28"/>
  <c r="E66" i="28"/>
  <c r="BS51" i="28"/>
  <c r="CC82" i="28"/>
  <c r="AK57" i="28"/>
  <c r="O70" i="28"/>
  <c r="D93" i="28"/>
  <c r="AA23" i="28"/>
  <c r="AW88" i="28"/>
  <c r="AX91" i="28"/>
  <c r="AL30" i="28"/>
  <c r="AC21" i="28"/>
  <c r="CS113" i="28"/>
  <c r="CE120" i="28"/>
  <c r="G67" i="28"/>
  <c r="AA102" i="28"/>
  <c r="AW22" i="28"/>
  <c r="S41" i="28"/>
  <c r="CQ122" i="28"/>
  <c r="J17" i="31"/>
  <c r="AK93" i="28"/>
  <c r="AW92" i="28"/>
  <c r="CP47" i="28"/>
  <c r="AW43" i="28"/>
  <c r="BS67" i="28"/>
  <c r="CP120" i="28"/>
  <c r="AL120" i="28"/>
  <c r="BI105" i="28"/>
  <c r="E15" i="28"/>
  <c r="P18" i="31"/>
  <c r="CG58" i="28"/>
  <c r="O35" i="28"/>
  <c r="AX99" i="28"/>
  <c r="E38" i="28"/>
  <c r="P46" i="28"/>
  <c r="CQ117" i="28"/>
  <c r="L12" i="31"/>
  <c r="S83" i="28"/>
  <c r="I6" i="31"/>
  <c r="AY75" i="28"/>
  <c r="CS41" i="28"/>
  <c r="BK110" i="28"/>
  <c r="Z13" i="31"/>
  <c r="AB53" i="28"/>
  <c r="BT119" i="28"/>
  <c r="T8" i="34" a="1"/>
  <c r="BT30" i="28"/>
  <c r="AA26" i="28"/>
  <c r="AC66" i="28"/>
  <c r="CG53" i="28"/>
  <c r="S88" i="28"/>
  <c r="AX51" i="28"/>
  <c r="C78" i="28"/>
  <c r="AC64" i="28"/>
  <c r="P79" i="28"/>
  <c r="BT73" i="28"/>
  <c r="CC81" i="28"/>
  <c r="BA96" i="28"/>
  <c r="AA16" i="31"/>
  <c r="W12" i="31"/>
  <c r="CP92" i="28"/>
  <c r="AA8" i="31"/>
  <c r="O112" i="28"/>
  <c r="U31" i="31"/>
  <c r="AA120" i="28"/>
  <c r="CG89" i="28"/>
  <c r="AC38" i="28"/>
  <c r="AX105" i="28"/>
  <c r="AW112" i="28"/>
  <c r="AA113" i="28"/>
  <c r="BT15" i="28"/>
  <c r="BI62" i="28"/>
  <c r="AA108" i="28"/>
  <c r="BA39" i="28"/>
  <c r="G19" i="31"/>
  <c r="G90" i="28"/>
  <c r="AM83" i="28"/>
  <c r="BK90" i="28"/>
  <c r="J7" i="34" a="1"/>
  <c r="AO80" i="28"/>
  <c r="AY26" i="28"/>
  <c r="AA94" i="28"/>
  <c r="CE119" i="28"/>
  <c r="CQ113" i="28"/>
  <c r="CC83" i="28"/>
  <c r="AO98" i="28"/>
  <c r="CD82" i="28"/>
  <c r="K18" i="31"/>
  <c r="Z16" i="31"/>
  <c r="P109" i="28"/>
  <c r="G23" i="28"/>
  <c r="CE115" i="28"/>
  <c r="AM50" i="28"/>
  <c r="AA67" i="28"/>
  <c r="Q12" i="31"/>
  <c r="AA93" i="28"/>
  <c r="BU82" i="28"/>
  <c r="BU55" i="28"/>
  <c r="Q53" i="28"/>
  <c r="AY110" i="28"/>
  <c r="AM97" i="28"/>
  <c r="D53" i="28"/>
  <c r="O110" i="28"/>
  <c r="CO79" i="28"/>
  <c r="AO38" i="28"/>
  <c r="AA65" i="28"/>
  <c r="E106" i="28"/>
  <c r="AK102" i="28"/>
  <c r="S30" i="31"/>
  <c r="AC48" i="28"/>
  <c r="CO52" i="28"/>
  <c r="CG71" i="28"/>
  <c r="S21" i="28"/>
  <c r="CS120" i="28"/>
  <c r="BA49" i="28"/>
  <c r="P122" i="28"/>
  <c r="CD59" i="28"/>
  <c r="D74" i="28"/>
  <c r="W20" i="31"/>
  <c r="P22" i="28"/>
  <c r="D30" i="28"/>
  <c r="O42" i="28"/>
  <c r="AC102" i="28"/>
  <c r="AO60" i="28"/>
  <c r="G87" i="28"/>
  <c r="AO99" i="28"/>
  <c r="S77" i="28"/>
  <c r="BU116" i="28"/>
  <c r="AK95" i="28"/>
  <c r="CE116" i="28"/>
  <c r="CD57" i="28"/>
  <c r="AL103" i="28"/>
  <c r="J28" i="31"/>
  <c r="AW89" i="28"/>
  <c r="AC88" i="28"/>
  <c r="C48" i="28"/>
  <c r="CD115" i="28"/>
  <c r="M8" i="31"/>
  <c r="AA8" i="34" a="1"/>
  <c r="BS74" i="28"/>
  <c r="AK43" i="28"/>
  <c r="AO24" i="28"/>
  <c r="BS85" i="28"/>
  <c r="O117" i="28"/>
  <c r="AX44" i="28"/>
  <c r="BU89" i="28"/>
  <c r="H31" i="31"/>
  <c r="BI65" i="28"/>
  <c r="AX52" i="28"/>
  <c r="BA37" i="28"/>
  <c r="H29" i="31"/>
  <c r="BT21" i="28"/>
  <c r="BU53" i="28"/>
  <c r="AC74" i="28"/>
  <c r="CE102" i="28"/>
  <c r="R8" i="34" a="1"/>
  <c r="AM69" i="28"/>
  <c r="BS20" i="28"/>
  <c r="BS109" i="28"/>
  <c r="AM92" i="28"/>
  <c r="G101" i="28"/>
  <c r="Q102" i="28"/>
  <c r="S8" i="34" a="1"/>
  <c r="BU80" i="28"/>
  <c r="Y13" i="31"/>
  <c r="CO72" i="28"/>
  <c r="S78" i="28"/>
  <c r="CP119" i="28"/>
  <c r="AK106" i="28"/>
  <c r="CS49" i="28"/>
  <c r="D39" i="28"/>
  <c r="CG109" i="28"/>
  <c r="P104" i="28"/>
  <c r="E87" i="28"/>
  <c r="N20" i="31"/>
  <c r="AY72" i="28"/>
  <c r="Y18" i="31"/>
  <c r="CO98" i="28"/>
  <c r="CO113" i="28"/>
  <c r="AX34" i="28"/>
  <c r="S101" i="28"/>
  <c r="AB70" i="28"/>
  <c r="CS58" i="28"/>
  <c r="CS66" i="28"/>
  <c r="CG35" i="28"/>
  <c r="K21" i="31"/>
  <c r="BU61" i="28"/>
  <c r="CO104" i="28"/>
  <c r="T29" i="31"/>
  <c r="AL82" i="28"/>
  <c r="AL76" i="28"/>
  <c r="CE47" i="28"/>
  <c r="S11" i="31"/>
  <c r="E18" i="31"/>
  <c r="BK109" i="28"/>
  <c r="AX4" i="28"/>
  <c r="BI17" i="28"/>
  <c r="S42" i="28"/>
  <c r="BK88" i="28"/>
  <c r="CO100" i="28"/>
  <c r="D15" i="28"/>
  <c r="CC43" i="28"/>
  <c r="CD70" i="28"/>
  <c r="AO122" i="28"/>
  <c r="CD96" i="28"/>
  <c r="BU69" i="28"/>
  <c r="CG28" i="28"/>
  <c r="AO33" i="28"/>
  <c r="P116" i="28"/>
  <c r="E90" i="28"/>
  <c r="H27" i="31"/>
  <c r="D83" i="28"/>
  <c r="AB106" i="28"/>
  <c r="O120" i="28"/>
  <c r="BK115" i="28"/>
  <c r="BS89" i="28"/>
  <c r="BI41" i="28"/>
  <c r="CD112" i="28"/>
  <c r="CG107" i="28"/>
  <c r="O16" i="31"/>
  <c r="AB21" i="28"/>
  <c r="AM115" i="28"/>
  <c r="E72" i="28"/>
  <c r="BT90" i="28"/>
  <c r="Q106" i="28"/>
  <c r="P57" i="28"/>
  <c r="G27" i="28"/>
  <c r="BT37" i="28"/>
  <c r="G115" i="28"/>
  <c r="BS58" i="28"/>
  <c r="CD78" i="28"/>
  <c r="G49" i="28"/>
  <c r="CC22" i="28"/>
  <c r="CG92" i="28"/>
  <c r="Q74" i="28"/>
  <c r="AW52" i="28"/>
  <c r="CQ20" i="28"/>
  <c r="BS121" i="28"/>
  <c r="AM100" i="28"/>
  <c r="H28" i="31"/>
  <c r="D88" i="28"/>
  <c r="G83" i="28"/>
  <c r="AA36" i="28"/>
  <c r="S80" i="28"/>
  <c r="N8" i="34" a="1"/>
  <c r="BI58" i="28"/>
  <c r="CE66" i="28"/>
  <c r="AB25" i="28"/>
  <c r="CP24" i="28"/>
  <c r="BA64" i="28"/>
  <c r="BK70" i="28"/>
  <c r="AK101" i="28"/>
  <c r="AK118" i="28"/>
  <c r="S6" i="31"/>
  <c r="AB121" i="28"/>
  <c r="Q25" i="28"/>
  <c r="P35" i="28"/>
  <c r="CO121" i="28"/>
  <c r="G82" i="28"/>
  <c r="CD84" i="28"/>
  <c r="AX103" i="28"/>
  <c r="P107" i="28"/>
  <c r="D33" i="28"/>
  <c r="CS16" i="28"/>
  <c r="BI60" i="28"/>
  <c r="BT29" i="28"/>
  <c r="BI51" i="28"/>
  <c r="AK97" i="28"/>
  <c r="CO35" i="28"/>
  <c r="AA89" i="28"/>
  <c r="AB57" i="28"/>
  <c r="CG67" i="28"/>
  <c r="BA108" i="28"/>
  <c r="CD4" i="28"/>
  <c r="O89" i="28"/>
  <c r="Q75" i="28"/>
  <c r="G89" i="28"/>
  <c r="T7" i="34" a="1"/>
  <c r="CC122" i="28"/>
  <c r="CC107" i="28"/>
  <c r="D77" i="28"/>
  <c r="C92" i="28"/>
  <c r="R6" i="31"/>
  <c r="CQ96" i="28"/>
  <c r="AB111" i="28"/>
  <c r="L15" i="31"/>
  <c r="AW41" i="28"/>
  <c r="AL37" i="28"/>
  <c r="O86" i="28"/>
  <c r="P98" i="28"/>
  <c r="CC109" i="28"/>
  <c r="I12" i="31"/>
  <c r="E99" i="28"/>
  <c r="CC27" i="28"/>
  <c r="AK116" i="28"/>
  <c r="BT83" i="28"/>
  <c r="O97" i="28"/>
  <c r="C68" i="28"/>
  <c r="AA103" i="28"/>
  <c r="AK115" i="28"/>
  <c r="BK119" i="28"/>
  <c r="CC20" i="28"/>
  <c r="BI117" i="28"/>
  <c r="U5" i="31"/>
  <c r="BT75" i="28"/>
  <c r="AA19" i="28"/>
  <c r="BA84" i="28"/>
  <c r="D59" i="28"/>
  <c r="CG76" i="28"/>
  <c r="AX66" i="28"/>
  <c r="N29" i="31"/>
  <c r="Q85" i="28"/>
  <c r="CC85" i="28"/>
  <c r="CP87" i="28"/>
  <c r="BU95" i="28"/>
  <c r="CG93" i="28"/>
  <c r="AC61" i="28"/>
  <c r="D27" i="28"/>
  <c r="AM78" i="28"/>
  <c r="AB34" i="28"/>
  <c r="S102" i="28"/>
  <c r="AA24" i="28"/>
  <c r="BA104" i="28"/>
  <c r="AW87" i="28"/>
  <c r="BS68" i="28"/>
  <c r="G35" i="28"/>
  <c r="D60" i="28"/>
  <c r="AC85" i="28"/>
  <c r="AC52" i="28"/>
  <c r="S19" i="31"/>
  <c r="W27" i="31"/>
  <c r="BU52" i="28"/>
  <c r="Q28" i="28"/>
  <c r="S110" i="28"/>
  <c r="S92" i="28"/>
  <c r="AW116" i="28"/>
  <c r="AY21" i="28"/>
  <c r="AX78" i="28"/>
  <c r="D104" i="28"/>
  <c r="BK120" i="28"/>
  <c r="C89" i="28"/>
  <c r="BU118" i="28"/>
  <c r="BT43" i="28"/>
  <c r="BK117" i="28"/>
  <c r="AL77" i="28"/>
  <c r="AY15" i="28"/>
  <c r="AL117" i="28"/>
  <c r="BI23" i="28"/>
  <c r="BI36" i="28"/>
  <c r="AA106" i="28"/>
  <c r="CD45" i="28"/>
  <c r="I14" i="31"/>
  <c r="CP102" i="28"/>
  <c r="BU36" i="28"/>
  <c r="AW69" i="28"/>
  <c r="CD85" i="28"/>
  <c r="O46" i="28"/>
  <c r="AW57" i="28"/>
  <c r="AM90" i="28"/>
  <c r="BK80" i="28"/>
  <c r="Q16" i="31"/>
  <c r="AY98" i="28"/>
  <c r="Z6" i="31"/>
  <c r="BS118" i="28"/>
  <c r="CS71" i="28"/>
  <c r="CQ54" i="28"/>
  <c r="AC25" i="28"/>
  <c r="AO72" i="28"/>
  <c r="BS47" i="28"/>
  <c r="O88" i="28"/>
  <c r="BS96" i="28"/>
  <c r="AW108" i="28"/>
  <c r="X20" i="31"/>
  <c r="C66" i="28"/>
  <c r="BU113" i="28"/>
  <c r="Q54" i="28"/>
  <c r="K13" i="31"/>
  <c r="BA103" i="28"/>
  <c r="P102" i="28"/>
  <c r="AL55" i="28"/>
  <c r="CD91" i="28"/>
  <c r="BI118" i="28"/>
  <c r="D72" i="28"/>
  <c r="AC90" i="28"/>
  <c r="CQ120" i="28"/>
  <c r="Q69" i="28"/>
  <c r="AC101" i="28"/>
  <c r="K31" i="31"/>
  <c r="CE58" i="28"/>
  <c r="AX57" i="28"/>
  <c r="C114" i="28"/>
  <c r="AY44" i="28"/>
  <c r="O107" i="28"/>
  <c r="AX50" i="28"/>
  <c r="BU31" i="28"/>
  <c r="E23" i="28"/>
  <c r="D41" i="28"/>
  <c r="CG96" i="28"/>
  <c r="CC63" i="28"/>
  <c r="C54" i="28"/>
  <c r="AB41" i="28"/>
  <c r="BU85" i="28"/>
  <c r="BA100" i="28"/>
  <c r="BU86" i="28"/>
  <c r="BU15" i="28"/>
  <c r="CE70" i="28"/>
  <c r="CC105" i="28"/>
  <c r="AM17" i="28"/>
  <c r="D102" i="28"/>
  <c r="AW104" i="28"/>
  <c r="AM86" i="28"/>
  <c r="CD98" i="28"/>
  <c r="CO120" i="28"/>
  <c r="D97" i="28"/>
  <c r="O18" i="31"/>
  <c r="CC23" i="28"/>
  <c r="BU21" i="28"/>
  <c r="I19" i="31"/>
  <c r="AL99" i="28"/>
  <c r="E104" i="28"/>
  <c r="P88" i="28"/>
  <c r="BU24" i="28"/>
  <c r="AA62" i="28"/>
  <c r="Q90" i="28"/>
  <c r="CQ91" i="28"/>
  <c r="CP16" i="28"/>
  <c r="AY115" i="28"/>
  <c r="AA98" i="28"/>
  <c r="AA22" i="28"/>
  <c r="AM40" i="28"/>
  <c r="BK45" i="28"/>
  <c r="G93" i="28"/>
  <c r="AX43" i="28"/>
  <c r="G21" i="31"/>
  <c r="AM107" i="28"/>
  <c r="CE32" i="28"/>
  <c r="BI114" i="28"/>
  <c r="AM62" i="28"/>
  <c r="AY70" i="28"/>
  <c r="M21" i="31"/>
  <c r="CE21" i="28"/>
  <c r="AL4" i="28"/>
  <c r="AK103" i="28"/>
  <c r="CP106" i="28"/>
  <c r="O87" i="28"/>
  <c r="AO89" i="28"/>
  <c r="AK122" i="28"/>
  <c r="E83" i="28"/>
  <c r="Q56" i="28"/>
  <c r="BK105" i="28"/>
  <c r="CS73" i="28"/>
  <c r="CP86" i="28"/>
  <c r="CG90" i="28"/>
  <c r="D99" i="28"/>
  <c r="BS70" i="28"/>
  <c r="E121" i="28"/>
  <c r="CE84" i="28"/>
  <c r="E109" i="28"/>
  <c r="AY45" i="28"/>
  <c r="BS57" i="28"/>
  <c r="AL56" i="28"/>
  <c r="E89" i="28"/>
  <c r="Z11" i="31"/>
  <c r="BK101" i="28"/>
  <c r="CP113" i="28"/>
  <c r="O102" i="28"/>
  <c r="AA61" i="28"/>
  <c r="AX77" i="28"/>
  <c r="CP84" i="28"/>
  <c r="BU112" i="28"/>
  <c r="AC67" i="28"/>
  <c r="CQ31" i="28"/>
  <c r="AY82" i="28"/>
  <c r="AA26" i="31"/>
  <c r="BU74" i="28"/>
  <c r="CP97" i="28"/>
  <c r="S71" i="28"/>
  <c r="CG87" i="28"/>
  <c r="S113" i="28"/>
  <c r="AL26" i="28"/>
  <c r="AY104" i="28"/>
  <c r="C117" i="28"/>
  <c r="O118" i="28"/>
  <c r="AW19" i="28"/>
  <c r="BK79" i="28"/>
  <c r="CC55" i="28"/>
  <c r="AW120" i="28"/>
  <c r="AL27" i="28"/>
  <c r="CG100" i="28"/>
  <c r="P74" i="28"/>
  <c r="CS50" i="28"/>
  <c r="W25" i="31"/>
  <c r="CD104" i="28"/>
  <c r="AW44" i="28"/>
  <c r="AM30" i="28"/>
  <c r="AB113" i="28"/>
  <c r="AM42" i="28"/>
  <c r="Q40" i="28"/>
  <c r="AK67" i="28"/>
  <c r="BA33" i="28"/>
  <c r="BT105" i="28"/>
  <c r="AL80" i="28"/>
  <c r="BA23" i="28"/>
  <c r="BK59" i="28"/>
  <c r="CS101" i="28"/>
  <c r="CG85" i="28"/>
  <c r="C60" i="28"/>
  <c r="CP20" i="28"/>
  <c r="AA70" i="28"/>
  <c r="BU28" i="28"/>
  <c r="O17" i="28"/>
  <c r="I8" i="31"/>
  <c r="P84" i="28"/>
  <c r="AL116" i="28"/>
  <c r="AA57" i="28"/>
  <c r="AM98" i="28"/>
  <c r="BS93" i="28"/>
  <c r="AK105" i="28"/>
  <c r="AK69" i="28"/>
  <c r="AY118" i="28"/>
  <c r="AO68" i="28"/>
  <c r="AM84" i="28"/>
  <c r="BT56" i="28"/>
  <c r="BK67" i="28"/>
  <c r="F20" i="31"/>
  <c r="BK18" i="28"/>
  <c r="E25" i="28"/>
  <c r="D36" i="28"/>
  <c r="CQ118" i="28"/>
  <c r="BT106" i="28"/>
  <c r="CD38" i="28"/>
  <c r="AO83" i="28"/>
  <c r="AB23" i="28"/>
  <c r="AX31" i="28"/>
  <c r="Q92" i="28"/>
  <c r="BK107" i="28"/>
  <c r="CC108" i="28"/>
  <c r="J13" i="31"/>
  <c r="O76" i="28"/>
  <c r="O69" i="28"/>
  <c r="CO99" i="28"/>
  <c r="BA45" i="28"/>
  <c r="AL97" i="28"/>
  <c r="G58" i="28"/>
  <c r="BU46" i="28"/>
  <c r="I9" i="31"/>
  <c r="BS101" i="28"/>
  <c r="CP69" i="28"/>
  <c r="O108" i="28"/>
  <c r="M12" i="31"/>
  <c r="CD21" i="28"/>
  <c r="AL88" i="28"/>
  <c r="CO63" i="28"/>
  <c r="D120" i="28"/>
  <c r="AK63" i="28"/>
  <c r="D28" i="28"/>
  <c r="Z27" i="31"/>
  <c r="E81" i="28"/>
  <c r="CO31" i="28"/>
  <c r="AA28" i="28"/>
  <c r="E30" i="28"/>
  <c r="AO73" i="28"/>
  <c r="BK99" i="28"/>
  <c r="BT63" i="28"/>
  <c r="CD122" i="28"/>
  <c r="S56" i="28"/>
  <c r="Y7" i="34" a="1"/>
  <c r="BK114" i="28"/>
  <c r="X30" i="31"/>
  <c r="CD102" i="28"/>
  <c r="C98" i="28"/>
  <c r="D20" i="31"/>
  <c r="BU121" i="28"/>
  <c r="Q17" i="31"/>
  <c r="AL98" i="28"/>
  <c r="BS73" i="28"/>
  <c r="CQ52" i="28"/>
  <c r="BS81" i="28"/>
  <c r="D11" i="31"/>
  <c r="CE31" i="28"/>
  <c r="AM102" i="28"/>
  <c r="AY93" i="28"/>
  <c r="Q109" i="28"/>
  <c r="BI112" i="28"/>
  <c r="AL110" i="28"/>
  <c r="BA91" i="28"/>
  <c r="O32" i="28"/>
  <c r="BU56" i="28"/>
  <c r="BI34" i="28"/>
  <c r="AA18" i="31"/>
  <c r="C40" i="28"/>
  <c r="H12" i="31"/>
  <c r="CS118" i="28"/>
  <c r="S15" i="31"/>
  <c r="CS99" i="28"/>
  <c r="CS75" i="28"/>
  <c r="BA73" i="28"/>
  <c r="AX65" i="28"/>
  <c r="BK106" i="28"/>
  <c r="E85" i="28"/>
  <c r="CE112" i="28"/>
  <c r="I30" i="31"/>
  <c r="E114" i="28"/>
  <c r="CO17" i="28"/>
  <c r="AA7" i="34" a="1"/>
  <c r="G120" i="28"/>
  <c r="CP98" i="28"/>
  <c r="CG94" i="28"/>
  <c r="Q83" i="28"/>
  <c r="CQ64" i="28"/>
  <c r="AA49" i="28"/>
  <c r="AY65" i="28"/>
  <c r="AX84" i="28"/>
  <c r="G59" i="28"/>
  <c r="C106" i="28"/>
  <c r="CG66" i="28"/>
  <c r="AW71" i="28"/>
  <c r="BS64" i="28"/>
  <c r="O8" i="34" a="1"/>
  <c r="BI46" i="28"/>
  <c r="C115" i="28"/>
  <c r="AX19" i="28"/>
  <c r="CC90" i="28"/>
  <c r="AO17" i="28"/>
  <c r="U7" i="31"/>
  <c r="AC121" i="28"/>
  <c r="P44" i="28"/>
  <c r="P34" i="28"/>
  <c r="S91" i="28"/>
  <c r="BA35" i="28"/>
  <c r="CD83" i="28"/>
  <c r="BU57" i="28"/>
  <c r="D117" i="28"/>
  <c r="AB33" i="28"/>
  <c r="AL111" i="28"/>
  <c r="AC98" i="28"/>
  <c r="BA18" i="28"/>
  <c r="AX23" i="28"/>
  <c r="S87" i="28"/>
  <c r="BU23" i="28"/>
  <c r="E45" i="28"/>
  <c r="CO107" i="28"/>
  <c r="AO31" i="28"/>
  <c r="P13" i="31"/>
  <c r="AL106" i="28"/>
  <c r="E28" i="31"/>
  <c r="O109" i="28"/>
  <c r="Q37" i="28"/>
  <c r="AL105" i="28"/>
  <c r="BI59" i="28"/>
  <c r="CD44" i="28"/>
  <c r="CC74" i="28"/>
  <c r="O40" i="28"/>
  <c r="G39" i="28"/>
  <c r="AL54" i="28"/>
  <c r="E69" i="28"/>
  <c r="O63" i="28"/>
  <c r="CE19" i="28"/>
  <c r="X19" i="31"/>
  <c r="BS54" i="28"/>
  <c r="E55" i="28"/>
  <c r="E6" i="31"/>
  <c r="H21" i="31"/>
  <c r="CS116" i="28"/>
  <c r="CC106" i="28"/>
  <c r="CO37" i="28"/>
  <c r="D75" i="28"/>
  <c r="S32" i="28"/>
  <c r="G95" i="28"/>
  <c r="D108" i="28"/>
  <c r="E60" i="28"/>
  <c r="AC116" i="28"/>
  <c r="CD95" i="28"/>
  <c r="BT65" i="28"/>
  <c r="AC72" i="28"/>
  <c r="AY80" i="28"/>
  <c r="AB116" i="28"/>
  <c r="G64" i="28"/>
  <c r="CO48" i="28"/>
  <c r="CC44" i="28"/>
  <c r="AY63" i="28"/>
  <c r="CO87" i="28"/>
  <c r="CQ119" i="28"/>
  <c r="G38" i="28"/>
  <c r="AW105" i="28"/>
  <c r="C77" i="28"/>
  <c r="BA22" i="28"/>
  <c r="AL92" i="28"/>
  <c r="BI72" i="28"/>
  <c r="CS27" i="28"/>
  <c r="J8" i="34" a="1"/>
  <c r="BA62" i="28"/>
  <c r="Z31" i="31"/>
  <c r="O45" i="28"/>
  <c r="AA53" i="28"/>
  <c r="U12" i="31"/>
  <c r="BI20" i="28"/>
  <c r="AC77" i="28"/>
  <c r="Z7" i="31"/>
  <c r="BS16" i="28"/>
  <c r="BI80" i="28"/>
  <c r="T21" i="31"/>
  <c r="CC68" i="28"/>
  <c r="G20" i="31"/>
  <c r="AK17" i="28"/>
  <c r="C116" i="28"/>
  <c r="N27" i="31"/>
  <c r="BU34" i="28"/>
  <c r="G9" i="31"/>
  <c r="CP36" i="28"/>
  <c r="CO42" i="28"/>
  <c r="BT104" i="28"/>
  <c r="C44" i="28"/>
  <c r="D122" i="28"/>
  <c r="I27" i="31"/>
  <c r="AL45" i="28"/>
  <c r="AC40" i="28"/>
  <c r="AC84" i="28"/>
  <c r="Y31" i="31"/>
  <c r="CS22" i="28"/>
  <c r="CD31" i="28"/>
  <c r="CE63" i="28"/>
  <c r="AB91" i="28"/>
  <c r="AY46" i="28"/>
  <c r="G106" i="28"/>
  <c r="Z12" i="31"/>
  <c r="Q61" i="28"/>
  <c r="F5" i="31"/>
  <c r="AL36" i="28"/>
  <c r="CE46" i="28"/>
  <c r="BS31" i="28"/>
  <c r="P92" i="28"/>
  <c r="P8" i="31"/>
  <c r="CQ45" i="28"/>
  <c r="AL40" i="28"/>
  <c r="C56" i="28"/>
  <c r="Q51" i="28"/>
  <c r="D73" i="28"/>
  <c r="AA79" i="28"/>
  <c r="AX79" i="28"/>
  <c r="F29" i="31"/>
  <c r="Q25" i="31"/>
  <c r="AX104" i="28"/>
  <c r="AO22" i="28"/>
  <c r="BI25" i="28"/>
  <c r="CD36" i="28"/>
  <c r="CO27" i="28"/>
  <c r="CC101" i="28"/>
  <c r="AY95" i="28"/>
  <c r="P120" i="28"/>
  <c r="CP37" i="28"/>
  <c r="V6" i="31"/>
  <c r="D19" i="31"/>
  <c r="O20" i="28"/>
  <c r="BU60" i="28"/>
  <c r="CC41" i="28"/>
  <c r="R9" i="31"/>
  <c r="AK64" i="28"/>
  <c r="AA69" i="28"/>
  <c r="P112" i="28"/>
  <c r="AM38" i="28"/>
  <c r="G33" i="28"/>
  <c r="AK72" i="28"/>
  <c r="CP62" i="28"/>
  <c r="AC54" i="28"/>
  <c r="AY88" i="28"/>
  <c r="S19" i="28"/>
  <c r="CE81" i="28"/>
  <c r="Q27" i="28"/>
  <c r="F12" i="31"/>
  <c r="P7" i="34" a="1"/>
  <c r="CE67" i="28"/>
  <c r="AA7" i="31"/>
  <c r="R25" i="31"/>
  <c r="AO75" i="28"/>
  <c r="S86" i="28"/>
  <c r="O101" i="28"/>
  <c r="E98" i="28"/>
  <c r="CC93" i="28"/>
  <c r="BI106" i="28"/>
  <c r="BK74" i="28"/>
  <c r="AC17" i="28"/>
  <c r="BT54" i="28"/>
  <c r="P83" i="28"/>
  <c r="S51" i="28"/>
  <c r="BA102" i="28"/>
  <c r="BA20" i="28"/>
  <c r="P108" i="28"/>
  <c r="Q78" i="28"/>
  <c r="AX109" i="28"/>
  <c r="G103" i="28"/>
  <c r="BI53" i="28"/>
  <c r="AM117" i="28"/>
  <c r="C61" i="28"/>
  <c r="CP70" i="28"/>
  <c r="AO25" i="28"/>
  <c r="AL35" i="28"/>
  <c r="AK50" i="28"/>
  <c r="CE106" i="28"/>
  <c r="BS37" i="28"/>
  <c r="AX97" i="28"/>
  <c r="AW53" i="28"/>
  <c r="BI42" i="28"/>
  <c r="P85" i="28"/>
  <c r="D90" i="28"/>
  <c r="P115" i="28"/>
  <c r="BI38" i="28"/>
  <c r="CE91" i="28"/>
  <c r="AM24" i="28"/>
  <c r="AO16" i="28"/>
  <c r="M29" i="31"/>
  <c r="M9" i="31"/>
  <c r="AW90" i="28"/>
  <c r="O73" i="28"/>
  <c r="CS112" i="28"/>
  <c r="C111" i="28"/>
  <c r="S119" i="28"/>
  <c r="CP78" i="28"/>
  <c r="CE104" i="28"/>
  <c r="BK100" i="28"/>
  <c r="BA28" i="28"/>
  <c r="CP80" i="28"/>
  <c r="D76" i="28"/>
  <c r="AW21" i="28"/>
  <c r="CC25" i="28"/>
  <c r="AB118" i="28"/>
  <c r="AK109" i="28"/>
  <c r="CG112" i="28"/>
  <c r="S111" i="28"/>
  <c r="CD105" i="28"/>
  <c r="BU104" i="28"/>
  <c r="BK25" i="28"/>
  <c r="AC78" i="28"/>
  <c r="G96" i="28"/>
  <c r="CS68" i="28"/>
  <c r="J21" i="31"/>
  <c r="O85" i="28"/>
  <c r="D105" i="28"/>
  <c r="V29" i="31"/>
  <c r="G75" i="28"/>
  <c r="F14" i="31"/>
  <c r="CP72" i="28"/>
  <c r="D110" i="28"/>
  <c r="AM71" i="28"/>
  <c r="CC73" i="28"/>
  <c r="AO111" i="28"/>
  <c r="CC91" i="28"/>
  <c r="E112" i="28"/>
  <c r="C41" i="28"/>
  <c r="AY101" i="28"/>
  <c r="BI85" i="28"/>
  <c r="AY87" i="28"/>
  <c r="CP28" i="28"/>
  <c r="AA27" i="31"/>
  <c r="Q91" i="28"/>
  <c r="AX38" i="28"/>
  <c r="CP4" i="28"/>
  <c r="BA53" i="28"/>
  <c r="Y9" i="31"/>
  <c r="P28" i="31"/>
  <c r="CQ84" i="28"/>
  <c r="Y29" i="31"/>
  <c r="BS71" i="28"/>
  <c r="CP42" i="28"/>
  <c r="U26" i="31"/>
  <c r="AL104" i="28"/>
  <c r="BT39" i="28"/>
  <c r="U14" i="31"/>
  <c r="BA54" i="28"/>
  <c r="BS113" i="28"/>
  <c r="AC70" i="28"/>
  <c r="CS38" i="28"/>
  <c r="E97" i="28"/>
  <c r="AC26" i="28"/>
  <c r="BS63" i="28"/>
  <c r="CS52" i="28"/>
  <c r="CD63" i="28"/>
  <c r="W17" i="31"/>
  <c r="CD40" i="28"/>
  <c r="E88" i="28"/>
  <c r="AB77" i="28"/>
  <c r="AK42" i="28"/>
  <c r="U28" i="31"/>
  <c r="CG52" i="28"/>
  <c r="AX69" i="28"/>
  <c r="BU117" i="28"/>
  <c r="AY55" i="28"/>
  <c r="CO16" i="28"/>
  <c r="Q35" i="28"/>
  <c r="AA54" i="28"/>
  <c r="CS76" i="28"/>
  <c r="M17" i="31"/>
  <c r="O55" i="28"/>
  <c r="G100" i="28"/>
  <c r="C109" i="28"/>
  <c r="CQ104" i="28"/>
  <c r="BI88" i="28"/>
  <c r="P36" i="28"/>
  <c r="F28" i="31"/>
  <c r="AB49" i="28"/>
  <c r="P42" i="28"/>
  <c r="AX49" i="28"/>
  <c r="BK48" i="28"/>
  <c r="CQ110" i="28"/>
  <c r="E65" i="28"/>
  <c r="S26" i="31"/>
  <c r="AM21" i="28"/>
  <c r="S15" i="28"/>
  <c r="P31" i="28"/>
  <c r="AB61" i="28"/>
  <c r="CG114" i="28"/>
  <c r="BS39" i="28"/>
  <c r="AO108" i="28"/>
  <c r="F26" i="31"/>
  <c r="P26" i="31"/>
  <c r="Q79" i="28"/>
  <c r="AL59" i="28"/>
  <c r="AY38" i="28"/>
  <c r="I8" i="34" a="1"/>
  <c r="BA34" i="28"/>
  <c r="CS62" i="28"/>
  <c r="AC94" i="28"/>
  <c r="CG117" i="28"/>
  <c r="BU40" i="28"/>
  <c r="CQ83" i="28"/>
  <c r="G86" i="28"/>
  <c r="CD47" i="28"/>
  <c r="D100" i="28"/>
  <c r="CC70" i="28"/>
  <c r="AC104" i="28"/>
  <c r="CO21" i="28"/>
  <c r="AX59" i="28"/>
  <c r="Q65" i="28"/>
  <c r="CD93" i="28"/>
  <c r="AW80" i="28"/>
  <c r="AY92" i="28"/>
  <c r="Q39" i="28"/>
  <c r="CQ29" i="28"/>
  <c r="AK35" i="28"/>
  <c r="D87" i="28"/>
  <c r="G31" i="28"/>
  <c r="O74" i="28"/>
  <c r="AB20" i="28"/>
  <c r="AK111" i="28"/>
  <c r="CP34" i="28"/>
  <c r="BK64" i="28"/>
  <c r="AL118" i="28"/>
  <c r="G65" i="28"/>
  <c r="CQ82" i="28"/>
  <c r="J6" i="31"/>
  <c r="CD106" i="28"/>
  <c r="C46" i="28"/>
  <c r="CQ44" i="28"/>
  <c r="Z21" i="31"/>
  <c r="CE72" i="28"/>
  <c r="P77" i="28"/>
  <c r="Y17" i="31"/>
  <c r="BS66" i="28"/>
  <c r="O44" i="28"/>
  <c r="BT86" i="28"/>
  <c r="CO93" i="28"/>
  <c r="AM66" i="28"/>
  <c r="AA66" i="28"/>
  <c r="AA85" i="28"/>
  <c r="BA15" i="28"/>
  <c r="BA110" i="28"/>
  <c r="CD80" i="28"/>
  <c r="CS47" i="28"/>
  <c r="U9" i="31"/>
  <c r="CD74" i="28"/>
  <c r="CC57" i="28"/>
  <c r="F25" i="31"/>
  <c r="BA78" i="28"/>
  <c r="BU115" i="28"/>
  <c r="O19" i="31"/>
  <c r="BA52" i="28"/>
  <c r="CO54" i="28"/>
  <c r="AY109" i="28"/>
  <c r="CE55" i="28"/>
  <c r="AK56" i="28"/>
  <c r="Q80" i="28"/>
  <c r="AX70" i="28"/>
  <c r="CG62" i="28"/>
  <c r="L19" i="31"/>
  <c r="BS48" i="28"/>
  <c r="H7" i="31"/>
  <c r="C35" i="28"/>
  <c r="AW81" i="28"/>
  <c r="AK79" i="28"/>
  <c r="P91" i="28"/>
  <c r="G107" i="28"/>
  <c r="BT112" i="28"/>
  <c r="G70" i="28"/>
  <c r="D27" i="31"/>
  <c r="Q42" i="28"/>
  <c r="AW30" i="28"/>
  <c r="AX33" i="28"/>
  <c r="E48" i="28"/>
  <c r="S115" i="28"/>
  <c r="E46" i="28"/>
  <c r="Q81" i="28"/>
  <c r="CO34" i="28"/>
  <c r="G52" i="28"/>
  <c r="Q94" i="28"/>
  <c r="BT72" i="28"/>
  <c r="AC91" i="28"/>
  <c r="CG55" i="28"/>
  <c r="P59" i="28"/>
  <c r="D14" i="31"/>
  <c r="O61" i="28"/>
  <c r="BK32" i="28"/>
  <c r="BT61" i="28"/>
  <c r="S5" i="31"/>
  <c r="U27" i="31"/>
  <c r="BT76" i="28"/>
  <c r="G122" i="28"/>
  <c r="N31" i="31"/>
  <c r="C58" i="28"/>
  <c r="CG20" i="28"/>
  <c r="AB101" i="28"/>
  <c r="AW121" i="28"/>
  <c r="CP58" i="28"/>
  <c r="AM118" i="28"/>
  <c r="Q15" i="31"/>
  <c r="BT46" i="28"/>
  <c r="P113" i="28"/>
  <c r="P52" i="28"/>
  <c r="CP105" i="28"/>
  <c r="C88" i="28"/>
  <c r="AB82" i="28"/>
  <c r="P68" i="28"/>
  <c r="AK78" i="28"/>
  <c r="S89" i="28"/>
  <c r="CC78" i="28"/>
  <c r="P7" i="31"/>
  <c r="AM23" i="28"/>
  <c r="BT120" i="28"/>
  <c r="E24" i="28"/>
  <c r="AX17" i="28"/>
  <c r="AC41" i="28"/>
  <c r="AC20" i="28"/>
  <c r="CC99" i="28"/>
  <c r="AO113" i="28"/>
  <c r="E117" i="28"/>
  <c r="CE122" i="28"/>
  <c r="BU111" i="28"/>
  <c r="CP31" i="28"/>
  <c r="CD75" i="28"/>
  <c r="D31" i="28"/>
  <c r="AO35" i="28"/>
  <c r="D30" i="31"/>
  <c r="Y8" i="31"/>
  <c r="BS50" i="28"/>
  <c r="CD24" i="28"/>
  <c r="AA74" i="28"/>
  <c r="Y20" i="31"/>
  <c r="O103" i="28"/>
  <c r="AW36" i="28"/>
  <c r="BA80" i="28"/>
  <c r="AW42" i="28"/>
  <c r="BS53" i="28"/>
  <c r="BS82" i="28"/>
  <c r="AO96" i="28"/>
  <c r="AK80" i="28"/>
  <c r="BT66" i="28"/>
  <c r="Q99" i="28"/>
  <c r="BI107" i="28"/>
  <c r="AO114" i="28"/>
  <c r="M31" i="31"/>
  <c r="O27" i="28"/>
  <c r="N13" i="31"/>
  <c r="CO112" i="28"/>
  <c r="AW32" i="28"/>
  <c r="AB86" i="28"/>
  <c r="CP60" i="28"/>
  <c r="D34" i="28"/>
  <c r="S28" i="28"/>
  <c r="G27" i="31"/>
  <c r="BU77" i="28"/>
  <c r="BA89" i="28"/>
  <c r="CQ79" i="28"/>
  <c r="BT110" i="28"/>
  <c r="CD97" i="28"/>
  <c r="CO53" i="28"/>
  <c r="CQ55" i="28"/>
  <c r="BK72" i="28"/>
  <c r="S27" i="31"/>
  <c r="P29" i="31"/>
  <c r="S57" i="28"/>
  <c r="K25" i="31"/>
  <c r="J18" i="31"/>
  <c r="AO77" i="28"/>
  <c r="CC111" i="28"/>
  <c r="K7" i="34" a="1"/>
  <c r="P50" i="28"/>
  <c r="CE114" i="28"/>
  <c r="G30" i="31"/>
  <c r="BT34" i="28"/>
  <c r="AB40" i="28"/>
  <c r="X17" i="31"/>
  <c r="CQ41" i="28"/>
  <c r="E27" i="28"/>
  <c r="C51" i="28"/>
  <c r="AX36" i="28"/>
  <c r="CP57" i="28"/>
  <c r="D31" i="31"/>
  <c r="M30" i="31"/>
  <c r="BU41" i="28"/>
  <c r="BT111" i="28"/>
  <c r="P16" i="28"/>
  <c r="BT44" i="28"/>
  <c r="CD86" i="28"/>
  <c r="CC114" i="28"/>
  <c r="BA55" i="28"/>
  <c r="E77" i="28"/>
  <c r="S26" i="28"/>
  <c r="CC15" i="28"/>
  <c r="AW50" i="28"/>
  <c r="R28" i="31"/>
  <c r="AM94" i="28"/>
  <c r="AK117" i="28"/>
  <c r="G15" i="28"/>
  <c r="O23" i="28"/>
  <c r="D5" i="31"/>
  <c r="AA71" i="28"/>
  <c r="CC79" i="28"/>
  <c r="Q82" i="28"/>
  <c r="AA95" i="28"/>
  <c r="CG113" i="28"/>
  <c r="AW47" i="28"/>
  <c r="J20" i="31"/>
  <c r="CC54" i="28"/>
  <c r="E107" i="28"/>
  <c r="CD117" i="28"/>
  <c r="BS49" i="28"/>
  <c r="O60" i="28"/>
  <c r="AA109" i="28"/>
  <c r="CG27" i="28"/>
  <c r="D45" i="28"/>
  <c r="AC69" i="28"/>
  <c r="AO95" i="28"/>
  <c r="CE34" i="28"/>
  <c r="BT36" i="28"/>
  <c r="CD19" i="28"/>
  <c r="AO28" i="28"/>
  <c r="CC119" i="28"/>
  <c r="AM28" i="28"/>
  <c r="AC92" i="28"/>
  <c r="CQ49" i="28"/>
  <c r="AY39" i="28"/>
  <c r="O92" i="28"/>
  <c r="CS111" i="28"/>
  <c r="BU48" i="28"/>
  <c r="BK41" i="28"/>
  <c r="X12" i="31"/>
  <c r="BA117" i="28"/>
  <c r="CQ92" i="28"/>
  <c r="CD71" i="28"/>
  <c r="AL100" i="28"/>
  <c r="CQ30" i="28"/>
  <c r="CE48" i="28"/>
  <c r="G55" i="28"/>
  <c r="BT59" i="28"/>
  <c r="AX100" i="28"/>
  <c r="BS114" i="28"/>
  <c r="CS42" i="28"/>
  <c r="BA121" i="28"/>
  <c r="AC118" i="28"/>
  <c r="O98" i="28"/>
  <c r="AY89" i="28"/>
  <c r="CP118" i="28"/>
  <c r="S108" i="28"/>
  <c r="BU50" i="28"/>
  <c r="E111" i="28"/>
  <c r="G37" i="28"/>
  <c r="O106" i="28"/>
  <c r="AA20" i="28"/>
  <c r="AW114" i="28"/>
  <c r="BT33" i="28"/>
  <c r="O114" i="28"/>
  <c r="CS108" i="28"/>
  <c r="Z7" i="34" a="1"/>
  <c r="CE28" i="28"/>
  <c r="CD35" i="28"/>
  <c r="CD34" i="28"/>
  <c r="AL22" i="28"/>
  <c r="E31" i="28"/>
  <c r="CE93" i="28"/>
  <c r="AA48" i="28"/>
  <c r="AM49" i="28"/>
  <c r="AX56" i="28"/>
  <c r="E43" i="28"/>
  <c r="O52" i="28"/>
  <c r="AY102" i="28"/>
  <c r="AM31" i="28"/>
  <c r="J25" i="31"/>
  <c r="CG74" i="28"/>
  <c r="AX88" i="28"/>
  <c r="AA81" i="28"/>
  <c r="O6" i="31"/>
  <c r="CO103" i="28"/>
  <c r="CQ77" i="28"/>
  <c r="BI77" i="28"/>
  <c r="AY108" i="28"/>
  <c r="BA83" i="28"/>
  <c r="W8" i="34" a="1"/>
  <c r="D96" i="28"/>
  <c r="CG50" i="28"/>
  <c r="CQ103" i="28"/>
  <c r="BU64" i="28"/>
  <c r="AC47" i="28"/>
  <c r="CD54" i="28"/>
  <c r="AO94" i="28"/>
  <c r="L21" i="31"/>
  <c r="AY29" i="28"/>
  <c r="CS122" i="28"/>
  <c r="G11" i="31"/>
  <c r="CP45" i="28"/>
  <c r="G114" i="28"/>
  <c r="AB65" i="28"/>
  <c r="AA16" i="28"/>
  <c r="D71" i="28"/>
  <c r="H15" i="31"/>
  <c r="AM76" i="28"/>
  <c r="AB103" i="28"/>
  <c r="G16" i="28"/>
  <c r="BK54" i="28"/>
  <c r="CC62" i="28"/>
  <c r="S121" i="28"/>
  <c r="AB43" i="28"/>
  <c r="F17" i="31"/>
  <c r="Q66" i="28"/>
  <c r="CD77" i="28"/>
  <c r="M28" i="31"/>
  <c r="CS29" i="28"/>
  <c r="BT109" i="28"/>
  <c r="AK66" i="28"/>
  <c r="AK21" i="28"/>
  <c r="CD114" i="28"/>
  <c r="C67" i="28"/>
  <c r="CE113" i="28"/>
  <c r="CO77" i="28"/>
  <c r="AK104" i="28"/>
  <c r="AW113" i="28"/>
  <c r="P110" i="28"/>
  <c r="Y25" i="31"/>
  <c r="G63" i="28"/>
  <c r="Q15" i="28"/>
  <c r="CQ73" i="28"/>
  <c r="CQ115" i="28"/>
  <c r="S69" i="28"/>
  <c r="AA29" i="31"/>
  <c r="Q64" i="28"/>
  <c r="Q57" i="28"/>
  <c r="AX87" i="28"/>
  <c r="C104" i="28"/>
  <c r="O25" i="31"/>
  <c r="S81" i="28"/>
  <c r="AK47" i="28"/>
  <c r="CE57" i="28"/>
  <c r="O82" i="28"/>
  <c r="Q76" i="28"/>
  <c r="G7" i="31"/>
  <c r="O39" i="28"/>
  <c r="CD28" i="28"/>
  <c r="CS79" i="28"/>
  <c r="CE51" i="28"/>
  <c r="BA122" i="28"/>
  <c r="AL84" i="28"/>
  <c r="AW115" i="28"/>
  <c r="CC69" i="28"/>
  <c r="AY114" i="28"/>
  <c r="AB31" i="28"/>
  <c r="BK82" i="28"/>
  <c r="R31" i="31"/>
  <c r="G6" i="31"/>
  <c r="AY52" i="28"/>
  <c r="CE42" i="28"/>
  <c r="AM36" i="28"/>
  <c r="AM88" i="28"/>
  <c r="AW54" i="28"/>
  <c r="P63" i="28"/>
  <c r="CO30" i="28"/>
  <c r="CC51" i="28"/>
  <c r="BK81" i="28"/>
  <c r="BT102" i="28"/>
  <c r="K17" i="31"/>
  <c r="AB42" i="28"/>
  <c r="CQ18" i="28"/>
  <c r="AK100" i="28"/>
  <c r="CC38" i="28"/>
  <c r="BK36" i="28"/>
  <c r="C69" i="28"/>
  <c r="CQ99" i="28"/>
  <c r="R30" i="31"/>
  <c r="BU103" i="28"/>
  <c r="CP89" i="28"/>
  <c r="AX107" i="28"/>
  <c r="AA15" i="31"/>
  <c r="S53" i="28"/>
  <c r="E95" i="28"/>
  <c r="P37" i="28"/>
  <c r="E26" i="31"/>
  <c r="BA88" i="28"/>
  <c r="BT41" i="28"/>
  <c r="AM109" i="28"/>
  <c r="AA63" i="28"/>
  <c r="BK17" i="28"/>
  <c r="CC50" i="28"/>
  <c r="AY41" i="28"/>
  <c r="E7" i="31"/>
  <c r="BI104" i="28"/>
  <c r="CS105" i="28"/>
  <c r="BT114" i="28"/>
  <c r="CD121" i="28"/>
  <c r="AK40" i="28"/>
  <c r="AB112" i="28"/>
  <c r="AC83" i="28"/>
  <c r="CQ85" i="28"/>
  <c r="AW95" i="28"/>
  <c r="O50" i="28"/>
  <c r="W21" i="31"/>
  <c r="Q115" i="28"/>
  <c r="AL85" i="28"/>
  <c r="CP101" i="28"/>
  <c r="CP100" i="28"/>
  <c r="CO39" i="28"/>
  <c r="AO41" i="28"/>
  <c r="AY90" i="28"/>
  <c r="BK34" i="28"/>
  <c r="AA118" i="28"/>
  <c r="AY30" i="28"/>
  <c r="CD29" i="28"/>
  <c r="D113" i="28"/>
  <c r="U30" i="31"/>
  <c r="BA92" i="28"/>
  <c r="CQ47" i="28"/>
  <c r="AY51" i="28"/>
  <c r="P100" i="28"/>
  <c r="U15" i="31"/>
  <c r="CE95" i="28"/>
  <c r="AA15" i="28"/>
  <c r="AB80" i="28"/>
  <c r="CS85" i="28"/>
  <c r="E113" i="28"/>
  <c r="CC21" i="28"/>
  <c r="CS81" i="28"/>
  <c r="BI99" i="28"/>
  <c r="CO122" i="28"/>
  <c r="C120" i="28"/>
  <c r="P101" i="28"/>
  <c r="C122" i="28"/>
  <c r="BI102" i="28"/>
  <c r="BA72" i="28"/>
  <c r="T7" i="31"/>
  <c r="CD118" i="28"/>
  <c r="AK68" i="28"/>
  <c r="AC51" i="28"/>
  <c r="CS110" i="28"/>
  <c r="AA104" i="28"/>
  <c r="BI97" i="28"/>
  <c r="AO79" i="28"/>
  <c r="BA94" i="28"/>
  <c r="G28" i="28"/>
  <c r="AY74" i="28"/>
  <c r="P19" i="28"/>
  <c r="BK58" i="28"/>
  <c r="AX29" i="28"/>
  <c r="E22" i="28"/>
  <c r="AW59" i="28"/>
  <c r="AX112" i="28"/>
  <c r="CE39" i="28"/>
  <c r="U8" i="31"/>
  <c r="C99" i="28"/>
  <c r="CS72" i="28"/>
  <c r="CS57" i="28"/>
  <c r="G43" i="28"/>
  <c r="E17" i="28"/>
  <c r="E35" i="28"/>
  <c r="CG82" i="28"/>
  <c r="CO68" i="28"/>
  <c r="F9" i="31"/>
  <c r="T12" i="31"/>
  <c r="BI116" i="28"/>
  <c r="AC103" i="28"/>
  <c r="AY121" i="28"/>
  <c r="AC24" i="28"/>
  <c r="CQ38" i="28"/>
  <c r="C119" i="28"/>
  <c r="BK23" i="28"/>
  <c r="P73" i="28"/>
  <c r="G110" i="28"/>
  <c r="O15" i="28"/>
  <c r="CQ17" i="28"/>
  <c r="BU18" i="28"/>
  <c r="AY19" i="28"/>
  <c r="BI87" i="28"/>
  <c r="CO109" i="28"/>
  <c r="CG22" i="28"/>
  <c r="BA16" i="28"/>
  <c r="BK91" i="28"/>
  <c r="S16" i="31"/>
  <c r="CE49" i="28"/>
  <c r="CG121" i="28"/>
  <c r="D29" i="28"/>
  <c r="AA27" i="28"/>
  <c r="CG91" i="28"/>
  <c r="CG44" i="28"/>
  <c r="AM122" i="28"/>
  <c r="BA50" i="28"/>
  <c r="CO88" i="28"/>
  <c r="S68" i="28"/>
  <c r="AA105" i="28"/>
  <c r="BT38" i="28"/>
  <c r="CP44" i="28"/>
  <c r="CQ58" i="28"/>
  <c r="AY119" i="28"/>
  <c r="BU71" i="28"/>
  <c r="AL19" i="28"/>
  <c r="D101" i="28"/>
  <c r="CO67" i="28"/>
  <c r="AB71" i="28"/>
  <c r="U19" i="31"/>
  <c r="AM95" i="28"/>
  <c r="P90" i="28"/>
  <c r="BU90" i="28"/>
  <c r="BI22" i="28"/>
  <c r="CC56" i="28"/>
  <c r="I25" i="31"/>
  <c r="CQ60" i="28"/>
  <c r="AC100" i="28"/>
  <c r="Q13" i="31"/>
  <c r="AW61" i="28"/>
  <c r="BS46" i="28"/>
  <c r="CS67" i="28"/>
  <c r="Y21" i="31"/>
  <c r="C110" i="28"/>
  <c r="CP90" i="28"/>
  <c r="BT77" i="28"/>
  <c r="AA87" i="28"/>
  <c r="C112" i="28"/>
  <c r="K8" i="31"/>
  <c r="R20" i="31"/>
  <c r="AC68" i="28"/>
  <c r="X14" i="31"/>
  <c r="V19" i="31"/>
  <c r="CD81" i="28"/>
  <c r="BU108" i="28"/>
  <c r="AO92" i="28"/>
  <c r="BK60" i="28"/>
  <c r="AA12" i="31"/>
  <c r="P76" i="28"/>
  <c r="D94" i="28"/>
  <c r="CS87" i="28"/>
  <c r="CO78" i="28"/>
  <c r="CE71" i="28"/>
  <c r="S7" i="34" a="1"/>
  <c r="BK42" i="28"/>
  <c r="AK81" i="28"/>
  <c r="AW31" i="28"/>
  <c r="BI75" i="28"/>
  <c r="D95" i="28"/>
  <c r="S29" i="31"/>
  <c r="AK38" i="28"/>
  <c r="CQ53" i="28"/>
  <c r="AW86" i="28"/>
  <c r="CO73" i="28"/>
  <c r="AL23" i="28"/>
  <c r="O34" i="28"/>
  <c r="BK78" i="28"/>
  <c r="BS92" i="28"/>
  <c r="AL72" i="28"/>
  <c r="O49" i="28"/>
  <c r="AK61" i="28"/>
  <c r="AO121" i="28"/>
  <c r="CE59" i="28"/>
  <c r="AK34" i="28"/>
  <c r="S37" i="28"/>
  <c r="G24" i="28"/>
  <c r="CG61" i="28"/>
  <c r="BA67" i="28"/>
  <c r="CP15" i="28"/>
  <c r="W5" i="31"/>
  <c r="BS17" i="28"/>
  <c r="CO50" i="28"/>
  <c r="CS88" i="28"/>
  <c r="BU83" i="28"/>
  <c r="E47" i="28"/>
  <c r="I7" i="31"/>
  <c r="AC49" i="28"/>
  <c r="AL91" i="28"/>
  <c r="AO34" i="28"/>
  <c r="T30" i="31"/>
  <c r="CQ39" i="28"/>
  <c r="G85" i="28"/>
  <c r="AY43" i="28"/>
  <c r="AC75" i="28"/>
  <c r="AY60" i="28"/>
  <c r="CO86" i="28"/>
  <c r="V20" i="31"/>
  <c r="AA84" i="28"/>
  <c r="Q104" i="28"/>
  <c r="S82" i="28"/>
  <c r="BA95" i="28"/>
  <c r="C73" i="28"/>
  <c r="CG75" i="28"/>
  <c r="CC92" i="28"/>
  <c r="AC30" i="28"/>
  <c r="E73" i="28"/>
  <c r="AX75" i="28"/>
  <c r="CS70" i="28"/>
  <c r="D81" i="28"/>
  <c r="BK39" i="28"/>
  <c r="BA71" i="28"/>
  <c r="CE94" i="28"/>
  <c r="E96" i="28"/>
  <c r="CG39" i="28"/>
  <c r="AL65" i="28"/>
  <c r="BU25" i="28"/>
  <c r="AB17" i="28"/>
  <c r="BI56" i="28"/>
  <c r="CD16" i="28"/>
  <c r="CP26" i="28"/>
  <c r="Z15" i="31"/>
  <c r="AW118" i="28"/>
  <c r="BT16" i="28"/>
  <c r="AM81" i="28"/>
  <c r="CS78" i="28"/>
  <c r="AX119" i="28"/>
  <c r="BA77" i="28"/>
  <c r="AK59" i="28"/>
  <c r="BU87" i="28"/>
  <c r="CQ111" i="28"/>
  <c r="H8" i="31"/>
  <c r="BU119" i="28"/>
  <c r="AB102" i="28"/>
  <c r="AO39" i="28"/>
  <c r="F6" i="31"/>
  <c r="CD26" i="28"/>
  <c r="BK89" i="28"/>
  <c r="BA112" i="28"/>
  <c r="AB73" i="28"/>
  <c r="E59" i="28"/>
  <c r="BI16" i="28"/>
  <c r="U16" i="31"/>
  <c r="AM55" i="28"/>
  <c r="D54" i="28"/>
  <c r="AA46" i="28"/>
  <c r="T5" i="31"/>
  <c r="CC58" i="28"/>
  <c r="BI93" i="28"/>
  <c r="BA74" i="28"/>
  <c r="AM104" i="28"/>
  <c r="CS43" i="28"/>
  <c r="BS116" i="28"/>
  <c r="CG42" i="28"/>
  <c r="J27" i="31"/>
  <c r="BT71" i="28"/>
  <c r="AK110" i="28"/>
  <c r="AL39" i="28"/>
  <c r="CQ24" i="28"/>
  <c r="CP67" i="28"/>
  <c r="AW96" i="28"/>
  <c r="I20" i="31"/>
  <c r="D79" i="28"/>
  <c r="BS72" i="28"/>
  <c r="AL52" i="28"/>
  <c r="CQ100" i="28"/>
  <c r="P17" i="28"/>
  <c r="BI84" i="28"/>
  <c r="AW26" i="28"/>
  <c r="P80" i="28"/>
  <c r="C93" i="28"/>
  <c r="CG73" i="28"/>
  <c r="CO82" i="28"/>
  <c r="BT48" i="28"/>
  <c r="CE89" i="28"/>
  <c r="CO89" i="28"/>
  <c r="T8" i="31"/>
  <c r="CG108" i="28"/>
  <c r="E84" i="28"/>
  <c r="BU20" i="28"/>
  <c r="C20" i="28"/>
  <c r="L11" i="31"/>
  <c r="G81" i="28"/>
  <c r="CQ46" i="28"/>
  <c r="P66" i="28"/>
  <c r="BK26" i="28"/>
  <c r="CC104" i="28"/>
  <c r="BU22" i="28"/>
  <c r="AA97" i="28"/>
  <c r="W30" i="31"/>
  <c r="AL73" i="28"/>
  <c r="E105" i="28"/>
  <c r="AW97" i="28"/>
  <c r="BU81" i="28"/>
  <c r="AB98" i="28"/>
  <c r="BS24" i="28"/>
  <c r="BT103" i="28"/>
  <c r="AC71" i="28"/>
  <c r="CS24" i="28"/>
  <c r="Q63" i="28"/>
  <c r="CQ74" i="28"/>
  <c r="Q7" i="31"/>
  <c r="AY34" i="28"/>
  <c r="AB66" i="28"/>
  <c r="CC95" i="28"/>
  <c r="O111" i="28"/>
  <c r="Q97" i="28"/>
  <c r="CP68" i="28"/>
  <c r="S28" i="31"/>
  <c r="CC26" i="28"/>
  <c r="Q121" i="28"/>
  <c r="O119" i="28"/>
  <c r="Q101" i="28"/>
  <c r="CG97" i="28"/>
  <c r="BK62" i="28"/>
  <c r="G32" i="28"/>
  <c r="C30" i="28"/>
  <c r="CQ94" i="28"/>
  <c r="G108" i="28"/>
  <c r="CE69" i="28"/>
  <c r="AY28" i="28"/>
  <c r="J14" i="31"/>
  <c r="CS107" i="28"/>
  <c r="M13" i="31"/>
  <c r="AB52" i="28"/>
  <c r="AX37" i="28"/>
  <c r="E20" i="31"/>
  <c r="AB56" i="28"/>
  <c r="AC113" i="28"/>
  <c r="BK112" i="28"/>
  <c r="AM22" i="28"/>
  <c r="AO15" i="28"/>
  <c r="AO63" i="28"/>
  <c r="AA116" i="28"/>
  <c r="AO56" i="28"/>
  <c r="M25" i="31"/>
  <c r="BK16" i="28"/>
  <c r="BI44" i="28"/>
  <c r="AB18" i="28"/>
  <c r="AB28" i="28"/>
  <c r="CP104" i="28"/>
  <c r="CE111" i="28"/>
  <c r="E86" i="28"/>
  <c r="CG118" i="28"/>
  <c r="BT88" i="28"/>
  <c r="H6" i="31"/>
  <c r="AA83" i="28"/>
  <c r="AY54" i="28"/>
  <c r="AX39" i="28"/>
  <c r="W28" i="31"/>
  <c r="F7" i="34" a="1"/>
  <c r="BK95" i="28"/>
  <c r="CS46" i="28"/>
  <c r="AM79" i="28"/>
  <c r="AW39" i="28"/>
  <c r="AB110" i="28"/>
  <c r="AM68" i="28"/>
  <c r="BA114" i="28"/>
  <c r="C53" i="28"/>
  <c r="CC17" i="28"/>
  <c r="CC48" i="28"/>
  <c r="AC56" i="28"/>
  <c r="CS19" i="28"/>
  <c r="Q67" i="28"/>
  <c r="AX85" i="28"/>
  <c r="S106" i="28"/>
  <c r="AX22" i="28"/>
  <c r="AO81" i="28"/>
  <c r="BI66" i="28"/>
  <c r="AC63" i="28"/>
  <c r="H18" i="31"/>
  <c r="AY78" i="28"/>
  <c r="BA120" i="28"/>
  <c r="S21" i="31"/>
  <c r="AY64" i="28"/>
  <c r="AB107" i="28"/>
  <c r="Q6" i="31"/>
  <c r="BS43" i="28"/>
  <c r="AB79" i="28"/>
  <c r="AC87" i="28"/>
  <c r="AB115" i="28"/>
  <c r="E27" i="31"/>
  <c r="BK98" i="28"/>
  <c r="CS95" i="28"/>
  <c r="AL29" i="28"/>
  <c r="CP95" i="28"/>
  <c r="G99" i="28"/>
  <c r="O30" i="31"/>
  <c r="CG120" i="28"/>
  <c r="U13" i="31"/>
  <c r="BT91" i="28"/>
  <c r="AM72" i="28"/>
  <c r="CS83" i="28"/>
  <c r="S76" i="28"/>
  <c r="AB83" i="28"/>
  <c r="CP33" i="28"/>
  <c r="BK21" i="28"/>
  <c r="E11" i="31"/>
  <c r="BT42" i="28"/>
  <c r="AO62" i="28"/>
  <c r="AW79" i="28"/>
  <c r="E115" i="28"/>
  <c r="N28" i="31"/>
  <c r="W16" i="31"/>
  <c r="AX95" i="28"/>
  <c r="BS23" i="28"/>
  <c r="N6" i="31"/>
  <c r="CO85" i="28"/>
  <c r="E119" i="28"/>
  <c r="AO59" i="28"/>
  <c r="X15" i="31"/>
  <c r="BT92" i="28"/>
  <c r="S27" i="28"/>
  <c r="AY53" i="28"/>
  <c r="M15" i="31"/>
  <c r="BA31" i="28"/>
  <c r="AW63" i="28"/>
  <c r="AW56" i="28"/>
  <c r="D57" i="28"/>
  <c r="AB109" i="28"/>
  <c r="E110" i="28"/>
  <c r="BA21" i="28"/>
  <c r="CP40" i="28"/>
  <c r="CC77" i="28"/>
  <c r="P72" i="28"/>
  <c r="Q117" i="28"/>
  <c r="CC115" i="28"/>
  <c r="O48" i="28"/>
  <c r="E28" i="28"/>
  <c r="O25" i="28"/>
  <c r="CD33" i="28"/>
  <c r="AX53" i="28"/>
  <c r="C19" i="28"/>
  <c r="T20" i="31"/>
  <c r="P29" i="28"/>
  <c r="U20" i="31"/>
  <c r="D92" i="28"/>
  <c r="CC110" i="28"/>
  <c r="N12" i="31"/>
  <c r="P19" i="31"/>
  <c r="BT118" i="28"/>
  <c r="AM56" i="28"/>
  <c r="CE87" i="28"/>
  <c r="CO36" i="28"/>
  <c r="AY47" i="28"/>
  <c r="AY35" i="28"/>
  <c r="U6" i="31"/>
  <c r="BK51" i="28"/>
  <c r="Q71" i="28"/>
  <c r="AY84" i="28"/>
  <c r="AA6" i="31"/>
  <c r="O30" i="28"/>
  <c r="AM15" i="28"/>
  <c r="G36" i="28"/>
  <c r="AW68" i="28"/>
  <c r="BK55" i="28"/>
  <c r="AK113" i="28"/>
  <c r="CG46" i="28"/>
  <c r="Q119" i="28"/>
  <c r="O122" i="28"/>
  <c r="O79" i="28"/>
  <c r="D46" i="28"/>
  <c r="CQ114" i="28"/>
  <c r="AO106" i="28"/>
  <c r="BT97" i="28"/>
  <c r="AM70" i="28"/>
  <c r="E17" i="31"/>
  <c r="BU37" i="28"/>
  <c r="AX80" i="28"/>
  <c r="AB84" i="28"/>
  <c r="AL49" i="28"/>
  <c r="X28" i="31"/>
  <c r="BK33" i="28"/>
  <c r="CQ37" i="28"/>
  <c r="AO51" i="28"/>
  <c r="AC114" i="28"/>
  <c r="AK29" i="28"/>
  <c r="BT80" i="28"/>
  <c r="CE53" i="28"/>
  <c r="CC80" i="28"/>
  <c r="CO94" i="28"/>
  <c r="D78" i="28"/>
  <c r="AA110" i="28"/>
  <c r="AK77" i="28"/>
  <c r="CP77" i="28"/>
  <c r="AM43" i="28"/>
  <c r="E67" i="28"/>
  <c r="F7" i="31"/>
  <c r="AA30" i="28"/>
  <c r="AO112" i="28"/>
  <c r="O116" i="28"/>
  <c r="Q44" i="28"/>
  <c r="BU35" i="28"/>
  <c r="CG63" i="28"/>
  <c r="G50" i="28"/>
  <c r="CP112" i="28"/>
  <c r="Q107" i="28"/>
  <c r="H13" i="31"/>
  <c r="E53" i="28"/>
  <c r="AY17" i="28"/>
  <c r="AM91" i="28"/>
  <c r="CC71" i="28"/>
  <c r="Q8" i="34" a="1"/>
  <c r="AA13" i="31"/>
  <c r="BS106" i="28"/>
  <c r="BI49" i="28"/>
  <c r="AK120" i="28"/>
  <c r="F30" i="31"/>
  <c r="BI108" i="28"/>
  <c r="AA51" i="28"/>
  <c r="AW106" i="28"/>
  <c r="D7" i="31"/>
  <c r="L30" i="31"/>
  <c r="AX48" i="28"/>
  <c r="BI90" i="28"/>
  <c r="CG49" i="28"/>
  <c r="CD65" i="28"/>
  <c r="P97" i="28"/>
  <c r="Q116" i="28"/>
  <c r="AY27" i="28"/>
  <c r="AX25" i="28"/>
  <c r="P48" i="28"/>
  <c r="CP66" i="28"/>
  <c r="CP51" i="28"/>
  <c r="BS102" i="28"/>
  <c r="AY20" i="28"/>
  <c r="S20" i="28"/>
  <c r="P18" i="28"/>
  <c r="CE61" i="28"/>
  <c r="BU59" i="28"/>
  <c r="E94" i="28"/>
  <c r="BS103" i="28"/>
  <c r="BU17" i="28"/>
  <c r="O66" i="28"/>
  <c r="AK85" i="28"/>
  <c r="BK65" i="28"/>
  <c r="AK45" i="28"/>
  <c r="CO96" i="28"/>
  <c r="E29" i="28"/>
  <c r="CS23" i="28"/>
  <c r="AA5" i="31"/>
  <c r="P69" i="28"/>
  <c r="CS94" i="28"/>
  <c r="X8" i="31"/>
  <c r="X6" i="31"/>
  <c r="BI19" i="28"/>
  <c r="CE98" i="28"/>
  <c r="AY49" i="28"/>
  <c r="D8" i="34" a="1"/>
  <c r="CC24" i="28"/>
  <c r="N15" i="31"/>
  <c r="E31" i="31"/>
  <c r="AM112" i="28"/>
  <c r="D23" i="28"/>
  <c r="AW122" i="28"/>
  <c r="C72" i="28"/>
  <c r="AB95" i="28"/>
  <c r="AB60" i="28"/>
  <c r="CD39" i="28"/>
  <c r="R19" i="31"/>
  <c r="C31" i="28"/>
  <c r="R15" i="31"/>
  <c r="BA27" i="28"/>
  <c r="E58" i="28"/>
  <c r="CC42" i="28"/>
  <c r="Q8" i="31"/>
  <c r="AB48" i="28"/>
  <c r="AM45" i="28"/>
  <c r="P6" i="31"/>
  <c r="CC87" i="28"/>
  <c r="AM113" i="28"/>
  <c r="CQ89" i="28"/>
  <c r="CS36" i="28"/>
  <c r="P45" i="28"/>
  <c r="S122" i="28"/>
  <c r="AK86" i="28"/>
  <c r="BA118" i="28"/>
  <c r="H8" i="34" a="1"/>
  <c r="CP49" i="28"/>
  <c r="P51" i="28"/>
  <c r="AX111" i="28"/>
  <c r="AY68" i="28"/>
  <c r="G57" i="28"/>
  <c r="AA64" i="28"/>
  <c r="BT69" i="28"/>
  <c r="BK22" i="28"/>
  <c r="AL46" i="28"/>
  <c r="I17" i="31"/>
  <c r="CG64" i="28"/>
  <c r="BT57" i="28"/>
  <c r="AX96" i="28"/>
  <c r="CE68" i="28"/>
  <c r="Y12" i="31"/>
  <c r="J16" i="31"/>
  <c r="O75" i="28"/>
  <c r="AX76" i="28"/>
  <c r="S73" i="28"/>
  <c r="AO64" i="28"/>
  <c r="S103" i="28"/>
  <c r="V14" i="31"/>
  <c r="G18" i="28"/>
  <c r="AK31" i="28"/>
  <c r="J31" i="31"/>
  <c r="AL34" i="28"/>
  <c r="CD48" i="28"/>
  <c r="AY99" i="28"/>
  <c r="AA78" i="28"/>
  <c r="Q52" i="28"/>
  <c r="D28" i="31"/>
  <c r="BA57" i="28"/>
  <c r="BA81" i="28"/>
  <c r="K28" i="31"/>
  <c r="D8" i="31"/>
  <c r="U11" i="31"/>
  <c r="O28" i="28"/>
  <c r="BA75" i="28"/>
  <c r="E93" i="28"/>
  <c r="CP18" i="28"/>
  <c r="G121" i="28"/>
  <c r="CO55" i="28"/>
  <c r="AX114" i="28"/>
  <c r="AB27" i="28"/>
  <c r="CS26" i="28"/>
  <c r="D70" i="28"/>
  <c r="G22" i="28"/>
  <c r="P118" i="28"/>
  <c r="AO54" i="28"/>
  <c r="CQ90" i="28"/>
  <c r="BA36" i="28"/>
  <c r="BI100" i="28"/>
  <c r="AC55" i="28"/>
  <c r="AK87" i="28"/>
  <c r="D29" i="31"/>
  <c r="CG88" i="28"/>
  <c r="S109" i="28"/>
  <c r="S7" i="31"/>
  <c r="AA59" i="28"/>
  <c r="G26" i="31"/>
  <c r="E56" i="28"/>
  <c r="BS120" i="28"/>
  <c r="E54" i="28"/>
  <c r="AY116" i="28"/>
  <c r="BK28" i="28"/>
  <c r="AL122" i="28"/>
  <c r="G25" i="28"/>
  <c r="Q11" i="31"/>
  <c r="BU97" i="28"/>
  <c r="CD119" i="28"/>
  <c r="AC34" i="28"/>
  <c r="H16" i="31"/>
  <c r="F18" i="31"/>
  <c r="AM121" i="28"/>
  <c r="AL89" i="28"/>
  <c r="BT55" i="28"/>
  <c r="CQ56" i="28"/>
  <c r="AY36" i="28"/>
  <c r="AA99" i="28"/>
  <c r="AL81" i="28"/>
  <c r="AC43" i="28"/>
  <c r="AM46" i="28"/>
  <c r="AA38" i="28"/>
  <c r="BS22" i="28"/>
  <c r="Q108" i="28"/>
  <c r="BS15" i="28"/>
  <c r="AW15" i="28"/>
  <c r="CO22" i="28"/>
  <c r="D84" i="28"/>
  <c r="C100" i="28"/>
  <c r="CG43" i="28"/>
  <c r="CG111" i="28"/>
  <c r="K5" i="31"/>
  <c r="K9" i="31"/>
  <c r="AB67" i="28"/>
  <c r="X21" i="31"/>
  <c r="CO95" i="28"/>
  <c r="AL121" i="28"/>
  <c r="D26" i="28"/>
  <c r="AK55" i="28"/>
  <c r="AO109" i="28"/>
  <c r="BI119" i="28"/>
  <c r="AW78" i="28"/>
  <c r="AK89" i="28"/>
  <c r="AW16" i="28"/>
  <c r="BK86" i="28"/>
  <c r="S46" i="28"/>
  <c r="AW60" i="28"/>
  <c r="D56" i="28"/>
  <c r="AY112" i="28"/>
  <c r="T18" i="31"/>
  <c r="CO111" i="28"/>
  <c r="V21" i="31"/>
  <c r="AX60" i="28"/>
  <c r="O31" i="28"/>
  <c r="CE101" i="28"/>
  <c r="BT116" i="28"/>
  <c r="BI32" i="28"/>
  <c r="AL62" i="28"/>
  <c r="BS110" i="28"/>
  <c r="E20" i="28"/>
  <c r="CQ67" i="28"/>
  <c r="CO91" i="28"/>
  <c r="AB117" i="28"/>
  <c r="CG16" i="28"/>
  <c r="AA92" i="28"/>
  <c r="AX73" i="28"/>
  <c r="BI37" i="28"/>
  <c r="L8" i="34" a="1"/>
  <c r="BK108" i="28"/>
  <c r="D91" i="28"/>
  <c r="CG104" i="28"/>
  <c r="Y8" i="34" a="1"/>
  <c r="U8" i="34" a="1"/>
  <c r="CE105" i="28"/>
  <c r="AO102" i="28"/>
  <c r="AA112" i="28"/>
  <c r="P21" i="31"/>
  <c r="CD32" i="28"/>
  <c r="CQ97" i="28"/>
  <c r="AA33" i="28"/>
  <c r="V16" i="31"/>
  <c r="CQ93" i="28"/>
  <c r="BU30" i="28"/>
  <c r="AX20" i="28"/>
  <c r="BT85" i="28"/>
  <c r="X9" i="31"/>
  <c r="G61" i="28"/>
  <c r="CG119" i="28"/>
  <c r="BT108" i="28"/>
  <c r="AA42" i="28"/>
  <c r="CG98" i="28"/>
  <c r="AL112" i="28"/>
  <c r="AX64" i="28"/>
  <c r="S112" i="28"/>
  <c r="P99" i="28"/>
  <c r="AY69" i="28"/>
  <c r="BS33" i="28"/>
  <c r="BS95" i="28"/>
  <c r="T28" i="31"/>
  <c r="P28" i="28"/>
  <c r="BS79" i="28"/>
  <c r="BK97" i="28"/>
  <c r="M11" i="31"/>
  <c r="CD113" i="28"/>
  <c r="AK114" i="28"/>
  <c r="AW29" i="28"/>
  <c r="P65" i="28"/>
  <c r="CP85" i="28"/>
  <c r="CO69" i="28"/>
  <c r="BT26" i="28"/>
  <c r="BA98" i="28"/>
  <c r="D6" i="31"/>
  <c r="S118" i="28"/>
  <c r="AO104" i="28"/>
  <c r="CC36" i="28"/>
  <c r="E41" i="28"/>
  <c r="AX27" i="28"/>
  <c r="U29" i="31"/>
  <c r="BU27" i="28"/>
  <c r="CS61" i="28"/>
  <c r="AA119" i="28"/>
  <c r="D82" i="28"/>
  <c r="G26" i="28"/>
  <c r="C24" i="28"/>
  <c r="AA77" i="28"/>
  <c r="S39" i="28"/>
  <c r="CE99" i="28"/>
  <c r="AW98" i="28"/>
  <c r="BS60" i="28"/>
  <c r="I18" i="31"/>
  <c r="CE83" i="28"/>
  <c r="AK70" i="28"/>
  <c r="R7" i="31"/>
  <c r="AC82" i="28"/>
  <c r="CC75" i="28"/>
  <c r="AO105" i="28"/>
  <c r="BU98" i="28"/>
  <c r="E19" i="28"/>
  <c r="M8" i="34" a="1"/>
  <c r="CS28" i="28"/>
  <c r="AK88" i="28"/>
  <c r="AL83" i="28"/>
  <c r="BK121" i="28"/>
  <c r="C62" i="28"/>
  <c r="AK28" i="28"/>
  <c r="AK65" i="28"/>
  <c r="AY58" i="28"/>
  <c r="CO76" i="28"/>
  <c r="D62" i="28"/>
  <c r="D16" i="28"/>
  <c r="P25" i="28"/>
  <c r="CD101" i="28"/>
  <c r="CE15" i="28"/>
  <c r="S85" i="28"/>
  <c r="S33" i="28"/>
  <c r="G56" i="28"/>
  <c r="E76" i="28"/>
  <c r="AL86" i="28"/>
  <c r="CP109" i="28"/>
  <c r="H26" i="31"/>
  <c r="AX116" i="28"/>
  <c r="BS35" i="28"/>
  <c r="O43" i="28"/>
  <c r="BU94" i="28"/>
  <c r="BU78" i="28"/>
  <c r="P106" i="28"/>
  <c r="AM44" i="28"/>
  <c r="BS108" i="28"/>
  <c r="S94" i="28"/>
  <c r="AW58" i="28"/>
  <c r="CS20" i="28"/>
  <c r="AA29" i="28"/>
  <c r="CP82" i="28"/>
  <c r="CQ102" i="28"/>
  <c r="G21" i="28"/>
  <c r="CC59" i="28"/>
  <c r="E40" i="28"/>
  <c r="CO83" i="28"/>
  <c r="AO65" i="28"/>
  <c r="CS119" i="28"/>
  <c r="BT23" i="28"/>
  <c r="BA44" i="28"/>
  <c r="S17" i="28"/>
  <c r="AX108" i="28"/>
  <c r="AL51" i="28"/>
  <c r="CO25" i="28"/>
  <c r="C121" i="28"/>
  <c r="C90" i="28"/>
  <c r="CS45" i="28"/>
  <c r="V8" i="34" a="1"/>
  <c r="AO19" i="28"/>
  <c r="AB99" i="28"/>
  <c r="BK19" i="28"/>
  <c r="AX122" i="28"/>
  <c r="AC36" i="28"/>
  <c r="CS98" i="28"/>
  <c r="F15" i="31"/>
  <c r="CS77" i="28"/>
  <c r="BU26" i="28"/>
  <c r="CD53" i="28"/>
  <c r="BK46" i="28"/>
  <c r="L8" i="31"/>
  <c r="CS86" i="28"/>
  <c r="AM89" i="28"/>
  <c r="CP50" i="28"/>
  <c r="BK111" i="28"/>
  <c r="BA85" i="28"/>
  <c r="AK121" i="28"/>
  <c r="O20" i="31"/>
  <c r="BK15" i="28"/>
  <c r="CQ32" i="28"/>
  <c r="BS21" i="28"/>
  <c r="AW84" i="28"/>
  <c r="AL20" i="28"/>
  <c r="Z5" i="31"/>
  <c r="BT52" i="28"/>
  <c r="CG103" i="28"/>
  <c r="K16" i="31"/>
  <c r="CD30" i="28"/>
  <c r="O17" i="31"/>
  <c r="AC89" i="28"/>
  <c r="AO46" i="28"/>
  <c r="S25" i="31"/>
  <c r="CG29" i="28"/>
  <c r="O47" i="28"/>
  <c r="P55" i="28"/>
  <c r="N18" i="31"/>
  <c r="CO44" i="28"/>
  <c r="AO48" i="28"/>
  <c r="G84" i="28"/>
  <c r="Q77" i="28"/>
  <c r="AX82" i="28"/>
  <c r="BI61" i="28"/>
  <c r="AY86" i="28"/>
  <c r="BK20" i="28"/>
  <c r="Q48" i="28"/>
  <c r="BK27" i="28"/>
  <c r="H30" i="31"/>
  <c r="G88" i="28"/>
  <c r="BI18" i="28"/>
  <c r="W11" i="31"/>
  <c r="BU70" i="28"/>
  <c r="D118" i="28"/>
  <c r="CG72" i="28"/>
  <c r="AY91" i="28"/>
  <c r="AL101" i="28"/>
  <c r="C65" i="28"/>
  <c r="CC86" i="28"/>
  <c r="AL64" i="28"/>
  <c r="AY67" i="28"/>
  <c r="G62" i="28"/>
  <c r="BA63" i="28"/>
  <c r="D48" i="28"/>
  <c r="CP91" i="28"/>
  <c r="CD67" i="28"/>
  <c r="G69" i="28"/>
  <c r="AK82" i="28"/>
  <c r="CE110" i="28"/>
  <c r="CQ112" i="28"/>
  <c r="G68" i="28"/>
  <c r="CD50" i="28"/>
  <c r="BA51" i="28"/>
  <c r="CS34" i="28"/>
  <c r="AA68" i="28"/>
  <c r="O37" i="28"/>
  <c r="G118" i="28"/>
  <c r="BS111" i="28"/>
  <c r="S75" i="28"/>
  <c r="CC45" i="28"/>
  <c r="E52" i="28"/>
  <c r="CE86" i="28"/>
  <c r="G45" i="28"/>
  <c r="CQ69" i="28"/>
  <c r="AA75" i="28"/>
  <c r="S99" i="28"/>
  <c r="O38" i="28"/>
  <c r="X5" i="31"/>
  <c r="AL75" i="28"/>
  <c r="CG21" i="28"/>
  <c r="BS86" i="28"/>
  <c r="W9" i="31"/>
  <c r="AO42" i="28"/>
  <c r="AB51" i="28"/>
  <c r="BK87" i="28"/>
  <c r="BI71" i="28"/>
  <c r="CC103" i="28"/>
  <c r="AB90" i="28"/>
  <c r="E57" i="28"/>
  <c r="G98" i="28"/>
  <c r="AW48" i="28"/>
  <c r="S84" i="28"/>
  <c r="CQ78" i="28"/>
  <c r="BU19" i="28"/>
  <c r="CD76" i="28"/>
  <c r="CO92" i="28"/>
  <c r="X25" i="31"/>
  <c r="C22" i="28"/>
  <c r="S96" i="28"/>
  <c r="AC79" i="28"/>
  <c r="AB50" i="28"/>
  <c r="BT17" i="28"/>
  <c r="M19" i="31"/>
  <c r="P82" i="28"/>
  <c r="CG54" i="28"/>
  <c r="O36" i="28"/>
  <c r="CO70" i="28"/>
  <c r="CS74" i="28"/>
  <c r="O22" i="28"/>
  <c r="AM80" i="28"/>
  <c r="AA100" i="28"/>
  <c r="Q9" i="31"/>
  <c r="CO45" i="28"/>
  <c r="M5" i="31"/>
  <c r="AX35" i="28"/>
  <c r="G92" i="28"/>
  <c r="BS45" i="28"/>
  <c r="AO110" i="28"/>
  <c r="BA46" i="28"/>
  <c r="BS104" i="28"/>
  <c r="AW75" i="28"/>
  <c r="S67" i="28"/>
  <c r="AY100" i="28"/>
  <c r="CQ109" i="28"/>
  <c r="C108" i="28"/>
  <c r="AX71" i="28"/>
  <c r="BA43" i="28"/>
  <c r="Q45" i="28"/>
  <c r="U17" i="31"/>
  <c r="AL67" i="28"/>
  <c r="AL79" i="28"/>
  <c r="BI82" i="28"/>
  <c r="R29" i="31"/>
  <c r="AC81" i="28"/>
  <c r="BK40" i="28"/>
  <c r="O16" i="28"/>
  <c r="Z26" i="31"/>
  <c r="W29" i="31"/>
  <c r="AW117" i="28"/>
  <c r="CE41" i="28"/>
  <c r="W8" i="31"/>
  <c r="BS62" i="28"/>
  <c r="I21" i="31"/>
  <c r="W6" i="31"/>
  <c r="BS25" i="28"/>
  <c r="Q31" i="31"/>
  <c r="BA38" i="28"/>
  <c r="S31" i="31"/>
  <c r="AO50" i="28"/>
  <c r="CO114" i="28"/>
  <c r="BK103" i="28"/>
  <c r="AW66" i="28"/>
  <c r="BK52" i="28"/>
  <c r="BI73" i="28"/>
  <c r="E30" i="31"/>
  <c r="AA9" i="31"/>
  <c r="AM61" i="28"/>
  <c r="AB64" i="28"/>
  <c r="CP76" i="28"/>
  <c r="BI40" i="28"/>
  <c r="CS15" i="28"/>
  <c r="AC44" i="28"/>
  <c r="BT100" i="28"/>
  <c r="Q43" i="28"/>
  <c r="J12" i="31"/>
  <c r="I5" i="31"/>
  <c r="AW49" i="28"/>
  <c r="T25" i="31"/>
  <c r="CQ43" i="28"/>
  <c r="AX42" i="28"/>
  <c r="AO37" i="28"/>
  <c r="AO118" i="28"/>
  <c r="AL63" i="28"/>
  <c r="O68" i="28"/>
  <c r="BA32" i="28"/>
  <c r="BU51" i="28"/>
  <c r="Q23" i="28"/>
  <c r="CS100" i="28"/>
  <c r="BU75" i="28"/>
  <c r="AL47" i="28"/>
  <c r="BI31" i="28"/>
  <c r="AX58" i="28"/>
  <c r="BT74" i="28"/>
  <c r="AO27" i="28"/>
  <c r="E13" i="31"/>
  <c r="S30" i="28"/>
  <c r="AC19" i="28"/>
  <c r="Q114" i="28"/>
  <c r="C79" i="28"/>
  <c r="BU76" i="28"/>
  <c r="E118" i="28"/>
  <c r="AA32" i="28"/>
  <c r="X11" i="31"/>
  <c r="BK24" i="28"/>
  <c r="CD69" i="28"/>
  <c r="G119" i="28"/>
  <c r="O26" i="31"/>
  <c r="C118" i="28"/>
  <c r="CC18" i="28"/>
  <c r="BA17" i="28"/>
  <c r="Q111" i="28"/>
  <c r="BK118" i="28"/>
  <c r="CG19" i="28"/>
  <c r="CC47" i="28"/>
  <c r="K7" i="31"/>
  <c r="BI15" i="28"/>
  <c r="BA60" i="28"/>
  <c r="AB119" i="28"/>
  <c r="CP73" i="28"/>
  <c r="CE50" i="28"/>
  <c r="AK71" i="28"/>
  <c r="AA17" i="28"/>
  <c r="CS35" i="28"/>
  <c r="CC49" i="28"/>
  <c r="AO55" i="28"/>
  <c r="J11" i="31"/>
  <c r="CS21" i="28"/>
  <c r="F16" i="31"/>
  <c r="BI24" i="28"/>
  <c r="AY105" i="28"/>
  <c r="BI115" i="28"/>
  <c r="BU29" i="28"/>
  <c r="AB63" i="28"/>
  <c r="AM75" i="28"/>
  <c r="E116" i="28"/>
  <c r="AC112" i="28"/>
  <c r="O14" i="31"/>
  <c r="Y15" i="31"/>
  <c r="V28" i="31"/>
  <c r="P89" i="28"/>
  <c r="CP110" i="28"/>
  <c r="BK37" i="28"/>
  <c r="P86" i="28"/>
  <c r="BT31" i="28"/>
  <c r="BT24" i="28"/>
  <c r="BI95" i="28"/>
  <c r="D43" i="28"/>
  <c r="AL78" i="28"/>
  <c r="BK68" i="28"/>
  <c r="S97" i="28"/>
  <c r="E34" i="28"/>
  <c r="AL16" i="28"/>
  <c r="BT18" i="28"/>
  <c r="AO23" i="28"/>
  <c r="O9" i="31"/>
  <c r="G12" i="31"/>
  <c r="AB24" i="28"/>
  <c r="CS121" i="28"/>
  <c r="P25" i="31"/>
  <c r="I15" i="31"/>
  <c r="AM106" i="28"/>
  <c r="W13" i="31"/>
  <c r="CS25" i="28"/>
  <c r="CP32" i="28"/>
  <c r="AC31" i="28"/>
  <c r="O27" i="31"/>
  <c r="BA116" i="28"/>
  <c r="O51" i="28"/>
  <c r="P95" i="28"/>
  <c r="P27" i="28"/>
  <c r="CQ34" i="28"/>
  <c r="F8" i="31"/>
  <c r="C75" i="28"/>
  <c r="AO67" i="28"/>
  <c r="D21" i="31"/>
  <c r="O29" i="31"/>
  <c r="E12" i="31"/>
  <c r="C17" i="28"/>
  <c r="E82" i="28"/>
  <c r="CG105" i="28"/>
  <c r="AX15" i="28"/>
  <c r="AX106" i="28"/>
  <c r="BT87" i="28"/>
  <c r="AY117" i="28"/>
  <c r="C97" i="28"/>
  <c r="CQ23" i="28"/>
  <c r="AY42" i="28"/>
  <c r="CG77" i="28"/>
  <c r="AW18" i="28"/>
  <c r="CC39" i="28"/>
  <c r="AK99" i="28"/>
  <c r="BS52" i="28"/>
  <c r="AA18" i="28"/>
  <c r="AB89" i="28"/>
  <c r="D115" i="28"/>
  <c r="AA34" i="28"/>
  <c r="BA111" i="28"/>
  <c r="G41" i="28"/>
  <c r="CD111" i="28"/>
  <c r="BA68" i="28"/>
  <c r="AA11" i="31"/>
  <c r="CD20" i="28"/>
  <c r="BS94" i="28"/>
  <c r="AO101" i="28"/>
  <c r="S59" i="28"/>
  <c r="AB76" i="28"/>
  <c r="Q29" i="31"/>
  <c r="AA50" i="28"/>
  <c r="G29" i="28"/>
  <c r="G54" i="28"/>
  <c r="AY59" i="28"/>
  <c r="S34" i="28"/>
  <c r="S90" i="28"/>
  <c r="G72" i="28"/>
  <c r="L20" i="31"/>
  <c r="BU32" i="28"/>
  <c r="G40" i="28"/>
  <c r="S74" i="28"/>
  <c r="CQ51" i="28"/>
  <c r="AO69" i="28"/>
  <c r="BA97" i="28"/>
  <c r="CC53" i="28"/>
  <c r="BU120" i="28"/>
  <c r="G18" i="31"/>
  <c r="D16" i="31"/>
  <c r="W15" i="31"/>
  <c r="P71" i="28"/>
  <c r="P39" i="28"/>
  <c r="AY16" i="28"/>
  <c r="BS100" i="28"/>
  <c r="D42" i="28"/>
  <c r="AL44" i="28"/>
  <c r="AM85" i="28"/>
  <c r="AB35" i="28"/>
  <c r="BA29" i="28"/>
  <c r="AB45" i="28"/>
  <c r="AK54" i="28"/>
  <c r="CC52" i="28"/>
  <c r="CG40" i="28"/>
  <c r="BT101" i="28"/>
  <c r="CG38" i="28"/>
  <c r="CE82" i="28"/>
  <c r="BA59" i="28"/>
  <c r="G111" i="28"/>
  <c r="BT122" i="28"/>
  <c r="G112" i="28"/>
  <c r="O94" i="28"/>
  <c r="N9" i="31"/>
  <c r="CQ57" i="28"/>
  <c r="E71" i="28"/>
  <c r="CD103" i="28"/>
  <c r="CQ106" i="28"/>
  <c r="Q47" i="28"/>
  <c r="C28" i="28"/>
  <c r="CS102" i="28"/>
  <c r="CC65" i="28"/>
  <c r="AK25" i="28"/>
  <c r="CC113" i="28"/>
  <c r="AY94" i="28"/>
  <c r="Q113" i="28"/>
  <c r="O54" i="28"/>
  <c r="AC107" i="28"/>
  <c r="T14" i="31"/>
  <c r="CP35" i="28"/>
  <c r="CC16" i="28"/>
  <c r="AO47" i="28"/>
  <c r="BU122" i="28"/>
  <c r="CE90" i="28"/>
  <c r="V8" i="31"/>
  <c r="D38" i="28"/>
  <c r="K14" i="31"/>
  <c r="H20" i="31"/>
  <c r="AX21" i="28"/>
  <c r="AY57" i="28"/>
  <c r="S105" i="28"/>
  <c r="AX24" i="28"/>
  <c r="AO119" i="28"/>
  <c r="BU16" i="28"/>
  <c r="CO117" i="28"/>
  <c r="CD22" i="28"/>
  <c r="AX113" i="28"/>
  <c r="CP99" i="28"/>
  <c r="Q19" i="28"/>
  <c r="CP21" i="28"/>
  <c r="O28" i="31"/>
  <c r="BA41" i="28"/>
  <c r="AC62" i="28"/>
  <c r="D61" i="28"/>
  <c r="AK53" i="28"/>
  <c r="CS65" i="28"/>
  <c r="K6" i="31"/>
  <c r="AA56" i="28"/>
  <c r="X31" i="31"/>
  <c r="CC61" i="28"/>
  <c r="BI57" i="28"/>
  <c r="S35" i="28"/>
  <c r="E26" i="28"/>
  <c r="AW109" i="28"/>
  <c r="L9" i="31"/>
  <c r="AB114" i="28"/>
  <c r="G8" i="34" a="1"/>
  <c r="O21" i="28"/>
  <c r="Q73" i="28"/>
  <c r="T15" i="31"/>
  <c r="CG45" i="28"/>
  <c r="AM20" i="28"/>
  <c r="BS29" i="28"/>
  <c r="D107" i="28"/>
  <c r="AO116" i="28"/>
  <c r="P49" i="28"/>
  <c r="CE37" i="28"/>
  <c r="CG84" i="28"/>
  <c r="AC28" i="28"/>
  <c r="P5" i="31"/>
  <c r="CE65" i="28"/>
  <c r="BK31" i="28"/>
  <c r="CS40" i="28"/>
  <c r="AM53" i="28"/>
  <c r="AA60" i="28"/>
  <c r="CP111" i="28"/>
  <c r="Q93" i="28"/>
  <c r="CS63" i="28"/>
  <c r="P12" i="31"/>
  <c r="AO117" i="28"/>
  <c r="K27" i="31"/>
  <c r="AO120" i="28"/>
  <c r="BI94" i="28"/>
  <c r="BS36" i="28"/>
  <c r="S16" i="28"/>
  <c r="AY96" i="28"/>
  <c r="AL38" i="28"/>
  <c r="CD46" i="28"/>
  <c r="AO88" i="28"/>
  <c r="BU105" i="28"/>
  <c r="AO87" i="28"/>
  <c r="BT79" i="28"/>
  <c r="AM93" i="28"/>
  <c r="T11" i="31"/>
  <c r="BK50" i="28"/>
  <c r="AO61" i="28"/>
  <c r="BK85" i="28"/>
  <c r="J19" i="31"/>
  <c r="CG57" i="28"/>
  <c r="C76" i="28"/>
  <c r="AB94" i="28"/>
  <c r="BK66" i="28"/>
  <c r="S70" i="28"/>
  <c r="CO90" i="28"/>
  <c r="Q46" i="28"/>
  <c r="S17" i="31"/>
  <c r="AC16" i="28"/>
  <c r="CS56" i="28"/>
  <c r="AA55" i="28"/>
  <c r="G94" i="28"/>
  <c r="P11" i="31"/>
  <c r="J30" i="31"/>
  <c r="O77" i="28"/>
  <c r="CO64" i="28"/>
  <c r="AK15" i="28"/>
  <c r="V5" i="31"/>
  <c r="G44" i="28"/>
  <c r="AK60" i="28"/>
  <c r="AX74" i="28"/>
  <c r="CS33" i="28"/>
  <c r="CG31" i="28"/>
  <c r="AB74" i="28"/>
  <c r="S45" i="28"/>
  <c r="CS39" i="28"/>
  <c r="CG110" i="28"/>
  <c r="AK16" i="28"/>
  <c r="P43" i="28"/>
  <c r="C55" i="28"/>
  <c r="P60" i="28"/>
  <c r="CD88" i="28"/>
  <c r="P93" i="28"/>
  <c r="BS28" i="28"/>
  <c r="AK52" i="28"/>
  <c r="AM39" i="28"/>
  <c r="H9" i="31"/>
  <c r="F21" i="31"/>
  <c r="C47" i="28"/>
  <c r="BI69" i="28"/>
  <c r="CG56" i="28"/>
  <c r="CP88" i="28"/>
  <c r="AO84" i="28"/>
  <c r="BT113" i="28"/>
  <c r="S95" i="28"/>
  <c r="CG116" i="28"/>
  <c r="CO75" i="28"/>
  <c r="CO23" i="28"/>
  <c r="AL21" i="28"/>
  <c r="E19" i="31"/>
  <c r="BU49" i="28"/>
  <c r="R7" i="34" a="1"/>
  <c r="V13" i="31"/>
  <c r="BK49" i="28"/>
  <c r="Q18" i="28"/>
  <c r="CP61" i="28"/>
  <c r="CO33" i="28"/>
  <c r="AX41" i="28"/>
  <c r="BT84" i="28"/>
  <c r="CD66" i="28"/>
  <c r="CQ76" i="28"/>
  <c r="AO97" i="28"/>
  <c r="AB55" i="28"/>
  <c r="BS30" i="28"/>
  <c r="BU54" i="28"/>
  <c r="AO43" i="28"/>
  <c r="E8" i="34" a="1"/>
  <c r="AK107" i="28"/>
  <c r="O99" i="28"/>
  <c r="AW93" i="28"/>
  <c r="AB97" i="28"/>
  <c r="AL60" i="28"/>
  <c r="P20" i="31"/>
  <c r="CP74" i="28"/>
  <c r="AO45" i="28"/>
  <c r="K20" i="31"/>
  <c r="CO38" i="28"/>
  <c r="BU43" i="28"/>
  <c r="N7" i="34" a="1"/>
  <c r="O95" i="28"/>
  <c r="CP108" i="28"/>
  <c r="BI39" i="28"/>
  <c r="CO58" i="28"/>
  <c r="G47" i="28"/>
  <c r="K19" i="31"/>
  <c r="AK112" i="28"/>
  <c r="CQ66" i="28"/>
  <c r="CC96" i="28"/>
  <c r="AX46" i="28"/>
  <c r="AL96" i="28"/>
  <c r="CE54" i="28"/>
  <c r="C26" i="28"/>
  <c r="CS104" i="28"/>
  <c r="D67" i="28"/>
  <c r="CS91" i="28"/>
  <c r="AL114" i="28"/>
  <c r="CG41" i="28"/>
  <c r="CE92" i="28"/>
  <c r="J29" i="31"/>
  <c r="D22" i="28"/>
  <c r="AK48" i="28"/>
  <c r="CD99" i="28"/>
  <c r="CS92" i="28"/>
  <c r="BA65" i="28"/>
  <c r="BI63" i="28"/>
  <c r="G60" i="28"/>
  <c r="R5" i="31"/>
  <c r="AA86" i="28"/>
  <c r="BA26" i="28"/>
  <c r="D64" i="28"/>
  <c r="AA19" i="31"/>
  <c r="AB92" i="28"/>
  <c r="BS19" i="28"/>
  <c r="D32" i="28"/>
  <c r="BI96" i="28"/>
  <c r="CD107" i="28"/>
  <c r="Q28" i="31"/>
  <c r="AO21" i="28"/>
  <c r="BI48" i="28"/>
  <c r="AW38" i="28"/>
  <c r="AK46" i="28"/>
  <c r="AC117" i="28"/>
  <c r="C82" i="28"/>
  <c r="AX117" i="28"/>
  <c r="AC27" i="28"/>
  <c r="BA42" i="28"/>
  <c r="S60" i="28"/>
  <c r="AA73" i="28"/>
  <c r="BA56" i="28"/>
  <c r="CS106" i="28"/>
  <c r="AL70" i="28"/>
  <c r="V7" i="31"/>
  <c r="AC57" i="28"/>
  <c r="CS96" i="28"/>
  <c r="CE103" i="28"/>
  <c r="AO36" i="28"/>
  <c r="V12" i="31"/>
  <c r="BT98" i="28"/>
  <c r="D25" i="28"/>
  <c r="CO57" i="28"/>
  <c r="O15" i="31"/>
  <c r="AA114" i="28"/>
  <c r="CC120" i="28"/>
  <c r="M16" i="31"/>
  <c r="AX120" i="28"/>
  <c r="N16" i="31"/>
  <c r="Q16" i="28"/>
  <c r="AM52" i="28"/>
  <c r="E101" i="28"/>
  <c r="M7" i="31"/>
  <c r="AC50" i="28"/>
  <c r="BA115" i="28"/>
  <c r="M20" i="31"/>
  <c r="CD72" i="28"/>
  <c r="S24" i="28"/>
  <c r="P70" i="28"/>
  <c r="AB22" i="28"/>
  <c r="AY56" i="28"/>
  <c r="Z8" i="31"/>
  <c r="CS32" i="28"/>
  <c r="CC117" i="28"/>
  <c r="F31" i="31"/>
  <c r="Q30" i="28"/>
  <c r="G5" i="31"/>
  <c r="BI70" i="28"/>
  <c r="D111" i="28"/>
  <c r="CQ26" i="28"/>
  <c r="D80" i="28"/>
  <c r="H19" i="31"/>
  <c r="CD49" i="28"/>
  <c r="D114" i="28"/>
  <c r="AC39" i="28"/>
  <c r="Q32" i="28"/>
  <c r="AO58" i="28"/>
  <c r="H5" i="31"/>
  <c r="CD18" i="28"/>
  <c r="BI50" i="28"/>
  <c r="J15" i="31"/>
  <c r="X8" i="34" a="1"/>
  <c r="AB16" i="28"/>
  <c r="S18" i="31"/>
  <c r="CC72" i="28"/>
  <c r="AO57" i="28"/>
  <c r="N30" i="31"/>
  <c r="P9" i="31"/>
  <c r="CD108" i="28"/>
  <c r="L7" i="34" a="1"/>
  <c r="CG65" i="28"/>
  <c r="CP30" i="28"/>
  <c r="CP63" i="28"/>
  <c r="BI26" i="28"/>
  <c r="S63" i="28"/>
  <c r="E9" i="31"/>
  <c r="AM41" i="28"/>
  <c r="T16" i="31"/>
  <c r="C59" i="28"/>
  <c r="D17" i="31"/>
  <c r="R14" i="31"/>
  <c r="S47" i="28"/>
  <c r="Z17" i="31"/>
  <c r="CE100" i="28"/>
  <c r="CD100" i="28"/>
  <c r="AL48" i="28"/>
  <c r="S13" i="31"/>
  <c r="AB87" i="28"/>
  <c r="S14" i="31"/>
  <c r="BT28" i="28"/>
  <c r="AO71" i="28"/>
  <c r="Q29" i="28"/>
  <c r="AK30" i="28"/>
  <c r="Z9" i="31"/>
  <c r="CO60" i="28"/>
  <c r="D19" i="28"/>
  <c r="AL68" i="28"/>
  <c r="AM51" i="28"/>
  <c r="P33" i="28"/>
  <c r="BK104" i="28"/>
  <c r="AK44" i="28"/>
  <c r="CE118" i="28"/>
  <c r="BI54" i="28"/>
  <c r="Y5" i="31"/>
  <c r="CS117" i="28"/>
  <c r="BU84" i="28"/>
  <c r="E33" i="28"/>
  <c r="AW40" i="28"/>
  <c r="E21" i="31"/>
  <c r="O96" i="28"/>
  <c r="CS44" i="28"/>
  <c r="M7" i="34" a="1"/>
  <c r="C103" i="28"/>
  <c r="AK74" i="28"/>
  <c r="AY32" i="28"/>
  <c r="Z25" i="31"/>
  <c r="CC94" i="28"/>
  <c r="C50" i="28"/>
  <c r="K30" i="31"/>
  <c r="S120" i="28"/>
  <c r="CP38" i="28"/>
  <c r="BK29" i="28"/>
  <c r="P62" i="28"/>
  <c r="G109" i="28"/>
  <c r="AB122" i="28"/>
  <c r="CD73" i="28"/>
  <c r="BA90" i="28"/>
  <c r="CQ25" i="28"/>
  <c r="CP17" i="28"/>
  <c r="Q87" i="28"/>
  <c r="CP55" i="28"/>
  <c r="AL87" i="28"/>
  <c r="CO62" i="28"/>
  <c r="K8" i="34" a="1"/>
  <c r="BS107" i="28"/>
  <c r="AW119" i="28"/>
  <c r="Q118" i="28"/>
  <c r="N14" i="31"/>
  <c r="BT50" i="28"/>
  <c r="CQ88" i="28"/>
  <c r="AY106" i="28"/>
  <c r="X27" i="31"/>
  <c r="AW33" i="28"/>
  <c r="E39" i="28"/>
  <c r="CE26" i="28"/>
  <c r="CD27" i="28"/>
  <c r="S79" i="28"/>
  <c r="AL115" i="28"/>
  <c r="S43" i="28"/>
  <c r="Z30" i="31"/>
  <c r="AB39" i="28"/>
  <c r="E16" i="28"/>
  <c r="BT53" i="28"/>
  <c r="BK56" i="28"/>
  <c r="E91" i="28"/>
  <c r="AA96" i="28"/>
  <c r="Y6" i="31"/>
  <c r="AL107" i="28"/>
  <c r="BT81" i="28"/>
  <c r="Q89" i="28"/>
  <c r="AW103" i="28"/>
  <c r="O11" i="31"/>
  <c r="CG23" i="28"/>
  <c r="P24" i="28"/>
  <c r="G8" i="31"/>
  <c r="CD60" i="28"/>
  <c r="CP25" i="28"/>
  <c r="CC34" i="28"/>
  <c r="AX83" i="28"/>
  <c r="E8" i="31"/>
  <c r="AM108" i="28"/>
  <c r="CD94" i="28"/>
  <c r="E68" i="28"/>
  <c r="AA58" i="28"/>
  <c r="AW51" i="28"/>
  <c r="AM35" i="28"/>
  <c r="CC31" i="28"/>
  <c r="AK96" i="28"/>
  <c r="BS97" i="28"/>
  <c r="BS90" i="28"/>
  <c r="AO49" i="28"/>
  <c r="D49" i="28"/>
  <c r="AY85" i="28"/>
  <c r="AO115" i="28"/>
  <c r="G51" i="28"/>
  <c r="AY79" i="28"/>
  <c r="D106" i="28"/>
  <c r="C57" i="28"/>
  <c r="D50" i="28"/>
  <c r="BA101" i="28"/>
  <c r="I7" i="34" a="1"/>
  <c r="CE24" i="28"/>
  <c r="AK58" i="28"/>
  <c r="AY77" i="28"/>
  <c r="D112" i="28"/>
  <c r="AM103" i="28"/>
  <c r="BA69" i="28"/>
  <c r="BA48" i="28"/>
  <c r="BT82" i="28"/>
  <c r="AK98" i="28"/>
  <c r="AK37" i="28"/>
  <c r="AB100" i="28"/>
  <c r="AO18" i="28"/>
  <c r="BS119" i="28"/>
  <c r="S66" i="28"/>
  <c r="CS69" i="28"/>
  <c r="CG101" i="28"/>
  <c r="AO53" i="28"/>
  <c r="AM87" i="28"/>
  <c r="CC118" i="28"/>
  <c r="T13" i="31"/>
  <c r="CP83" i="28"/>
  <c r="C95" i="28"/>
  <c r="BK53" i="28"/>
  <c r="BA106" i="28"/>
  <c r="AY113" i="28"/>
  <c r="P17" i="31"/>
  <c r="Q84" i="28"/>
  <c r="BU79" i="28"/>
  <c r="P30" i="31"/>
  <c r="G42" i="28"/>
  <c r="AK24" i="28"/>
  <c r="AK76" i="28"/>
  <c r="AW25" i="28"/>
  <c r="D65" i="28"/>
  <c r="AA31" i="28"/>
  <c r="AW110" i="28"/>
  <c r="G25" i="31"/>
  <c r="N11" i="31"/>
  <c r="AX63" i="28"/>
  <c r="CC32" i="28"/>
  <c r="CD64" i="28"/>
  <c r="P54" i="28"/>
  <c r="E32" i="28"/>
  <c r="BS26" i="28"/>
  <c r="BT45" i="28"/>
  <c r="G34" i="28"/>
  <c r="Q7" i="34" a="1"/>
  <c r="C37" i="28"/>
  <c r="C64" i="28"/>
  <c r="AY48" i="28"/>
  <c r="CG86" i="28"/>
  <c r="G74" i="28"/>
  <c r="Q33" i="28"/>
  <c r="D47" i="28"/>
  <c r="S12" i="31"/>
  <c r="BK77" i="28"/>
  <c r="CE22" i="28"/>
  <c r="D21" i="28"/>
  <c r="AK26" i="28"/>
  <c r="CD56" i="28"/>
  <c r="AX68" i="28"/>
  <c r="CE76" i="28"/>
  <c r="AM116" i="28"/>
  <c r="V31" i="31"/>
  <c r="BA113" i="28"/>
  <c r="BI33" i="28"/>
  <c r="BK94" i="28"/>
  <c r="AK90" i="28"/>
  <c r="BI35" i="28"/>
  <c r="CG51" i="28"/>
  <c r="C21" i="28"/>
  <c r="E15" i="31"/>
  <c r="BT27" i="28"/>
  <c r="H25" i="31"/>
  <c r="CP64" i="28"/>
  <c r="CE121" i="28"/>
  <c r="CP93" i="28"/>
  <c r="CQ71" i="28"/>
  <c r="Y16" i="31"/>
  <c r="AL109" i="28"/>
  <c r="Q20" i="31"/>
  <c r="AO30" i="28"/>
  <c r="R16" i="31"/>
  <c r="D55" i="28"/>
  <c r="L5" i="31"/>
  <c r="C32" i="28"/>
  <c r="BK69" i="28"/>
  <c r="AY76" i="28"/>
  <c r="C23" i="28"/>
  <c r="CO101" i="28"/>
  <c r="CG78" i="28"/>
  <c r="CG26" i="28"/>
  <c r="CC28" i="28"/>
  <c r="AB108" i="28"/>
  <c r="BU45" i="28"/>
  <c r="BI103" i="28"/>
  <c r="CS60" i="28"/>
  <c r="CS37" i="28"/>
  <c r="AA28" i="31"/>
  <c r="Z19" i="31"/>
  <c r="BS117" i="28"/>
  <c r="CO26" i="28"/>
  <c r="AM101" i="28"/>
  <c r="O81" i="28"/>
  <c r="CP53" i="28"/>
  <c r="AB104" i="28"/>
  <c r="BK122" i="28"/>
  <c r="BK83" i="28"/>
  <c r="G48" i="28"/>
  <c r="AW35" i="28"/>
  <c r="CQ95" i="28"/>
  <c r="AB69" i="28"/>
  <c r="E5" i="31"/>
  <c r="AC23" i="28"/>
  <c r="F11" i="31"/>
  <c r="BA24" i="28"/>
  <c r="CD89" i="28"/>
  <c r="AY33" i="28"/>
  <c r="M18" i="31"/>
  <c r="AA76" i="28"/>
  <c r="N7" i="31"/>
  <c r="CQ33" i="28"/>
  <c r="CE74" i="28"/>
  <c r="G30" i="28"/>
  <c r="H7" i="34" a="1"/>
  <c r="BS41" i="28"/>
  <c r="O29" i="28"/>
  <c r="D18" i="28"/>
  <c r="BI28" i="28"/>
  <c r="CS18" i="28"/>
  <c r="V25" i="31"/>
  <c r="BK116" i="28"/>
  <c r="J26" i="31"/>
  <c r="L31" i="31"/>
  <c r="AA43" i="28"/>
  <c r="AO100" i="28"/>
  <c r="AL93" i="28"/>
  <c r="CP43" i="28"/>
  <c r="BT121" i="28"/>
  <c r="BK43" i="28"/>
  <c r="O21" i="31"/>
  <c r="AB37" i="28"/>
  <c r="CE73" i="28"/>
  <c r="Q70" i="28"/>
  <c r="BI27" i="28"/>
  <c r="G31" i="31"/>
  <c r="D98" i="28"/>
  <c r="BU67" i="28"/>
  <c r="I13" i="31"/>
  <c r="BT62" i="28"/>
  <c r="AK119" i="28"/>
  <c r="CE77" i="28"/>
  <c r="CD109" i="28"/>
  <c r="Q72" i="28"/>
  <c r="AC46" i="28"/>
  <c r="BS34" i="28"/>
  <c r="CP52" i="28"/>
  <c r="AL28" i="28"/>
  <c r="R27" i="31"/>
  <c r="E75" i="28"/>
  <c r="AY50" i="28"/>
  <c r="G46" i="28"/>
  <c r="BT32" i="28"/>
  <c r="CS97" i="28"/>
  <c r="I26" i="31"/>
  <c r="C70" i="28"/>
  <c r="G16" i="31"/>
  <c r="Z8" i="34" a="1"/>
  <c r="BS98" i="28"/>
  <c r="CG34" i="28"/>
  <c r="CO49" i="28"/>
  <c r="BT93" i="28"/>
  <c r="U7" i="34" a="1"/>
  <c r="E120" i="28"/>
  <c r="AC99" i="28"/>
  <c r="G7" i="34" a="1"/>
  <c r="P27" i="31"/>
  <c r="BK93" i="28"/>
  <c r="X13" i="31"/>
  <c r="D25" i="31"/>
  <c r="AX32" i="28"/>
  <c r="BU110" i="28"/>
  <c r="O65" i="28"/>
  <c r="AW107" i="28"/>
  <c r="E80" i="28"/>
  <c r="AB32" i="28"/>
  <c r="G14" i="31"/>
  <c r="S48" i="28"/>
  <c r="AW34" i="28"/>
  <c r="V18" i="31"/>
  <c r="BK92" i="28"/>
  <c r="AA35" i="28"/>
  <c r="T31" i="31"/>
  <c r="T26" i="31"/>
  <c r="AL108" i="28"/>
  <c r="CQ68" i="28"/>
  <c r="CS54" i="28"/>
  <c r="AK49" i="28"/>
  <c r="S40" i="28"/>
  <c r="BS27" i="28"/>
  <c r="BU91" i="28"/>
  <c r="CO71" i="28"/>
  <c r="CQ27" i="28"/>
  <c r="AX28" i="28"/>
  <c r="AK92" i="28"/>
  <c r="AY40" i="28"/>
  <c r="CQ86" i="28"/>
  <c r="Q22" i="28"/>
  <c r="L13" i="31"/>
  <c r="AC59" i="28"/>
  <c r="CQ50" i="28"/>
  <c r="CD116" i="28"/>
  <c r="Q21" i="28"/>
  <c r="O104" i="28"/>
  <c r="CG122" i="28"/>
  <c r="CG102" i="28"/>
  <c r="CQ16" i="28"/>
  <c r="AM67" i="28"/>
  <c r="Q14" i="31"/>
  <c r="CE79" i="28"/>
  <c r="P26" i="28"/>
  <c r="CE38" i="28"/>
  <c r="Q20" i="28"/>
  <c r="Q55" i="28"/>
  <c r="BA82" i="28"/>
  <c r="AA39" i="28"/>
  <c r="S18" i="28"/>
  <c r="U18" i="31"/>
  <c r="P16" i="31"/>
  <c r="AL57" i="28"/>
  <c r="AB93" i="28"/>
  <c r="V30" i="31"/>
  <c r="Y28" i="31"/>
  <c r="CG18" i="28"/>
  <c r="E18" i="28"/>
  <c r="AC65" i="28"/>
  <c r="CD52" i="28"/>
  <c r="CP65" i="28"/>
  <c r="BK71" i="28"/>
  <c r="AW37" i="28"/>
  <c r="AM119" i="28"/>
  <c r="G77" i="28"/>
  <c r="S61" i="28"/>
  <c r="X26" i="31"/>
  <c r="AM47" i="28"/>
  <c r="AA31" i="31"/>
  <c r="AL15" i="28"/>
  <c r="P105" i="28"/>
  <c r="J8" i="31"/>
  <c r="O113" i="28"/>
  <c r="AK108" i="28"/>
  <c r="U21" i="31"/>
  <c r="AM63" i="28"/>
  <c r="O72" i="28"/>
  <c r="CG25" i="28"/>
  <c r="CP56" i="28"/>
  <c r="CO59" i="28"/>
  <c r="AW46" i="28"/>
  <c r="AY37" i="28"/>
  <c r="BI120" i="28"/>
  <c r="AC109" i="28"/>
  <c r="CC19" i="28"/>
  <c r="CE108" i="28"/>
  <c r="BA86" i="28"/>
  <c r="S107" i="28"/>
  <c r="BA66" i="28"/>
  <c r="T17" i="31"/>
  <c r="I29" i="31"/>
  <c r="AM59" i="28"/>
  <c r="CG60" i="28"/>
  <c r="E49" i="28"/>
  <c r="C84" i="28"/>
  <c r="CG83" i="28"/>
  <c r="BU38" i="28"/>
  <c r="AO78" i="28"/>
  <c r="AY71" i="28"/>
  <c r="CD61" i="28"/>
  <c r="W31" i="31"/>
  <c r="AY81" i="28"/>
  <c r="CP107" i="28"/>
  <c r="S117" i="28"/>
  <c r="BT64" i="28"/>
  <c r="CC66" i="28"/>
  <c r="C42" i="28"/>
  <c r="AY31" i="28"/>
  <c r="BS59" i="28"/>
  <c r="Q36" i="28"/>
  <c r="CO66" i="28"/>
  <c r="BS122" i="28"/>
  <c r="C49" i="28"/>
  <c r="D9" i="31"/>
  <c r="Y14" i="31"/>
  <c r="CD37" i="28"/>
  <c r="P87" i="28"/>
  <c r="BK75" i="28"/>
  <c r="AL113" i="28"/>
  <c r="CE56" i="28"/>
  <c r="CQ81" i="28"/>
  <c r="D40" i="28"/>
  <c r="CG17" i="28"/>
  <c r="BU100" i="28"/>
  <c r="Q41" i="28"/>
  <c r="E103" i="28"/>
  <c r="BT20" i="28"/>
  <c r="K12" i="31"/>
  <c r="P94" i="28"/>
  <c r="BA76" i="28"/>
  <c r="BI55" i="28"/>
  <c r="S25" i="28"/>
  <c r="L18" i="31"/>
  <c r="CQ15" i="28"/>
  <c r="CD55" i="28"/>
  <c r="Q100" i="28"/>
  <c r="D89" i="28"/>
  <c r="CG30" i="28"/>
  <c r="BT49" i="28"/>
  <c r="BI78" i="28"/>
  <c r="Q18" i="31"/>
  <c r="CO20" i="28"/>
  <c r="CE75" i="28"/>
  <c r="L29" i="31"/>
  <c r="AX72" i="28"/>
  <c r="C43" i="28"/>
  <c r="G79" i="28"/>
  <c r="BT115" i="28"/>
  <c r="CE17" i="28"/>
  <c r="O90" i="28"/>
  <c r="CS64" i="28"/>
  <c r="AA72" i="28"/>
  <c r="AO32" i="28"/>
  <c r="Q120" i="28"/>
  <c r="AB96" i="28"/>
  <c r="AX92" i="28"/>
  <c r="E108" i="28"/>
  <c r="CG106" i="28"/>
  <c r="AC73" i="28"/>
  <c r="AM114" i="28"/>
  <c r="AB47" i="28"/>
  <c r="CG81" i="28"/>
  <c r="AY23" i="28"/>
  <c r="E92" i="28"/>
  <c r="D4" i="28"/>
  <c r="S62" i="28"/>
  <c r="Q38" i="28"/>
  <c r="X29" i="31"/>
  <c r="AB88" i="28"/>
  <c r="O67" i="28"/>
  <c r="CP121" i="28"/>
  <c r="BS77" i="28"/>
  <c r="AC37" i="28"/>
  <c r="CC64" i="28"/>
  <c r="CO56" i="28"/>
  <c r="C34" i="28"/>
  <c r="CG99" i="28"/>
  <c r="CP29" i="28"/>
  <c r="BA58" i="28"/>
  <c r="Q105" i="28"/>
  <c r="BI110" i="28"/>
  <c r="D20" i="28"/>
  <c r="BU58" i="28"/>
  <c r="CD110" i="28"/>
  <c r="CE109" i="28"/>
  <c r="CQ22" i="28"/>
  <c r="CP117" i="28"/>
  <c r="C27" i="28"/>
  <c r="CE52" i="28"/>
  <c r="CQ80" i="28"/>
  <c r="CQ21" i="28"/>
  <c r="BU92" i="28"/>
  <c r="CS89" i="28"/>
  <c r="CS93" i="28"/>
  <c r="Q21" i="31"/>
  <c r="CS48" i="28"/>
  <c r="CQ61" i="28"/>
  <c r="AO20" i="28"/>
  <c r="O31" i="31"/>
  <c r="CE36" i="28"/>
  <c r="K29" i="31"/>
  <c r="G71" i="28"/>
  <c r="BT107" i="28"/>
  <c r="CE85" i="28"/>
  <c r="W18" i="31"/>
  <c r="D18" i="31"/>
  <c r="S22" i="28"/>
  <c r="BA25" i="28"/>
  <c r="Q62" i="28"/>
  <c r="BS40" i="28"/>
  <c r="E16" i="31"/>
  <c r="AO86" i="28"/>
  <c r="BS69" i="28"/>
  <c r="AM77" i="28"/>
  <c r="AW91" i="28"/>
  <c r="CS90" i="28"/>
  <c r="BT51" i="28"/>
  <c r="CD51" i="28"/>
  <c r="AA107" i="28"/>
  <c r="P96" i="28"/>
  <c r="AA25" i="28"/>
  <c r="AX54" i="28"/>
  <c r="AC15" i="28"/>
  <c r="CO108" i="28"/>
  <c r="CO106" i="28"/>
  <c r="AY22" i="28"/>
  <c r="G105" i="28"/>
  <c r="T9" i="31"/>
  <c r="AX101" i="28"/>
  <c r="AC86" i="28"/>
  <c r="AA82" i="28"/>
  <c r="C36" i="28"/>
  <c r="BS78" i="28"/>
  <c r="CP54" i="28"/>
  <c r="D116" i="28"/>
  <c r="CO81" i="28"/>
  <c r="R21" i="31"/>
  <c r="CE25" i="28"/>
  <c r="AL102" i="28"/>
  <c r="BK63" i="28"/>
  <c r="S54" i="28"/>
  <c r="CC100" i="28"/>
  <c r="AK39" i="28"/>
  <c r="Q49" i="28"/>
  <c r="AM111" i="28"/>
  <c r="AW77" i="28"/>
  <c r="BT19" i="28"/>
  <c r="BK44" i="28"/>
  <c r="S29" i="28"/>
  <c r="D35" i="28"/>
  <c r="CD23" i="28"/>
  <c r="E50" i="28"/>
  <c r="BT67" i="28"/>
  <c r="I31" i="31"/>
  <c r="C102" i="28"/>
  <c r="AX90" i="28"/>
  <c r="E21" i="28"/>
  <c r="CC35" i="28"/>
  <c r="L7" i="31"/>
  <c r="C63" i="28"/>
  <c r="F8" i="34" a="1"/>
  <c r="V7" i="34" a="1"/>
  <c r="CE44" i="28"/>
  <c r="M27" i="31"/>
  <c r="AX115" i="28"/>
  <c r="BU33" i="28"/>
  <c r="AK27" i="28"/>
  <c r="P4" i="28"/>
  <c r="AC95" i="28"/>
  <c r="BI21" i="28"/>
  <c r="AX118" i="28"/>
  <c r="AW23" i="28"/>
  <c r="CC89" i="28"/>
  <c r="R13" i="31"/>
  <c r="CC60" i="28"/>
  <c r="D86" i="28"/>
  <c r="P20" i="28"/>
  <c r="AA88" i="28"/>
  <c r="CO51" i="28"/>
  <c r="P56" i="28"/>
  <c r="AO40" i="28"/>
  <c r="C94" i="28"/>
  <c r="AX45" i="28"/>
  <c r="AY107" i="28"/>
  <c r="AC111" i="28"/>
  <c r="AW101" i="28"/>
  <c r="O83" i="28"/>
  <c r="G117" i="28"/>
  <c r="O26" i="28"/>
  <c r="AW27" i="28"/>
  <c r="AX102" i="28"/>
  <c r="AX93" i="28"/>
  <c r="BU114" i="28"/>
  <c r="AM54" i="28"/>
  <c r="AM32" i="28"/>
  <c r="F27" i="31"/>
  <c r="CP122" i="28"/>
  <c r="CD43" i="28"/>
  <c r="CE16" i="28"/>
  <c r="O5" i="31"/>
  <c r="AA90" i="28"/>
  <c r="N21" i="31"/>
  <c r="CQ42" i="28"/>
  <c r="CD87" i="28"/>
  <c r="AW62" i="28"/>
  <c r="Y30" i="31"/>
  <c r="CD17" i="28"/>
  <c r="BS76" i="28"/>
  <c r="AB26" i="28"/>
  <c r="Q19" i="31"/>
  <c r="AA115" i="28"/>
  <c r="E64" i="28"/>
  <c r="BK84" i="28"/>
  <c r="AA41" i="28"/>
  <c r="E122" i="28"/>
  <c r="AL58" i="28"/>
  <c r="BI29" i="28"/>
  <c r="CQ65" i="28"/>
  <c r="BI113" i="28"/>
  <c r="AM120" i="28"/>
  <c r="O12" i="31"/>
  <c r="CQ28" i="28"/>
  <c r="C39" i="28"/>
  <c r="CP19" i="28"/>
  <c r="Q50" i="28"/>
  <c r="Z14" i="31"/>
  <c r="BI30" i="28"/>
  <c r="N19" i="31"/>
  <c r="CC37" i="28"/>
  <c r="Y27" i="31"/>
  <c r="R18" i="31"/>
  <c r="AW24" i="28"/>
  <c r="E42" i="28"/>
  <c r="P15" i="31"/>
  <c r="CQ70" i="28"/>
  <c r="CP22" i="28"/>
  <c r="AA25" i="31"/>
  <c r="Q68" i="28"/>
  <c r="AY25" i="28"/>
  <c r="P38" i="28"/>
  <c r="O93" i="28"/>
  <c r="AB44" i="28"/>
  <c r="C105" i="28"/>
  <c r="CC84" i="28"/>
  <c r="W7" i="31"/>
  <c r="CO15" i="28"/>
  <c r="S104" i="28"/>
  <c r="BT96" i="28"/>
  <c r="F19" i="31"/>
  <c r="P67" i="28"/>
  <c r="AA30" i="31"/>
  <c r="CP48" i="28"/>
  <c r="AM57" i="28"/>
  <c r="Q26" i="28"/>
  <c r="CP94" i="28"/>
  <c r="O33" i="28"/>
  <c r="AB30" i="28"/>
  <c r="Q31" i="28"/>
  <c r="BI79" i="28"/>
  <c r="CO19" i="28"/>
  <c r="CD90" i="28"/>
  <c r="V26" i="31"/>
  <c r="L16" i="31"/>
  <c r="BI81" i="28"/>
  <c r="CG32" i="28"/>
  <c r="AC45" i="28"/>
  <c r="AK22" i="28"/>
  <c r="X7" i="34" a="1"/>
  <c r="AC35" i="28"/>
  <c r="O62" i="28"/>
  <c r="Q58" i="28"/>
  <c r="W7" i="34" a="1"/>
  <c r="CP81" i="28"/>
  <c r="AM19" i="28"/>
  <c r="D63" i="28"/>
  <c r="BI68" i="28"/>
  <c r="AX62" i="28"/>
  <c r="Q17" i="28"/>
  <c r="C15" i="28"/>
  <c r="Q122" i="28"/>
  <c r="AL31" i="28"/>
  <c r="CG47" i="28"/>
  <c r="AM48" i="28"/>
  <c r="J7" i="31"/>
  <c r="BK61" i="28"/>
  <c r="AA20" i="31"/>
  <c r="AW17" i="28"/>
  <c r="AC42" i="28"/>
  <c r="CQ35" i="28"/>
  <c r="P61" i="28"/>
  <c r="CE117" i="28"/>
  <c r="CG69" i="28"/>
  <c r="I16" i="31"/>
  <c r="O64" i="28"/>
  <c r="AC80" i="28"/>
  <c r="BU88" i="28"/>
  <c r="AM73" i="28"/>
  <c r="P21" i="28"/>
  <c r="AB54" i="28"/>
  <c r="CE88" i="28"/>
  <c r="BA87" i="28"/>
  <c r="CS115" i="28"/>
  <c r="Q98" i="28"/>
  <c r="BJ47" i="28"/>
  <c r="AO70" i="28"/>
  <c r="AC29" i="28"/>
  <c r="BT70" i="28"/>
  <c r="AK91" i="28"/>
  <c r="CP41" i="28"/>
  <c r="BI109" i="28"/>
  <c r="CQ40" i="28"/>
  <c r="AM60" i="28"/>
  <c r="AC32" i="28"/>
  <c r="AM99" i="28"/>
  <c r="G19" i="28"/>
  <c r="C83" i="28"/>
  <c r="CP46" i="28"/>
  <c r="CE45" i="28"/>
  <c r="E70" i="28"/>
  <c r="F13" i="31"/>
  <c r="S98" i="28"/>
  <c r="D69" i="28"/>
  <c r="AK20" i="28"/>
  <c r="E100" i="28"/>
  <c r="BK96" i="28"/>
  <c r="R12" i="31"/>
  <c r="BS65" i="28"/>
  <c r="E74" i="28"/>
  <c r="P8" i="34" a="1"/>
  <c r="AM33" i="28"/>
  <c r="BI43" i="28"/>
  <c r="D26" i="31"/>
  <c r="BK38" i="28"/>
  <c r="O91" i="28"/>
  <c r="AX121" i="28"/>
  <c r="CQ87" i="28"/>
  <c r="AO52" i="28"/>
  <c r="AW74" i="28"/>
  <c r="CS55" i="28"/>
  <c r="BI52" i="28"/>
  <c r="CE27" i="28"/>
  <c r="Q26" i="31"/>
  <c r="CC98" i="28"/>
  <c r="BS88" i="28"/>
  <c r="D66" i="28"/>
  <c r="E29" i="31"/>
  <c r="BT89" i="28"/>
  <c r="BI111" i="28"/>
  <c r="AC93" i="28"/>
  <c r="AB120" i="28"/>
  <c r="X7" i="31"/>
  <c r="R8" i="31"/>
  <c r="CS103" i="28"/>
  <c r="CE35" i="28"/>
  <c r="BT47" i="28"/>
  <c r="D24" i="28"/>
  <c r="P41" i="28"/>
  <c r="AB72" i="28"/>
  <c r="AM34" i="28"/>
  <c r="S114" i="28"/>
  <c r="K11" i="31"/>
  <c r="AO29" i="28"/>
  <c r="CO47" i="28"/>
  <c r="S58" i="28"/>
  <c r="CG24" i="28"/>
  <c r="BS115" i="28"/>
  <c r="Z18" i="31"/>
  <c r="AA44" i="28"/>
  <c r="D17" i="28"/>
  <c r="P75" i="28"/>
  <c r="P81" i="28"/>
  <c r="CS114" i="28"/>
  <c r="AW111" i="28"/>
  <c r="CO40" i="28"/>
  <c r="D51" i="28"/>
  <c r="BT58" i="28"/>
  <c r="CO110" i="28"/>
  <c r="AK18" i="28"/>
  <c r="BU96" i="28"/>
  <c r="AC18" i="28"/>
  <c r="E14" i="31"/>
  <c r="CP39" i="28"/>
  <c r="AL17" i="28"/>
  <c r="E44" i="28"/>
  <c r="CC116" i="28"/>
  <c r="AX81" i="28"/>
  <c r="T6" i="31"/>
  <c r="BK76" i="28"/>
  <c r="BK57" i="28"/>
  <c r="BU99" i="28"/>
  <c r="P121" i="28"/>
  <c r="D85" i="28"/>
  <c r="AX30" i="28"/>
  <c r="E7" i="34" a="1"/>
  <c r="H17" i="31"/>
  <c r="AK51" i="28"/>
  <c r="CQ36" i="28"/>
  <c r="L17" i="31"/>
  <c r="BT68" i="28"/>
  <c r="BS61" i="28"/>
  <c r="S93" i="28"/>
  <c r="O100" i="28"/>
  <c r="BS18" i="28"/>
  <c r="CC76" i="28"/>
  <c r="G97" i="28"/>
  <c r="E78" i="28"/>
  <c r="CE23" i="28"/>
  <c r="G53" i="28"/>
  <c r="AM58" i="28"/>
  <c r="AL25" i="28"/>
  <c r="Z28" i="31"/>
  <c r="CC102" i="28"/>
  <c r="CD79" i="28"/>
  <c r="Y26" i="31"/>
  <c r="K15" i="31"/>
  <c r="BS87" i="28"/>
  <c r="V15" i="31"/>
  <c r="AL69" i="28"/>
  <c r="BA99" i="28"/>
  <c r="AC119" i="28"/>
  <c r="CQ107" i="28"/>
  <c r="AO66" i="28"/>
  <c r="AX26" i="28"/>
  <c r="O24" i="28"/>
  <c r="BU73" i="28"/>
  <c r="Q30" i="31"/>
  <c r="AL53" i="28"/>
  <c r="AO90" i="28"/>
  <c r="O41" i="28"/>
  <c r="CG95" i="28"/>
  <c r="AO103" i="28"/>
  <c r="P103" i="28"/>
  <c r="P15" i="28"/>
  <c r="Q96" i="28"/>
  <c r="AX89" i="28"/>
  <c r="CC67" i="28"/>
  <c r="O8" i="31"/>
  <c r="AM110" i="28"/>
  <c r="S8" i="31"/>
  <c r="D12" i="31"/>
  <c r="AX55" i="28"/>
  <c r="AL66" i="28"/>
  <c r="CG48" i="28"/>
  <c r="BS99" i="28"/>
  <c r="AW102" i="28"/>
  <c r="O59" i="28"/>
  <c r="AK23" i="28"/>
  <c r="AK32" i="28"/>
  <c r="G76" i="28"/>
  <c r="CC40" i="28"/>
  <c r="CG79" i="28"/>
  <c r="P47" i="28"/>
  <c r="G113" i="28"/>
  <c r="CO61" i="28"/>
  <c r="BI91" i="28"/>
  <c r="C29" i="28"/>
  <c r="CO43" i="28"/>
  <c r="AC58" i="28"/>
  <c r="BS32" i="28"/>
  <c r="G91" i="28"/>
  <c r="CC88" i="28"/>
  <c r="BI121" i="28"/>
  <c r="CQ101" i="28"/>
  <c r="W19" i="31"/>
  <c r="AW65" i="28"/>
  <c r="CD41" i="28"/>
  <c r="CS30" i="28"/>
  <c r="CD68" i="28"/>
  <c r="CQ72" i="28"/>
  <c r="BS38" i="28"/>
  <c r="L27" i="31"/>
  <c r="T19" i="31"/>
  <c r="H11" i="31"/>
  <c r="AB29" i="28"/>
  <c r="CQ63" i="28"/>
  <c r="S20" i="31"/>
  <c r="CS31" i="28"/>
  <c r="D119" i="28"/>
  <c r="AO44" i="28"/>
  <c r="G17" i="31"/>
  <c r="N26" i="31"/>
  <c r="CS82" i="28"/>
  <c r="O7" i="34" a="1"/>
  <c r="AB105" i="28"/>
  <c r="AB59" i="28"/>
  <c r="AO91" i="28"/>
  <c r="AA21" i="28"/>
  <c r="AA37" i="28"/>
  <c r="S116" i="28"/>
  <c r="V11" i="31"/>
  <c r="BS112" i="28"/>
  <c r="AL24" i="28"/>
  <c r="L28" i="31"/>
  <c r="AO26" i="28"/>
  <c r="R26" i="31"/>
  <c r="BU39" i="28"/>
  <c r="P53" i="28"/>
  <c r="AB81" i="28"/>
  <c r="Q59" i="28"/>
  <c r="AM25" i="28"/>
  <c r="G102" i="28"/>
  <c r="CE30" i="28"/>
  <c r="N8" i="31"/>
  <c r="V27" i="31"/>
  <c r="Q24" i="28"/>
  <c r="CP115" i="28"/>
  <c r="J5" i="31"/>
  <c r="AW28" i="28"/>
  <c r="S65" i="28"/>
  <c r="P23" i="28"/>
  <c r="AW99" i="28"/>
  <c r="CE40" i="28"/>
  <c r="AY73" i="28"/>
  <c r="AA101" i="28"/>
  <c r="S31" i="28"/>
  <c r="I28" i="31"/>
  <c r="AB46" i="28"/>
  <c r="CG59" i="28"/>
  <c r="CS17" i="28"/>
  <c r="O13" i="31"/>
  <c r="P117" i="28"/>
  <c r="AL33" i="28"/>
  <c r="BI92" i="28"/>
  <c r="AW100" i="28"/>
  <c r="I11" i="31"/>
  <c r="AY83" i="28"/>
  <c r="BT94" i="28"/>
  <c r="BT40" i="28"/>
  <c r="BK47" i="28"/>
  <c r="BU72" i="28"/>
  <c r="AA91" i="28"/>
  <c r="CO41" i="28"/>
  <c r="AK94" i="28"/>
  <c r="AY120" i="28"/>
  <c r="CP59" i="28"/>
  <c r="AK84" i="28"/>
  <c r="P14" i="31"/>
  <c r="BI45" i="28"/>
  <c r="CS53" i="28"/>
  <c r="V9" i="31"/>
  <c r="BS83" i="28"/>
  <c r="AB15" i="28"/>
  <c r="AY18" i="28"/>
  <c r="BK30" i="28"/>
  <c r="CG15" i="28"/>
  <c r="BA19" i="28"/>
  <c r="CE80" i="28"/>
  <c r="BU44" i="28"/>
  <c r="CD25" i="28"/>
  <c r="Q86" i="28"/>
  <c r="R11" i="31"/>
  <c r="E36" i="28"/>
  <c r="G15" i="31"/>
  <c r="S52" i="28"/>
  <c r="AX86" i="28"/>
  <c r="AL74" i="28"/>
  <c r="AC110" i="28"/>
  <c r="G78" i="28"/>
  <c r="CQ48" i="28"/>
  <c r="CE20" i="28"/>
  <c r="CO80" i="28"/>
  <c r="AC97" i="28"/>
  <c r="C113" i="28"/>
  <c r="P58" i="28"/>
  <c r="O56" i="28"/>
  <c r="U25" i="31"/>
  <c r="AM65" i="28"/>
  <c r="Q88" i="28"/>
  <c r="AO93" i="28"/>
  <c r="AC76" i="28"/>
  <c r="BT25" i="28"/>
  <c r="AL61" i="28"/>
  <c r="AW82" i="28"/>
  <c r="D15" i="31"/>
  <c r="CE107" i="28"/>
  <c r="S49" i="28"/>
  <c r="BA40" i="28"/>
  <c r="CE60" i="28"/>
  <c r="AC33" i="28"/>
  <c r="AL119" i="28"/>
  <c r="G17" i="28"/>
  <c r="CO65" i="28"/>
  <c r="AX67" i="28"/>
  <c r="W14" i="31"/>
  <c r="C16" i="28"/>
  <c r="D68" i="28"/>
  <c r="CE33" i="28"/>
  <c r="CO29" i="28"/>
  <c r="Y11" i="31"/>
  <c r="AM26" i="28"/>
  <c r="CQ105" i="28"/>
  <c r="C45" i="28"/>
  <c r="O18" i="28"/>
  <c r="C101" i="28"/>
  <c r="CQ75" i="28"/>
  <c r="BU109" i="28"/>
  <c r="Q112" i="28"/>
  <c r="BS55" i="28"/>
  <c r="CS59" i="28"/>
  <c r="C71" i="28"/>
  <c r="CS51" i="28"/>
  <c r="BT35" i="28"/>
  <c r="AX110" i="28"/>
  <c r="CQ59" i="28"/>
  <c r="CP71" i="28"/>
  <c r="O58" i="28"/>
  <c r="AW64" i="28"/>
  <c r="H14" i="31"/>
  <c r="Q27" i="31"/>
  <c r="X16" i="31"/>
  <c r="AW94" i="28"/>
  <c r="S38" i="28"/>
  <c r="S36" i="28"/>
  <c r="AY111" i="28"/>
  <c r="AM29" i="28"/>
  <c r="O121" i="28"/>
  <c r="CC30" i="28"/>
  <c r="BS42" i="28"/>
  <c r="C18" i="28"/>
  <c r="CS80" i="28"/>
  <c r="AL18" i="28"/>
  <c r="P40" i="28"/>
  <c r="BK102" i="28"/>
  <c r="K26" i="31"/>
  <c r="CD42" i="28"/>
  <c r="Q110" i="28"/>
  <c r="D37" i="28"/>
  <c r="AW67" i="28"/>
  <c r="AL95" i="28"/>
  <c r="G13" i="31"/>
  <c r="AX18" i="28"/>
  <c r="R17" i="31"/>
  <c r="CC121" i="28"/>
  <c r="O105" i="28"/>
  <c r="CC112" i="28"/>
  <c r="CS84" i="28"/>
  <c r="P119" i="28"/>
  <c r="AL32" i="28"/>
  <c r="AA52" i="28"/>
  <c r="AM96" i="28"/>
  <c r="D13" i="31"/>
  <c r="E37" i="28"/>
  <c r="AB36" i="28"/>
  <c r="CG115" i="28"/>
  <c r="CO28" i="28"/>
  <c r="AX16" i="28"/>
  <c r="AM37" i="28"/>
  <c r="CO24" i="28"/>
  <c r="AY122" i="28"/>
  <c r="CQ116" i="28"/>
  <c r="CC33" i="28"/>
  <c r="C85" i="28"/>
  <c r="CG68" i="28"/>
  <c r="AO76" i="28"/>
  <c r="CO116" i="28"/>
  <c r="AA122" i="28"/>
  <c r="AX61" i="28"/>
  <c r="BI74" i="28"/>
  <c r="CE96" i="28"/>
  <c r="AL90" i="28"/>
  <c r="M14" i="31"/>
  <c r="AB75" i="28"/>
  <c r="BS84" i="28"/>
  <c r="BI122" i="28"/>
  <c r="G73" i="28"/>
  <c r="AW45" i="28"/>
  <c r="AX94" i="28"/>
  <c r="L14" i="31"/>
  <c r="BS56" i="28"/>
  <c r="AM64" i="28"/>
  <c r="AC22" i="28"/>
  <c r="CE97" i="28"/>
  <c r="O57" i="28"/>
  <c r="CO84" i="28"/>
  <c r="AY103" i="28"/>
  <c r="AA47" i="28"/>
  <c r="S23" i="28"/>
  <c r="BU47" i="28"/>
  <c r="AW83" i="28"/>
  <c r="CC29" i="28"/>
  <c r="Q5" i="31"/>
  <c r="N25" i="31"/>
  <c r="AM27" i="28"/>
  <c r="AW76" i="28"/>
  <c r="AX98" i="28"/>
  <c r="BK35" i="28"/>
  <c r="BK73" i="28"/>
  <c r="AA121" i="28"/>
  <c r="BU42" i="28"/>
  <c r="O80" i="28"/>
  <c r="AL43" i="28"/>
  <c r="S55" i="28"/>
  <c r="Z20" i="31"/>
  <c r="AM16" i="28"/>
  <c r="V17" i="31"/>
  <c r="G80" i="28"/>
  <c r="L25" i="31"/>
  <c r="O84" i="28"/>
  <c r="CD15" i="28"/>
  <c r="BU66" i="28"/>
  <c r="C81" i="28"/>
  <c r="S64" i="28"/>
  <c r="AM105" i="28"/>
  <c r="AA21" i="31"/>
  <c r="AK36" i="28"/>
  <c r="BA107" i="28"/>
  <c r="AA45" i="28"/>
  <c r="AC96" i="28"/>
  <c r="C91" i="28"/>
  <c r="M6" i="31"/>
  <c r="AB62" i="28"/>
  <c r="CO18" i="28"/>
  <c r="BA30" i="28"/>
  <c r="CP114" i="28"/>
  <c r="G29" i="31"/>
  <c r="CD62" i="28"/>
  <c r="CE64" i="28"/>
  <c r="AM74" i="28"/>
  <c r="L26" i="31"/>
  <c r="BT22" i="28"/>
  <c r="BA61" i="28"/>
  <c r="CP23" i="28"/>
  <c r="Y19" i="31"/>
  <c r="AW55" i="28"/>
  <c r="BA105" i="28"/>
  <c r="BK113" i="28"/>
  <c r="E63" i="28"/>
  <c r="P114" i="28"/>
  <c r="BA119" i="28"/>
  <c r="AM82" i="28"/>
  <c r="X18" i="31"/>
  <c r="E102" i="28"/>
  <c r="C25" i="28"/>
  <c r="W26" i="31"/>
  <c r="AL94" i="28"/>
  <c r="Q103" i="28"/>
  <c r="CE43" i="28"/>
  <c r="S9" i="31"/>
  <c r="CC46" i="28"/>
  <c r="CE78" i="28"/>
  <c r="Y7" i="31"/>
  <c r="AL42" i="28"/>
  <c r="AK62" i="28"/>
  <c r="E61" i="28"/>
  <c r="P30" i="28"/>
  <c r="CD92" i="28"/>
  <c r="E25" i="31"/>
  <c r="C52" i="28"/>
  <c r="G28" i="31"/>
  <c r="C96" i="28"/>
  <c r="AA14" i="31"/>
  <c r="CP27" i="28"/>
  <c r="C86" i="28"/>
  <c r="AC60" i="28"/>
  <c r="BI101" i="28"/>
  <c r="P31" i="31"/>
  <c r="Q4" i="31" l="1"/>
  <c r="AC13" i="31"/>
  <c r="Y10" i="31"/>
  <c r="AC15" i="31"/>
  <c r="U24" i="31"/>
  <c r="R10" i="31"/>
  <c r="J4" i="31"/>
  <c r="V10" i="31"/>
  <c r="O7" i="34"/>
  <c r="AC12" i="31"/>
  <c r="E7" i="34"/>
  <c r="AC26" i="31"/>
  <c r="P8" i="34"/>
  <c r="W7" i="34"/>
  <c r="X7" i="34"/>
  <c r="O4" i="31"/>
  <c r="V7" i="34"/>
  <c r="F8" i="34"/>
  <c r="AC18" i="31"/>
  <c r="AC9" i="31"/>
  <c r="AC25" i="31"/>
  <c r="G7" i="34"/>
  <c r="U7" i="34"/>
  <c r="Z8" i="34"/>
  <c r="V24" i="31"/>
  <c r="H7" i="34"/>
  <c r="E4" i="31"/>
  <c r="L4" i="31"/>
  <c r="Q7" i="34"/>
  <c r="I7" i="34"/>
  <c r="K8" i="34"/>
  <c r="Z24" i="31"/>
  <c r="M7" i="34"/>
  <c r="Y4" i="31"/>
  <c r="AC17" i="31"/>
  <c r="L7" i="34"/>
  <c r="X8" i="34"/>
  <c r="H4" i="31"/>
  <c r="G4" i="31"/>
  <c r="R4" i="31"/>
  <c r="N7" i="34"/>
  <c r="E8" i="34"/>
  <c r="R7" i="34"/>
  <c r="V4" i="31"/>
  <c r="T10" i="31"/>
  <c r="P4" i="31"/>
  <c r="G8" i="34"/>
  <c r="AC16" i="31"/>
  <c r="AA10" i="31"/>
  <c r="AC21" i="31"/>
  <c r="X10" i="31"/>
  <c r="T24" i="31"/>
  <c r="I4" i="31"/>
  <c r="M4" i="31"/>
  <c r="X24" i="31"/>
  <c r="X4" i="31"/>
  <c r="W10" i="31"/>
  <c r="S24" i="31"/>
  <c r="Z4" i="31"/>
  <c r="V8" i="34"/>
  <c r="M8" i="34"/>
  <c r="AC6" i="31"/>
  <c r="U8" i="34"/>
  <c r="Y8" i="34"/>
  <c r="L8" i="34"/>
  <c r="K4" i="31"/>
  <c r="Q10" i="31"/>
  <c r="AC29" i="31"/>
  <c r="U10" i="31"/>
  <c r="AC8" i="31"/>
  <c r="AC28" i="31"/>
  <c r="H8" i="34"/>
  <c r="D8" i="34"/>
  <c r="AA4" i="31"/>
  <c r="AC7" i="31"/>
  <c r="Q8" i="34"/>
  <c r="F7" i="34"/>
  <c r="T4" i="31"/>
  <c r="W4" i="31"/>
  <c r="S7" i="34"/>
  <c r="Y24" i="31"/>
  <c r="W8" i="34"/>
  <c r="Z7" i="34"/>
  <c r="AC5" i="31"/>
  <c r="D4" i="31"/>
  <c r="AC31" i="31"/>
  <c r="K7" i="34"/>
  <c r="AE30" i="31"/>
  <c r="AC30" i="31"/>
  <c r="S4" i="31"/>
  <c r="AC14" i="31"/>
  <c r="AC27" i="31"/>
  <c r="I8" i="34"/>
  <c r="R24" i="31"/>
  <c r="P7" i="34"/>
  <c r="AC19" i="31"/>
  <c r="Q24" i="31"/>
  <c r="F4" i="31"/>
  <c r="J8" i="34"/>
  <c r="O8" i="34"/>
  <c r="AA7" i="34"/>
  <c r="AC11" i="31"/>
  <c r="AC20" i="31"/>
  <c r="Y7" i="34"/>
  <c r="W24" i="31"/>
  <c r="Z10" i="31"/>
  <c r="U4" i="31"/>
  <c r="T7" i="34"/>
  <c r="N8" i="34"/>
  <c r="S10" i="31"/>
  <c r="S8" i="34"/>
  <c r="R8" i="34"/>
  <c r="AA8" i="34"/>
  <c r="J7" i="34"/>
  <c r="T8" i="34"/>
  <c r="N4" i="31"/>
  <c r="D7" i="34"/>
  <c r="AC176" i="31"/>
  <c r="AC223" i="31"/>
  <c r="D222" i="31"/>
  <c r="AC222" i="31" s="1"/>
  <c r="Q170" i="31" a="1"/>
  <c r="Q170" i="31" s="1"/>
  <c r="Q32" i="31" s="1"/>
  <c r="S35" i="34"/>
  <c r="S34" i="34" s="1"/>
  <c r="S33" i="34" s="1"/>
  <c r="T35" i="34"/>
  <c r="T34" i="34" s="1"/>
  <c r="T33" i="34" s="1"/>
  <c r="AA200" i="31"/>
  <c r="S200" i="31"/>
  <c r="O200" i="31"/>
  <c r="K200" i="31"/>
  <c r="H200" i="31"/>
  <c r="H34" i="33"/>
  <c r="H33" i="33" s="1"/>
  <c r="H32" i="33" s="1"/>
  <c r="L200" i="31"/>
  <c r="P200" i="31"/>
  <c r="G200" i="31"/>
  <c r="E200" i="31"/>
  <c r="I200" i="31"/>
  <c r="M200" i="31"/>
  <c r="Q200" i="31"/>
  <c r="F200" i="31"/>
  <c r="J200" i="31"/>
  <c r="N200" i="31"/>
  <c r="D200" i="31"/>
  <c r="R200" i="31"/>
  <c r="D36" i="34"/>
  <c r="AC36" i="34" s="1"/>
  <c r="R35" i="34"/>
  <c r="R34" i="34" s="1"/>
  <c r="R33" i="34" s="1"/>
  <c r="AE166" i="31"/>
  <c r="C2" i="30"/>
  <c r="S5" i="34" l="1"/>
  <c r="R5" i="34"/>
  <c r="X3" i="31"/>
  <c r="X2" i="31" s="1"/>
  <c r="X311" i="31" s="1"/>
  <c r="T5" i="34"/>
  <c r="V5" i="34"/>
  <c r="Y5" i="34"/>
  <c r="Y3" i="31"/>
  <c r="Y2" i="31" s="1"/>
  <c r="Y311" i="31" s="1"/>
  <c r="Z3" i="31"/>
  <c r="Z2" i="31" s="1"/>
  <c r="Z311" i="31" s="1"/>
  <c r="Z5" i="34"/>
  <c r="V3" i="31"/>
  <c r="V2" i="31" s="1"/>
  <c r="V311" i="31" s="1"/>
  <c r="W3" i="31"/>
  <c r="W2" i="31" s="1"/>
  <c r="W311" i="31" s="1"/>
  <c r="U3" i="31"/>
  <c r="U2" i="31" s="1"/>
  <c r="U311" i="31" s="1"/>
  <c r="K8" i="48" s="1"/>
  <c r="AC4" i="31"/>
  <c r="X5" i="34"/>
  <c r="T3" i="31"/>
  <c r="T2" i="31" s="1"/>
  <c r="T311" i="31" s="1"/>
  <c r="J8" i="48" s="1"/>
  <c r="AE7" i="34"/>
  <c r="W5" i="34"/>
  <c r="AC8" i="34"/>
  <c r="AC7" i="34"/>
  <c r="U5" i="34"/>
  <c r="AE8" i="34"/>
  <c r="AC200" i="31"/>
  <c r="AE36" i="34"/>
  <c r="O35" i="33"/>
  <c r="O34" i="33"/>
  <c r="M13" i="3"/>
  <c r="H15" i="5"/>
  <c r="I15" i="5" s="1"/>
  <c r="X6" i="5"/>
  <c r="W6" i="5"/>
  <c r="V6" i="5"/>
  <c r="U6" i="5"/>
  <c r="T6" i="5"/>
  <c r="X10" i="5"/>
  <c r="W10" i="5"/>
  <c r="V10" i="5"/>
  <c r="U10" i="5"/>
  <c r="T10" i="5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H12" i="5" l="1"/>
  <c r="I12" i="5" s="1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AH10" i="28" l="1"/>
  <c r="BX10" i="28"/>
  <c r="AG10" i="28"/>
  <c r="AI10" i="28"/>
  <c r="AF10" i="28"/>
  <c r="AE10" i="28"/>
  <c r="O32" i="33"/>
  <c r="P172" i="31"/>
  <c r="P164" i="31"/>
  <c r="P85" i="31"/>
  <c r="AE201" i="31" l="1"/>
  <c r="AE202" i="31"/>
  <c r="P153" i="31"/>
  <c r="P71" i="31"/>
  <c r="P103" i="31"/>
  <c r="P175" i="31"/>
  <c r="P171" i="31" s="1"/>
  <c r="P126" i="31"/>
  <c r="P67" i="31"/>
  <c r="P80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2" i="31"/>
  <c r="O164" i="31"/>
  <c r="O85" i="31"/>
  <c r="F11" i="3"/>
  <c r="F8" i="3"/>
  <c r="F7" i="3"/>
  <c r="F5" i="3"/>
  <c r="D5" i="3"/>
  <c r="F4" i="3"/>
  <c r="AE205" i="31"/>
  <c r="AA164" i="31"/>
  <c r="N164" i="31"/>
  <c r="M164" i="31"/>
  <c r="L164" i="31"/>
  <c r="K164" i="31"/>
  <c r="J164" i="31"/>
  <c r="I164" i="31"/>
  <c r="H164" i="31"/>
  <c r="G164" i="31"/>
  <c r="F164" i="31"/>
  <c r="E164" i="31"/>
  <c r="AA85" i="31"/>
  <c r="N85" i="31"/>
  <c r="M85" i="31"/>
  <c r="L85" i="31"/>
  <c r="K85" i="31"/>
  <c r="J85" i="31"/>
  <c r="I85" i="31"/>
  <c r="H85" i="31"/>
  <c r="G85" i="31"/>
  <c r="F85" i="31"/>
  <c r="E85" i="31"/>
  <c r="AE221" i="31"/>
  <c r="AE196" i="31"/>
  <c r="AE195" i="31"/>
  <c r="AE174" i="31"/>
  <c r="AE173" i="31"/>
  <c r="AA172" i="31"/>
  <c r="N172" i="31"/>
  <c r="M172" i="31"/>
  <c r="L172" i="31"/>
  <c r="K172" i="31"/>
  <c r="J172" i="31"/>
  <c r="I172" i="31"/>
  <c r="H172" i="31"/>
  <c r="G172" i="31"/>
  <c r="F172" i="31"/>
  <c r="E172" i="31"/>
  <c r="E50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AC37" i="34" l="1"/>
  <c r="AC172" i="31"/>
  <c r="P170" i="31" a="1"/>
  <c r="P170" i="31" s="1"/>
  <c r="P32" i="31" s="1"/>
  <c r="AZ10" i="28"/>
  <c r="S215" i="31" a="1"/>
  <c r="S215" i="31" s="1"/>
  <c r="S207" i="31" a="1"/>
  <c r="S207" i="31" s="1"/>
  <c r="S216" i="31" a="1"/>
  <c r="S216" i="31" s="1"/>
  <c r="S220" i="31" a="1"/>
  <c r="S220" i="31" s="1"/>
  <c r="S214" i="31" a="1"/>
  <c r="S214" i="31" s="1"/>
  <c r="S213" i="31" a="1"/>
  <c r="S213" i="31" s="1"/>
  <c r="S219" i="31" a="1"/>
  <c r="S219" i="31" s="1"/>
  <c r="S212" i="31" a="1"/>
  <c r="S212" i="31" s="1"/>
  <c r="S217" i="31" a="1"/>
  <c r="S217" i="31" s="1"/>
  <c r="S209" i="31" a="1"/>
  <c r="S209" i="31" s="1"/>
  <c r="S218" i="31" a="1"/>
  <c r="S218" i="31" s="1"/>
  <c r="S211" i="31" a="1"/>
  <c r="S211" i="31" s="1"/>
  <c r="S208" i="31" a="1"/>
  <c r="S208" i="31" s="1"/>
  <c r="AJ8" i="28"/>
  <c r="N8" i="28"/>
  <c r="CB8" i="28"/>
  <c r="CN8" i="28"/>
  <c r="R218" i="31" a="1"/>
  <c r="R218" i="31" s="1"/>
  <c r="R213" i="31" a="1"/>
  <c r="R213" i="31" s="1"/>
  <c r="R212" i="31" a="1"/>
  <c r="R212" i="31" s="1"/>
  <c r="R217" i="31" a="1"/>
  <c r="R217" i="31" s="1"/>
  <c r="R211" i="31" a="1"/>
  <c r="R211" i="31" s="1"/>
  <c r="R216" i="31" a="1"/>
  <c r="R216" i="31" s="1"/>
  <c r="R215" i="31" a="1"/>
  <c r="R215" i="31" s="1"/>
  <c r="R209" i="31" a="1"/>
  <c r="R209" i="31" s="1"/>
  <c r="R220" i="31" a="1"/>
  <c r="R220" i="31" s="1"/>
  <c r="R208" i="31" a="1"/>
  <c r="R208" i="31" s="1"/>
  <c r="R219" i="31" a="1"/>
  <c r="R219" i="31" s="1"/>
  <c r="R214" i="31" a="1"/>
  <c r="R214" i="31" s="1"/>
  <c r="R207" i="31" a="1"/>
  <c r="R207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1" i="31" a="1"/>
  <c r="O211" i="31" s="1"/>
  <c r="G211" i="31" a="1"/>
  <c r="G211" i="31" s="1"/>
  <c r="N211" i="31" a="1"/>
  <c r="N211" i="31" s="1"/>
  <c r="F211" i="31" a="1"/>
  <c r="F211" i="31" s="1"/>
  <c r="M211" i="31" a="1"/>
  <c r="M211" i="31" s="1"/>
  <c r="E211" i="31" a="1"/>
  <c r="E211" i="31" s="1"/>
  <c r="D211" i="31" a="1"/>
  <c r="D211" i="31" s="1"/>
  <c r="L211" i="31" a="1"/>
  <c r="L211" i="31" s="1"/>
  <c r="J211" i="31" a="1"/>
  <c r="J211" i="31" s="1"/>
  <c r="K211" i="31" a="1"/>
  <c r="K211" i="31" s="1"/>
  <c r="P211" i="31" a="1"/>
  <c r="P211" i="31" s="1"/>
  <c r="Q211" i="31" a="1"/>
  <c r="Q211" i="31" s="1"/>
  <c r="I211" i="31" a="1"/>
  <c r="I211" i="31" s="1"/>
  <c r="H211" i="31" a="1"/>
  <c r="H211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14" i="30" a="1"/>
  <c r="J14" i="30" s="1"/>
  <c r="S2" i="30" s="1"/>
  <c r="S1" i="30" s="1" a="1"/>
  <c r="S1" i="30" s="1"/>
  <c r="H14" i="30" a="1"/>
  <c r="H14" i="30" s="1"/>
  <c r="C14" i="30" a="1"/>
  <c r="C14" i="30" s="1"/>
  <c r="B14" i="30" a="1"/>
  <c r="B14" i="30" s="1"/>
  <c r="Q220" i="31" a="1"/>
  <c r="Q220" i="31" s="1"/>
  <c r="Q219" i="31" a="1"/>
  <c r="Q219" i="31" s="1"/>
  <c r="Q214" i="31" a="1"/>
  <c r="Q214" i="31" s="1"/>
  <c r="Q218" i="31" a="1"/>
  <c r="Q218" i="31" s="1"/>
  <c r="Q213" i="31" a="1"/>
  <c r="Q213" i="31" s="1"/>
  <c r="Q217" i="31" a="1"/>
  <c r="Q217" i="31" s="1"/>
  <c r="Q212" i="31" a="1"/>
  <c r="Q212" i="31" s="1"/>
  <c r="Q209" i="31" a="1"/>
  <c r="Q209" i="31" s="1"/>
  <c r="Q216" i="31" a="1"/>
  <c r="Q216" i="31" s="1"/>
  <c r="Q208" i="31" a="1"/>
  <c r="Q208" i="31" s="1"/>
  <c r="Q207" i="31" a="1"/>
  <c r="Q207" i="31" s="1"/>
  <c r="Q215" i="31" a="1"/>
  <c r="Q215" i="31" s="1"/>
  <c r="F207" i="31" a="1"/>
  <c r="F207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5" i="31" a="1"/>
  <c r="O215" i="31" s="1"/>
  <c r="P220" i="31" a="1"/>
  <c r="P220" i="31" s="1"/>
  <c r="P219" i="31" a="1"/>
  <c r="P219" i="31" s="1"/>
  <c r="P213" i="31" a="1"/>
  <c r="P213" i="31" s="1"/>
  <c r="P218" i="31" a="1"/>
  <c r="P218" i="31" s="1"/>
  <c r="P212" i="31" a="1"/>
  <c r="P212" i="31" s="1"/>
  <c r="P209" i="31" a="1"/>
  <c r="P209" i="31" s="1"/>
  <c r="P217" i="31" a="1"/>
  <c r="P217" i="31" s="1"/>
  <c r="P208" i="31" a="1"/>
  <c r="P208" i="31" s="1"/>
  <c r="P216" i="31" a="1"/>
  <c r="P216" i="31" s="1"/>
  <c r="P215" i="31" a="1"/>
  <c r="P215" i="31" s="1"/>
  <c r="P207" i="31" a="1"/>
  <c r="P207" i="31" s="1"/>
  <c r="P214" i="31" a="1"/>
  <c r="P214" i="31" s="1"/>
  <c r="H175" i="31"/>
  <c r="H171" i="31" s="1"/>
  <c r="D175" i="31"/>
  <c r="L175" i="31"/>
  <c r="L171" i="31" s="1"/>
  <c r="M175" i="31"/>
  <c r="M171" i="31" s="1"/>
  <c r="K207" i="31" a="1"/>
  <c r="K207" i="31" s="1"/>
  <c r="G208" i="31" a="1"/>
  <c r="G208" i="31" s="1"/>
  <c r="K209" i="31" a="1"/>
  <c r="K209" i="31" s="1"/>
  <c r="G212" i="31" a="1"/>
  <c r="G212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O216" i="31" a="1"/>
  <c r="O216" i="31" s="1"/>
  <c r="D207" i="31" a="1"/>
  <c r="D207" i="31" s="1"/>
  <c r="L207" i="31" a="1"/>
  <c r="L207" i="31" s="1"/>
  <c r="H208" i="31" a="1"/>
  <c r="H208" i="31" s="1"/>
  <c r="D209" i="31" a="1"/>
  <c r="D209" i="31" s="1"/>
  <c r="L209" i="31" a="1"/>
  <c r="L209" i="31" s="1"/>
  <c r="H212" i="31" a="1"/>
  <c r="H212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O207" i="31" a="1"/>
  <c r="O207" i="31" s="1"/>
  <c r="O217" i="31" a="1"/>
  <c r="O217" i="31" s="1"/>
  <c r="E207" i="31" a="1"/>
  <c r="E207" i="31" s="1"/>
  <c r="M207" i="31" a="1"/>
  <c r="M207" i="31" s="1"/>
  <c r="I208" i="31" a="1"/>
  <c r="I208" i="31" s="1"/>
  <c r="E209" i="31" a="1"/>
  <c r="E209" i="31" s="1"/>
  <c r="M209" i="31" a="1"/>
  <c r="M209" i="31" s="1"/>
  <c r="I212" i="31" a="1"/>
  <c r="I212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O208" i="31" a="1"/>
  <c r="O208" i="31" s="1"/>
  <c r="O218" i="31" a="1"/>
  <c r="O218" i="31" s="1"/>
  <c r="N207" i="31" a="1"/>
  <c r="N207" i="31" s="1"/>
  <c r="J208" i="31" a="1"/>
  <c r="J208" i="31" s="1"/>
  <c r="F209" i="31" a="1"/>
  <c r="F209" i="31" s="1"/>
  <c r="N209" i="31" a="1"/>
  <c r="N209" i="31" s="1"/>
  <c r="J212" i="31" a="1"/>
  <c r="J212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O209" i="31" a="1"/>
  <c r="O209" i="31" s="1"/>
  <c r="O219" i="31" a="1"/>
  <c r="O219" i="31" s="1"/>
  <c r="G207" i="31" a="1"/>
  <c r="G207" i="31" s="1"/>
  <c r="K208" i="31" a="1"/>
  <c r="K208" i="31" s="1"/>
  <c r="G209" i="31" a="1"/>
  <c r="G209" i="31" s="1"/>
  <c r="K212" i="31" a="1"/>
  <c r="K212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O212" i="31" a="1"/>
  <c r="O212" i="31" s="1"/>
  <c r="O220" i="31" a="1"/>
  <c r="O220" i="31" s="1"/>
  <c r="H207" i="31" a="1"/>
  <c r="H207" i="31" s="1"/>
  <c r="D208" i="31" a="1"/>
  <c r="D208" i="31" s="1"/>
  <c r="L208" i="31" a="1"/>
  <c r="L208" i="31" s="1"/>
  <c r="H209" i="31" a="1"/>
  <c r="H209" i="31" s="1"/>
  <c r="D212" i="31" a="1"/>
  <c r="D212" i="31" s="1"/>
  <c r="L212" i="31" a="1"/>
  <c r="L212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O213" i="31" a="1"/>
  <c r="O213" i="31" s="1"/>
  <c r="I207" i="31" a="1"/>
  <c r="I207" i="31" s="1"/>
  <c r="E208" i="31" a="1"/>
  <c r="E208" i="31" s="1"/>
  <c r="M208" i="31" a="1"/>
  <c r="M208" i="31" s="1"/>
  <c r="I209" i="31" a="1"/>
  <c r="I209" i="31" s="1"/>
  <c r="E212" i="31" a="1"/>
  <c r="E212" i="31" s="1"/>
  <c r="M212" i="31" a="1"/>
  <c r="M212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O214" i="31" a="1"/>
  <c r="O214" i="31" s="1"/>
  <c r="J207" i="31" a="1"/>
  <c r="J207" i="31" s="1"/>
  <c r="F208" i="31" a="1"/>
  <c r="F208" i="31" s="1"/>
  <c r="N208" i="31" a="1"/>
  <c r="N208" i="31" s="1"/>
  <c r="J209" i="31" a="1"/>
  <c r="J209" i="31" s="1"/>
  <c r="F212" i="31" a="1"/>
  <c r="F212" i="31" s="1"/>
  <c r="N212" i="31" a="1"/>
  <c r="N212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H67" i="31"/>
  <c r="I67" i="31"/>
  <c r="L67" i="31"/>
  <c r="I175" i="31"/>
  <c r="I171" i="31" s="1"/>
  <c r="F175" i="31"/>
  <c r="F171" i="31" s="1"/>
  <c r="O67" i="31"/>
  <c r="O175" i="31"/>
  <c r="O171" i="31" s="1"/>
  <c r="N175" i="31"/>
  <c r="N171" i="31" s="1"/>
  <c r="K153" i="31"/>
  <c r="G153" i="31"/>
  <c r="G175" i="31"/>
  <c r="G171" i="31" s="1"/>
  <c r="AA175" i="31"/>
  <c r="AA171" i="31" s="1"/>
  <c r="K175" i="31"/>
  <c r="K171" i="31" s="1"/>
  <c r="O80" i="31"/>
  <c r="O126" i="31"/>
  <c r="O103" i="31"/>
  <c r="O153" i="31"/>
  <c r="O71" i="31"/>
  <c r="M67" i="31"/>
  <c r="D80" i="31"/>
  <c r="L80" i="31"/>
  <c r="AE140" i="31"/>
  <c r="AE114" i="31"/>
  <c r="H103" i="31"/>
  <c r="AE117" i="31"/>
  <c r="AE115" i="31"/>
  <c r="AE133" i="31"/>
  <c r="AE144" i="31"/>
  <c r="AE157" i="31"/>
  <c r="AE234" i="31"/>
  <c r="E71" i="31"/>
  <c r="AE155" i="31"/>
  <c r="AE160" i="31"/>
  <c r="AE161" i="31"/>
  <c r="AE163" i="31"/>
  <c r="AE159" i="31"/>
  <c r="E175" i="31"/>
  <c r="E171" i="31" s="1"/>
  <c r="AE186" i="31"/>
  <c r="AE191" i="31"/>
  <c r="AE236" i="31"/>
  <c r="AE119" i="31"/>
  <c r="I103" i="31"/>
  <c r="AA126" i="31"/>
  <c r="K67" i="31"/>
  <c r="J153" i="31"/>
  <c r="H153" i="31"/>
  <c r="AE231" i="31"/>
  <c r="I71" i="31"/>
  <c r="L153" i="31"/>
  <c r="I153" i="31"/>
  <c r="F153" i="31"/>
  <c r="AE156" i="31"/>
  <c r="N153" i="31"/>
  <c r="E153" i="31"/>
  <c r="AE60" i="31"/>
  <c r="AE106" i="31"/>
  <c r="AE102" i="31"/>
  <c r="AE230" i="31"/>
  <c r="H80" i="31"/>
  <c r="AE112" i="31"/>
  <c r="AE147" i="31"/>
  <c r="E80" i="31"/>
  <c r="G126" i="31"/>
  <c r="AE149" i="31"/>
  <c r="AE150" i="31"/>
  <c r="AE111" i="31"/>
  <c r="M71" i="31"/>
  <c r="AA80" i="31"/>
  <c r="K103" i="31"/>
  <c r="H71" i="31"/>
  <c r="N71" i="31"/>
  <c r="AE75" i="31"/>
  <c r="J67" i="31"/>
  <c r="AE69" i="31"/>
  <c r="I80" i="31"/>
  <c r="L103" i="31"/>
  <c r="K126" i="31"/>
  <c r="M126" i="31"/>
  <c r="AE148" i="31"/>
  <c r="E126" i="31"/>
  <c r="AE73" i="31"/>
  <c r="J80" i="31"/>
  <c r="G103" i="31"/>
  <c r="M103" i="31"/>
  <c r="H126" i="31"/>
  <c r="J126" i="31"/>
  <c r="AE129" i="31"/>
  <c r="L126" i="31"/>
  <c r="AE98" i="31"/>
  <c r="J175" i="31"/>
  <c r="J171" i="31" s="1"/>
  <c r="AE179" i="31"/>
  <c r="AE183" i="31"/>
  <c r="AE187" i="31"/>
  <c r="AE189" i="31"/>
  <c r="AE190" i="31"/>
  <c r="AE235" i="31"/>
  <c r="AE227" i="31"/>
  <c r="M80" i="31"/>
  <c r="AE107" i="31"/>
  <c r="I126" i="31"/>
  <c r="AE93" i="31"/>
  <c r="AE232" i="31"/>
  <c r="AA103" i="31"/>
  <c r="AA71" i="31"/>
  <c r="N126" i="31"/>
  <c r="AE35" i="31"/>
  <c r="AE74" i="31"/>
  <c r="AE53" i="31"/>
  <c r="K80" i="31"/>
  <c r="N103" i="31"/>
  <c r="J71" i="31"/>
  <c r="K71" i="31"/>
  <c r="AE57" i="31"/>
  <c r="F67" i="31"/>
  <c r="AE104" i="31"/>
  <c r="J103" i="31"/>
  <c r="AE145" i="31"/>
  <c r="AE41" i="31"/>
  <c r="L71" i="31"/>
  <c r="G67" i="31"/>
  <c r="N67" i="31"/>
  <c r="AE70" i="31"/>
  <c r="F80" i="31"/>
  <c r="AE90" i="31"/>
  <c r="AE42" i="31"/>
  <c r="F71" i="31"/>
  <c r="AA67" i="31"/>
  <c r="G80" i="31"/>
  <c r="N80" i="31"/>
  <c r="AE40" i="31"/>
  <c r="G71" i="31"/>
  <c r="E103" i="31"/>
  <c r="AE82" i="31"/>
  <c r="F103" i="31"/>
  <c r="F126" i="31"/>
  <c r="E67" i="31"/>
  <c r="AE128" i="31"/>
  <c r="AA24" i="31"/>
  <c r="AE34" i="31"/>
  <c r="AE37" i="31"/>
  <c r="AE55" i="31"/>
  <c r="AE61" i="31"/>
  <c r="AE62" i="31"/>
  <c r="AE63" i="31"/>
  <c r="AE36" i="31"/>
  <c r="AE72" i="31"/>
  <c r="D71" i="31"/>
  <c r="AE77" i="31"/>
  <c r="AE58" i="31"/>
  <c r="AE86" i="31"/>
  <c r="D85" i="31"/>
  <c r="AC85" i="31" s="1"/>
  <c r="AE68" i="31"/>
  <c r="AE52" i="31"/>
  <c r="AE76" i="31"/>
  <c r="AE65" i="31"/>
  <c r="AE38" i="31"/>
  <c r="AE64" i="31"/>
  <c r="AE39" i="31"/>
  <c r="AE78" i="31"/>
  <c r="AE59" i="31"/>
  <c r="AE84" i="31"/>
  <c r="D126" i="31"/>
  <c r="AE127" i="31"/>
  <c r="AE134" i="31"/>
  <c r="AE137" i="31"/>
  <c r="AE138" i="31"/>
  <c r="AE135" i="31"/>
  <c r="D103" i="31"/>
  <c r="AE105" i="31"/>
  <c r="AE141" i="31"/>
  <c r="AE110" i="31"/>
  <c r="AE130" i="31"/>
  <c r="D67" i="31"/>
  <c r="AE109" i="31"/>
  <c r="AE132" i="31"/>
  <c r="AE81" i="31"/>
  <c r="AE131" i="31"/>
  <c r="AE136" i="31"/>
  <c r="AE83" i="31"/>
  <c r="AE113" i="31"/>
  <c r="AE108" i="31"/>
  <c r="AE139" i="31"/>
  <c r="AE143" i="31"/>
  <c r="AE96" i="31"/>
  <c r="AE118" i="31"/>
  <c r="AA153" i="31"/>
  <c r="AE99" i="31"/>
  <c r="AE101" i="31"/>
  <c r="AE154" i="31"/>
  <c r="D153" i="31"/>
  <c r="AE89" i="31"/>
  <c r="AE91" i="31"/>
  <c r="AE120" i="31"/>
  <c r="D164" i="31"/>
  <c r="AC164" i="31" s="1"/>
  <c r="AE165" i="31"/>
  <c r="AE88" i="31"/>
  <c r="AE92" i="31"/>
  <c r="M153" i="31"/>
  <c r="AE151" i="31"/>
  <c r="AE95" i="31"/>
  <c r="AE158" i="31"/>
  <c r="AE162" i="31"/>
  <c r="AE180" i="31"/>
  <c r="AE146" i="31"/>
  <c r="AE142" i="31"/>
  <c r="AE97" i="31"/>
  <c r="AE172" i="31"/>
  <c r="AE225" i="31"/>
  <c r="AE224" i="31"/>
  <c r="AE184" i="31"/>
  <c r="AE182" i="31"/>
  <c r="AE193" i="31"/>
  <c r="AE245" i="31"/>
  <c r="AE177" i="31"/>
  <c r="AE233" i="31"/>
  <c r="AE226" i="31"/>
  <c r="AE178" i="31"/>
  <c r="AE228" i="31"/>
  <c r="AE237" i="31"/>
  <c r="AE181" i="31"/>
  <c r="AE185" i="31"/>
  <c r="AE188" i="31"/>
  <c r="AE229" i="31"/>
  <c r="AE203" i="31"/>
  <c r="L14" i="30"/>
  <c r="L18" i="30"/>
  <c r="L22" i="30"/>
  <c r="L26" i="30"/>
  <c r="L30" i="30"/>
  <c r="L36" i="30"/>
  <c r="L38" i="30"/>
  <c r="L42" i="30"/>
  <c r="L46" i="30"/>
  <c r="L48" i="30"/>
  <c r="L53" i="30"/>
  <c r="L61" i="30"/>
  <c r="L69" i="30"/>
  <c r="L77" i="30"/>
  <c r="L81" i="30"/>
  <c r="E14" i="30"/>
  <c r="F54" i="30" s="1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E47" i="30"/>
  <c r="E49" i="30"/>
  <c r="E51" i="30"/>
  <c r="L54" i="30"/>
  <c r="L58" i="30"/>
  <c r="L62" i="30"/>
  <c r="L66" i="30"/>
  <c r="L70" i="30"/>
  <c r="L74" i="30"/>
  <c r="L78" i="30"/>
  <c r="L82" i="30"/>
  <c r="L86" i="30"/>
  <c r="L16" i="30"/>
  <c r="L20" i="30"/>
  <c r="L24" i="30"/>
  <c r="L28" i="30"/>
  <c r="L32" i="30"/>
  <c r="L34" i="30"/>
  <c r="L40" i="30"/>
  <c r="L44" i="30"/>
  <c r="L50" i="30"/>
  <c r="L57" i="30"/>
  <c r="L65" i="30"/>
  <c r="L73" i="30"/>
  <c r="L85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7" i="30"/>
  <c r="L49" i="30"/>
  <c r="L51" i="30"/>
  <c r="L55" i="30"/>
  <c r="L59" i="30"/>
  <c r="L63" i="30"/>
  <c r="L67" i="30"/>
  <c r="L71" i="30"/>
  <c r="L75" i="30"/>
  <c r="L79" i="30"/>
  <c r="L83" i="30"/>
  <c r="L87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E44" i="30"/>
  <c r="E46" i="30"/>
  <c r="E48" i="30"/>
  <c r="L52" i="30"/>
  <c r="L56" i="30"/>
  <c r="L60" i="30"/>
  <c r="L64" i="30"/>
  <c r="L68" i="30"/>
  <c r="L72" i="30"/>
  <c r="L76" i="30"/>
  <c r="L80" i="30"/>
  <c r="L84" i="30"/>
  <c r="L88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AC216" i="31" l="1"/>
  <c r="M101" i="30"/>
  <c r="M100" i="30"/>
  <c r="AC220" i="31"/>
  <c r="AC215" i="31"/>
  <c r="AC211" i="31"/>
  <c r="AC208" i="31"/>
  <c r="AC214" i="31"/>
  <c r="AC207" i="31"/>
  <c r="AC219" i="31"/>
  <c r="AC218" i="31"/>
  <c r="AC213" i="31"/>
  <c r="AC212" i="31"/>
  <c r="AC209" i="31"/>
  <c r="AC217" i="31"/>
  <c r="AC80" i="31"/>
  <c r="AC71" i="31"/>
  <c r="AC126" i="31"/>
  <c r="AC103" i="31"/>
  <c r="AC175" i="31"/>
  <c r="AC153" i="31"/>
  <c r="AC67" i="31"/>
  <c r="AE164" i="31"/>
  <c r="AE85" i="31"/>
  <c r="N170" i="31" a="1"/>
  <c r="N170" i="31" s="1"/>
  <c r="N32" i="31" s="1"/>
  <c r="M170" i="31" a="1"/>
  <c r="M170" i="31" s="1"/>
  <c r="M32" i="31" s="1"/>
  <c r="E170" i="31" a="1"/>
  <c r="E170" i="31" s="1"/>
  <c r="E32" i="31" s="1"/>
  <c r="K170" i="31" a="1"/>
  <c r="K170" i="31" s="1"/>
  <c r="K32" i="31" s="1"/>
  <c r="H170" i="31" a="1"/>
  <c r="H170" i="31" s="1"/>
  <c r="H32" i="31" s="1"/>
  <c r="O170" i="31" a="1"/>
  <c r="O170" i="31" s="1"/>
  <c r="O32" i="31" s="1"/>
  <c r="J170" i="31" a="1"/>
  <c r="J170" i="31" s="1"/>
  <c r="J32" i="31" s="1"/>
  <c r="AA170" i="31" a="1"/>
  <c r="AA170" i="31" s="1"/>
  <c r="AA32" i="31" s="1"/>
  <c r="F170" i="31" a="1"/>
  <c r="F170" i="31" s="1"/>
  <c r="F32" i="31" s="1"/>
  <c r="L170" i="31" a="1"/>
  <c r="L170" i="31" s="1"/>
  <c r="L32" i="31" s="1"/>
  <c r="G170" i="31" a="1"/>
  <c r="G170" i="31" s="1"/>
  <c r="G32" i="31" s="1"/>
  <c r="I170" i="31" a="1"/>
  <c r="I170" i="31" s="1"/>
  <c r="I32" i="31" s="1"/>
  <c r="D170" i="31" a="1"/>
  <c r="D170" i="31" s="1"/>
  <c r="S206" i="31"/>
  <c r="S199" i="31" s="1"/>
  <c r="S198" i="31" s="1"/>
  <c r="S197" i="31" s="1"/>
  <c r="M102" i="30"/>
  <c r="M96" i="30"/>
  <c r="M97" i="30"/>
  <c r="M99" i="30"/>
  <c r="M98" i="30"/>
  <c r="R206" i="31"/>
  <c r="R199" i="31" s="1"/>
  <c r="R198" i="31" s="1"/>
  <c r="R197" i="31" s="1"/>
  <c r="AE211" i="31"/>
  <c r="AE37" i="34"/>
  <c r="D35" i="34"/>
  <c r="AC35" i="34" s="1"/>
  <c r="H206" i="31"/>
  <c r="H199" i="31" s="1"/>
  <c r="H198" i="31" s="1"/>
  <c r="H197" i="31" s="1"/>
  <c r="L206" i="31"/>
  <c r="L199" i="31" s="1"/>
  <c r="L198" i="31" s="1"/>
  <c r="L197" i="31" s="1"/>
  <c r="AA206" i="31"/>
  <c r="AA199" i="31" s="1"/>
  <c r="AA198" i="31" s="1"/>
  <c r="AA197" i="31" s="1"/>
  <c r="N206" i="31"/>
  <c r="N199" i="31" s="1"/>
  <c r="N198" i="31" s="1"/>
  <c r="N197" i="31" s="1"/>
  <c r="D206" i="31"/>
  <c r="Q206" i="31"/>
  <c r="Q199" i="31" s="1"/>
  <c r="Q198" i="31" s="1"/>
  <c r="Q197" i="31" s="1"/>
  <c r="J206" i="31"/>
  <c r="J199" i="31" s="1"/>
  <c r="J198" i="31" s="1"/>
  <c r="J197" i="31" s="1"/>
  <c r="O206" i="31"/>
  <c r="O199" i="31" s="1"/>
  <c r="O198" i="31" s="1"/>
  <c r="O197" i="31" s="1"/>
  <c r="M206" i="31"/>
  <c r="M199" i="31" s="1"/>
  <c r="M198" i="31" s="1"/>
  <c r="M197" i="31" s="1"/>
  <c r="P206" i="31"/>
  <c r="P199" i="31" s="1"/>
  <c r="P198" i="31" s="1"/>
  <c r="P197" i="31" s="1"/>
  <c r="I206" i="31"/>
  <c r="I199" i="31" s="1"/>
  <c r="I198" i="31" s="1"/>
  <c r="I197" i="31" s="1"/>
  <c r="E206" i="31"/>
  <c r="E199" i="31" s="1"/>
  <c r="E198" i="31" s="1"/>
  <c r="E197" i="31" s="1"/>
  <c r="F206" i="31"/>
  <c r="F199" i="31" s="1"/>
  <c r="F198" i="31" s="1"/>
  <c r="F197" i="31" s="1"/>
  <c r="G206" i="31"/>
  <c r="G199" i="31" s="1"/>
  <c r="G198" i="31" s="1"/>
  <c r="G197" i="31" s="1"/>
  <c r="K206" i="31"/>
  <c r="K199" i="31" s="1"/>
  <c r="K198" i="31" s="1"/>
  <c r="K197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95" i="30"/>
  <c r="M91" i="30"/>
  <c r="M92" i="30"/>
  <c r="M94" i="30"/>
  <c r="M90" i="30"/>
  <c r="M93" i="30"/>
  <c r="M89" i="30"/>
  <c r="F52" i="30"/>
  <c r="F55" i="30"/>
  <c r="F53" i="30"/>
  <c r="H21" i="5"/>
  <c r="I21" i="5" s="1"/>
  <c r="H9" i="5"/>
  <c r="I9" i="5" s="1"/>
  <c r="AE213" i="31"/>
  <c r="AE215" i="31"/>
  <c r="AE218" i="31"/>
  <c r="AE220" i="31"/>
  <c r="AE209" i="31"/>
  <c r="AE208" i="31"/>
  <c r="AE217" i="31"/>
  <c r="AE214" i="31"/>
  <c r="AE207" i="31"/>
  <c r="AE216" i="31"/>
  <c r="AE212" i="31"/>
  <c r="AE219" i="31"/>
  <c r="AE176" i="31"/>
  <c r="AE87" i="31"/>
  <c r="AE71" i="31"/>
  <c r="AE175" i="31"/>
  <c r="AE67" i="31"/>
  <c r="AE80" i="31"/>
  <c r="AE116" i="31"/>
  <c r="AE126" i="31"/>
  <c r="AE103" i="31"/>
  <c r="AE153" i="31"/>
  <c r="AE33" i="31"/>
  <c r="AE223" i="31"/>
  <c r="AE222" i="31"/>
  <c r="AE51" i="31"/>
  <c r="AE204" i="31"/>
  <c r="D171" i="31"/>
  <c r="AC171" i="31" s="1"/>
  <c r="F50" i="30"/>
  <c r="F48" i="30"/>
  <c r="F46" i="30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51" i="30"/>
  <c r="F49" i="30"/>
  <c r="F47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4" i="30"/>
  <c r="M88" i="30"/>
  <c r="M84" i="30"/>
  <c r="M80" i="30"/>
  <c r="M76" i="30"/>
  <c r="M72" i="30"/>
  <c r="M68" i="30"/>
  <c r="M64" i="30"/>
  <c r="M60" i="30"/>
  <c r="M56" i="30"/>
  <c r="M52" i="30"/>
  <c r="M87" i="30"/>
  <c r="M83" i="30"/>
  <c r="M79" i="30"/>
  <c r="M75" i="30"/>
  <c r="M71" i="30"/>
  <c r="M67" i="30"/>
  <c r="M63" i="30"/>
  <c r="M59" i="30"/>
  <c r="M55" i="30"/>
  <c r="M51" i="30"/>
  <c r="M49" i="30"/>
  <c r="M47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86" i="30"/>
  <c r="M82" i="30"/>
  <c r="M78" i="30"/>
  <c r="M74" i="30"/>
  <c r="M70" i="30"/>
  <c r="M66" i="30"/>
  <c r="M62" i="30"/>
  <c r="M58" i="30"/>
  <c r="M54" i="30"/>
  <c r="M81" i="30"/>
  <c r="M85" i="30"/>
  <c r="M77" i="30"/>
  <c r="M73" i="30"/>
  <c r="M69" i="30"/>
  <c r="M65" i="30"/>
  <c r="M61" i="30"/>
  <c r="M57" i="30"/>
  <c r="M53" i="30"/>
  <c r="M50" i="30"/>
  <c r="M48" i="30"/>
  <c r="M46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X11" i="5"/>
  <c r="V11" i="5"/>
  <c r="W11" i="5"/>
  <c r="U11" i="5"/>
  <c r="T11" i="5"/>
  <c r="X9" i="5"/>
  <c r="V9" i="5"/>
  <c r="W9" i="5"/>
  <c r="U9" i="5"/>
  <c r="T9" i="5"/>
  <c r="X8" i="5"/>
  <c r="V8" i="5"/>
  <c r="W8" i="5"/>
  <c r="U8" i="5"/>
  <c r="T8" i="5"/>
  <c r="X7" i="5"/>
  <c r="V7" i="5"/>
  <c r="W7" i="5"/>
  <c r="U7" i="5"/>
  <c r="T7" i="5"/>
  <c r="X5" i="5"/>
  <c r="V5" i="5"/>
  <c r="W5" i="5"/>
  <c r="U5" i="5"/>
  <c r="T5" i="5"/>
  <c r="H28" i="5" s="1"/>
  <c r="I28" i="5" s="1"/>
  <c r="X4" i="5"/>
  <c r="V4" i="5"/>
  <c r="W4" i="5"/>
  <c r="U4" i="5"/>
  <c r="T4" i="5"/>
  <c r="AC206" i="31" l="1"/>
  <c r="AC170" i="31"/>
  <c r="AE171" i="31"/>
  <c r="D32" i="31"/>
  <c r="AC32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06" i="31"/>
  <c r="AE170" i="31"/>
  <c r="AE200" i="31"/>
  <c r="D199" i="31"/>
  <c r="AC199" i="31" s="1"/>
  <c r="AE32" i="31" l="1"/>
  <c r="AE34" i="34"/>
  <c r="D33" i="34"/>
  <c r="AC33" i="34" s="1"/>
  <c r="AE199" i="31"/>
  <c r="D198" i="31"/>
  <c r="AC198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AE33" i="34" l="1"/>
  <c r="H24" i="5"/>
  <c r="I24" i="5" s="1"/>
  <c r="CN10" i="28"/>
  <c r="CN9" i="28" s="1"/>
  <c r="D197" i="31"/>
  <c r="AC197" i="31" s="1"/>
  <c r="AE198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197" i="31"/>
  <c r="Q5" i="34" l="1"/>
  <c r="I5" i="34"/>
  <c r="P5" i="34"/>
  <c r="H5" i="34"/>
  <c r="O5" i="34"/>
  <c r="G5" i="34"/>
  <c r="K5" i="34"/>
  <c r="J5" i="34"/>
  <c r="N5" i="34"/>
  <c r="F5" i="34"/>
  <c r="AA5" i="34"/>
  <c r="M5" i="34"/>
  <c r="E5" i="34"/>
  <c r="L5" i="34"/>
  <c r="AE9" i="34" l="1"/>
  <c r="D5" i="34"/>
  <c r="AC5" i="34" s="1"/>
  <c r="S22" i="31" l="1"/>
  <c r="S3" i="31" s="1"/>
  <c r="S2" i="31" s="1"/>
  <c r="AA22" i="31"/>
  <c r="AA3" i="31" s="1"/>
  <c r="AA2" i="31" s="1"/>
  <c r="AA311" i="31" s="1"/>
  <c r="H22" i="31"/>
  <c r="R22" i="31"/>
  <c r="R3" i="31" s="1"/>
  <c r="R2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AE5" i="34"/>
  <c r="Q311" i="31" l="1"/>
  <c r="G8" i="48" s="1"/>
  <c r="R311" i="31"/>
  <c r="H8" i="48" s="1"/>
  <c r="S311" i="31"/>
  <c r="I8" i="48" s="1"/>
  <c r="O7" i="33"/>
  <c r="J4" i="33"/>
  <c r="D22" i="31"/>
  <c r="AC22" i="31" s="1"/>
  <c r="AE23" i="31"/>
  <c r="R314" i="31" l="1"/>
  <c r="S314" i="31"/>
  <c r="Q314" i="31"/>
  <c r="BT8" i="28"/>
  <c r="AE22" i="31"/>
  <c r="O4" i="33"/>
  <c r="BT9" i="28"/>
  <c r="AB8" i="28" l="1"/>
  <c r="AB9" i="28"/>
  <c r="O23" i="33" l="1"/>
  <c r="F9" i="33"/>
  <c r="F3" i="33" s="1"/>
  <c r="F45" i="33" s="1"/>
  <c r="I9" i="33"/>
  <c r="I3" i="33" s="1"/>
  <c r="I45" i="33" s="1"/>
  <c r="D9" i="33"/>
  <c r="D3" i="33" s="1"/>
  <c r="D45" i="33" s="1"/>
  <c r="E9" i="33"/>
  <c r="E3" i="33" s="1"/>
  <c r="E45" i="33" s="1"/>
  <c r="K9" i="33"/>
  <c r="K3" i="33" s="1"/>
  <c r="K45" i="33" s="1"/>
  <c r="J9" i="33"/>
  <c r="J3" i="33" s="1"/>
  <c r="J45" i="33" s="1"/>
  <c r="G9" i="33"/>
  <c r="G3" i="33" s="1"/>
  <c r="G45" i="33" s="1"/>
  <c r="M9" i="33"/>
  <c r="M3" i="33" s="1"/>
  <c r="M45" i="33" s="1"/>
  <c r="L9" i="33"/>
  <c r="L3" i="33" s="1"/>
  <c r="L45" i="33" s="1"/>
  <c r="C9" i="33"/>
  <c r="H9" i="33"/>
  <c r="H3" i="33" s="1"/>
  <c r="H45" i="33" s="1"/>
  <c r="O9" i="33" l="1"/>
  <c r="C3" i="33"/>
  <c r="O3" i="33" s="1"/>
  <c r="C45" i="33" l="1"/>
  <c r="AB10" i="28"/>
  <c r="G6" i="3" s="1"/>
  <c r="BT10" i="28"/>
  <c r="G10" i="3" s="1"/>
  <c r="O45" i="33" l="1"/>
  <c r="J47" i="33"/>
  <c r="F47" i="33"/>
  <c r="M47" i="33"/>
  <c r="K47" i="33"/>
  <c r="H47" i="33"/>
  <c r="E47" i="33"/>
  <c r="D47" i="33"/>
  <c r="C47" i="33"/>
  <c r="G47" i="33"/>
  <c r="I47" i="33"/>
  <c r="L47" i="33"/>
  <c r="AK9" i="28"/>
  <c r="I7" i="3" s="1"/>
  <c r="G5" i="3"/>
  <c r="N24" i="31"/>
  <c r="CO9" i="28"/>
  <c r="I12" i="3" s="1"/>
  <c r="AA8" i="28"/>
  <c r="AE5" i="31"/>
  <c r="G10" i="31"/>
  <c r="O10" i="31"/>
  <c r="K24" i="31"/>
  <c r="K10" i="31"/>
  <c r="M10" i="31"/>
  <c r="AE9" i="31"/>
  <c r="M24" i="31"/>
  <c r="G7" i="3"/>
  <c r="CC8" i="28"/>
  <c r="AE6" i="31"/>
  <c r="BJ8" i="28"/>
  <c r="O24" i="31"/>
  <c r="AE19" i="31"/>
  <c r="G8" i="28"/>
  <c r="BI8" i="28"/>
  <c r="H9" i="3" s="1"/>
  <c r="AC8" i="28"/>
  <c r="E10" i="31"/>
  <c r="BK8" i="28"/>
  <c r="CP8" i="28"/>
  <c r="AE26" i="31"/>
  <c r="H10" i="31"/>
  <c r="AE13" i="31"/>
  <c r="AK8" i="28"/>
  <c r="BK9" i="28"/>
  <c r="CG9" i="28"/>
  <c r="AE25" i="31"/>
  <c r="D24" i="31"/>
  <c r="BS9" i="28"/>
  <c r="I10" i="3" s="1"/>
  <c r="AX8" i="28"/>
  <c r="C8" i="3" s="1"/>
  <c r="C8" i="28"/>
  <c r="H4" i="3" s="1"/>
  <c r="S8" i="28"/>
  <c r="AE29" i="31"/>
  <c r="AE21" i="31"/>
  <c r="CC9" i="28"/>
  <c r="I11" i="3" s="1"/>
  <c r="P24" i="31"/>
  <c r="S9" i="28"/>
  <c r="AE12" i="31"/>
  <c r="CE8" i="28"/>
  <c r="CE10" i="28" s="1"/>
  <c r="L24" i="31"/>
  <c r="AE17" i="31"/>
  <c r="H24" i="31"/>
  <c r="AE27" i="31"/>
  <c r="CG8" i="28"/>
  <c r="G24" i="31"/>
  <c r="G12" i="3"/>
  <c r="AO9" i="28"/>
  <c r="AE15" i="31"/>
  <c r="G9" i="28"/>
  <c r="AC9" i="28"/>
  <c r="CD8" i="28"/>
  <c r="C11" i="3" s="1"/>
  <c r="AE8" i="31"/>
  <c r="AE28" i="31"/>
  <c r="L10" i="31"/>
  <c r="CO8" i="28"/>
  <c r="CS9" i="28"/>
  <c r="AE20" i="31"/>
  <c r="AE16" i="31"/>
  <c r="BU8" i="28"/>
  <c r="BI9" i="28"/>
  <c r="I9" i="3" s="1"/>
  <c r="E8" i="28"/>
  <c r="G4" i="3"/>
  <c r="N10" i="31"/>
  <c r="AA9" i="28"/>
  <c r="I6" i="3" s="1"/>
  <c r="BU9" i="28"/>
  <c r="E24" i="31"/>
  <c r="J24" i="31"/>
  <c r="AE7" i="31"/>
  <c r="BS8" i="28"/>
  <c r="AM8" i="28"/>
  <c r="E7" i="3" s="1"/>
  <c r="AY8" i="28"/>
  <c r="AY10" i="28" s="1"/>
  <c r="F24" i="31"/>
  <c r="I10" i="31"/>
  <c r="C9" i="28"/>
  <c r="I4" i="3" s="1"/>
  <c r="AL8" i="28"/>
  <c r="C7" i="3" s="1"/>
  <c r="I24" i="31"/>
  <c r="AW9" i="28"/>
  <c r="I8" i="3" s="1"/>
  <c r="G11" i="3"/>
  <c r="Q8" i="28"/>
  <c r="G8" i="3"/>
  <c r="F10" i="31"/>
  <c r="O8" i="28"/>
  <c r="AE31" i="31"/>
  <c r="AW8" i="28"/>
  <c r="H8" i="3" s="1"/>
  <c r="D8" i="28"/>
  <c r="AO8" i="28"/>
  <c r="AE11" i="31"/>
  <c r="D10" i="31"/>
  <c r="P10" i="31"/>
  <c r="BA8" i="28"/>
  <c r="J10" i="31"/>
  <c r="BA9" i="28"/>
  <c r="CS8" i="28"/>
  <c r="P8" i="28"/>
  <c r="C5" i="3" s="1"/>
  <c r="CQ8" i="28"/>
  <c r="AE18" i="31"/>
  <c r="O9" i="28"/>
  <c r="I5" i="3" s="1"/>
  <c r="AE14" i="31"/>
  <c r="BJ9" i="28"/>
  <c r="AC10" i="31" l="1"/>
  <c r="AC24" i="31"/>
  <c r="CS10" i="28"/>
  <c r="N3" i="31"/>
  <c r="N2" i="31" s="1"/>
  <c r="N311" i="31" s="1"/>
  <c r="N314" i="31" s="1"/>
  <c r="L3" i="31"/>
  <c r="L2" i="31" s="1"/>
  <c r="L311" i="31" s="1"/>
  <c r="L314" i="31" s="1"/>
  <c r="D9" i="28"/>
  <c r="D4" i="3" s="1"/>
  <c r="D3" i="31"/>
  <c r="K3" i="31"/>
  <c r="K2" i="31" s="1"/>
  <c r="K311" i="31" s="1"/>
  <c r="K314" i="31" s="1"/>
  <c r="O3" i="31"/>
  <c r="O2" i="31" s="1"/>
  <c r="O311" i="31" s="1"/>
  <c r="O314" i="31" s="1"/>
  <c r="P3" i="31"/>
  <c r="P2" i="31" s="1"/>
  <c r="P311" i="31" s="1"/>
  <c r="F8" i="48" s="1"/>
  <c r="AK10" i="28"/>
  <c r="AC10" i="28"/>
  <c r="AO10" i="28"/>
  <c r="AE24" i="31"/>
  <c r="CG10" i="28"/>
  <c r="M3" i="31"/>
  <c r="M2" i="31" s="1"/>
  <c r="M311" i="31" s="1"/>
  <c r="M314" i="31" s="1"/>
  <c r="BJ10" i="28"/>
  <c r="G9" i="3" s="1"/>
  <c r="L9" i="3" s="1"/>
  <c r="N9" i="3" s="1"/>
  <c r="O9" i="3" s="1"/>
  <c r="BU10" i="28"/>
  <c r="I3" i="31"/>
  <c r="I2" i="31" s="1"/>
  <c r="I311" i="31" s="1"/>
  <c r="I314" i="31" s="1"/>
  <c r="J3" i="31"/>
  <c r="J2" i="31" s="1"/>
  <c r="J311" i="31" s="1"/>
  <c r="J314" i="31" s="1"/>
  <c r="G10" i="28"/>
  <c r="G3" i="31"/>
  <c r="G2" i="31" s="1"/>
  <c r="G311" i="31" s="1"/>
  <c r="G314" i="31" s="1"/>
  <c r="F3" i="31"/>
  <c r="F2" i="31" s="1"/>
  <c r="F311" i="31" s="1"/>
  <c r="F314" i="31" s="1"/>
  <c r="BA10" i="28"/>
  <c r="AE4" i="31"/>
  <c r="H3" i="31"/>
  <c r="H2" i="31" s="1"/>
  <c r="H311" i="31" s="1"/>
  <c r="H314" i="31" s="1"/>
  <c r="BK10" i="28"/>
  <c r="E3" i="31"/>
  <c r="E2" i="31" s="1"/>
  <c r="E311" i="31" s="1"/>
  <c r="E314" i="31" s="1"/>
  <c r="S10" i="28"/>
  <c r="AL9" i="28"/>
  <c r="D7" i="3" s="1"/>
  <c r="AM10" i="28"/>
  <c r="C4" i="3"/>
  <c r="AE10" i="31"/>
  <c r="C10" i="28"/>
  <c r="BI10" i="28"/>
  <c r="P10" i="28"/>
  <c r="CC10" i="28"/>
  <c r="H11" i="3"/>
  <c r="H7" i="3"/>
  <c r="E5" i="3"/>
  <c r="Q10" i="28"/>
  <c r="CP9" i="28"/>
  <c r="CP10" i="28" s="1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L12" i="3" s="1"/>
  <c r="N12" i="3" s="1"/>
  <c r="O12" i="3" s="1"/>
  <c r="CO10" i="28"/>
  <c r="AW10" i="28"/>
  <c r="O10" i="28"/>
  <c r="H5" i="3"/>
  <c r="E4" i="3"/>
  <c r="E10" i="28"/>
  <c r="E11" i="3"/>
  <c r="CD9" i="28"/>
  <c r="P314" i="31" l="1"/>
  <c r="AC3" i="31"/>
  <c r="D2" i="3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AC2" i="31"/>
  <c r="D311" i="31"/>
  <c r="O4" i="3"/>
  <c r="N13" i="3"/>
  <c r="L13" i="3"/>
  <c r="D10" i="34"/>
  <c r="D4" i="34" l="1"/>
  <c r="D46" i="34" s="1"/>
  <c r="AC311" i="31"/>
  <c r="D314" i="31"/>
  <c r="AE311" i="31"/>
  <c r="O13" i="3"/>
  <c r="I10" i="34"/>
  <c r="I4" i="34" s="1"/>
  <c r="I46" i="34" s="1"/>
  <c r="V10" i="34"/>
  <c r="V4" i="34" s="1"/>
  <c r="V46" i="34" s="1"/>
  <c r="G10" i="34"/>
  <c r="G4" i="34" s="1"/>
  <c r="G46" i="34" s="1"/>
  <c r="T10" i="34"/>
  <c r="T4" i="34" s="1"/>
  <c r="T46" i="34" s="1"/>
  <c r="R10" i="34"/>
  <c r="R4" i="34" s="1"/>
  <c r="R46" i="34" s="1"/>
  <c r="Q10" i="34"/>
  <c r="Q4" i="34" s="1"/>
  <c r="Q46" i="34" s="1"/>
  <c r="AA10" i="34"/>
  <c r="AA4" i="34" s="1"/>
  <c r="AA46" i="34" s="1"/>
  <c r="K10" i="34"/>
  <c r="K4" i="34" s="1"/>
  <c r="K46" i="34" s="1"/>
  <c r="E10" i="34"/>
  <c r="Y10" i="34"/>
  <c r="Y4" i="34" s="1"/>
  <c r="Y46" i="34" s="1"/>
  <c r="O10" i="34"/>
  <c r="O4" i="34" s="1"/>
  <c r="O46" i="34" s="1"/>
  <c r="H10" i="34"/>
  <c r="H4" i="34" s="1"/>
  <c r="H46" i="34" s="1"/>
  <c r="F10" i="34"/>
  <c r="F4" i="34" s="1"/>
  <c r="F46" i="34" s="1"/>
  <c r="W10" i="34"/>
  <c r="W4" i="34" s="1"/>
  <c r="W46" i="34" s="1"/>
  <c r="J10" i="34"/>
  <c r="J4" i="34" s="1"/>
  <c r="J46" i="34" s="1"/>
  <c r="Z10" i="34"/>
  <c r="Z4" i="34" s="1"/>
  <c r="Z46" i="34" s="1"/>
  <c r="N10" i="34"/>
  <c r="N4" i="34" s="1"/>
  <c r="N46" i="34" s="1"/>
  <c r="P10" i="34"/>
  <c r="P4" i="34" s="1"/>
  <c r="P46" i="34" s="1"/>
  <c r="X10" i="34"/>
  <c r="X4" i="34" s="1"/>
  <c r="X46" i="34" s="1"/>
  <c r="M10" i="34"/>
  <c r="M4" i="34" s="1"/>
  <c r="M46" i="34" s="1"/>
  <c r="U10" i="34"/>
  <c r="U4" i="34" s="1"/>
  <c r="U46" i="34" s="1"/>
  <c r="AE24" i="34"/>
  <c r="S10" i="34"/>
  <c r="S4" i="34" s="1"/>
  <c r="S46" i="34" s="1"/>
  <c r="L4" i="34"/>
  <c r="L46" i="34" s="1"/>
  <c r="AC10" i="34" l="1"/>
  <c r="AE10" i="34"/>
  <c r="E4" i="34"/>
  <c r="AC4" i="34" s="1"/>
  <c r="E46" i="34" l="1"/>
  <c r="AC46" i="34" s="1"/>
  <c r="AE4" i="34"/>
  <c r="AE46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3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4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4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6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6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7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7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8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0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tc={9D6797FB-1F2C-4D60-A422-13E3A10C54E5}</author>
    <author>tc={F49B1282-CFFF-4797-B88C-EC661BCB7A1E}</author>
    <author>tc={8745D68A-FFEB-447A-B9BD-C5BA0A95234F}</author>
    <author>tc={AE08D9C4-8AEA-4DB0-836A-D06CD627272F}</author>
    <author>tc={A607CEAB-B0D8-47DF-8C4E-6367A734BCFE}</author>
    <author>tc={A53CA555-A3F0-4687-8314-F4A0EF4771D2}</author>
    <author>tc={1C5E15DA-EE06-4E92-BEEE-3D5DE6212873}</author>
    <author>tc={A4C03B9E-64F2-48A3-911B-68E7281ACF8C}</author>
    <author>tc={0924D9D5-3BE9-4E1E-913F-2DAEF271007E}</author>
    <author>tc={D1A3E12F-ED2F-4223-8554-7CF1A72BC851}</author>
    <author>tc={FC553626-E876-47FB-8F76-1CB7F15F9219}</author>
    <author>tc={F397D75C-59EB-48DE-BD6F-7C3CDFAB1511}</author>
    <author>tc={2CC9941D-F7CC-4FE2-8857-437F32E7401B}</author>
    <author>tc={74A98F84-D787-444E-ABF5-B4835DCDDB2A}</author>
    <author>tc={EF293C0D-AF47-4715-8810-581D7C77D8B4}</author>
    <author>tc={4C5ED188-E6A2-4627-BB95-B2EA863A92C5}</author>
    <author>tc={3973F3A1-BCA9-451F-B908-A7E566C5E35B}</author>
    <author>tc={C6E98E65-661B-4872-91DF-AE983CB3543F}</author>
    <author>tc={430204B6-153D-4E25-B6E8-2BE247D6C3DE}</author>
    <author>tc={11D23070-4A6E-429E-A5D0-1FE33E2253B5}</author>
    <author>tc={30654A7B-6226-4037-AEBF-D13B9C70190B}</author>
    <author>tc={9B6C81F1-152F-4A8B-A6FC-2690336C0A90}</author>
  </authors>
  <commentList>
    <comment ref="G3" authorId="0" shapeId="0" xr:uid="{9D6797FB-1F2C-4D60-A422-13E3A10C54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F49B1282-CFFF-4797-B88C-EC661BCB7A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745D68A-FFEB-447A-B9BD-C5BA0A9523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AE08D9C4-8AEA-4DB0-836A-D06CD62727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A607CEAB-B0D8-47DF-8C4E-6367A734BC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A53CA555-A3F0-4687-8314-F4A0EF477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H5" authorId="6" shapeId="0" xr:uid="{1C5E15DA-EE06-4E92-BEEE-3D5DE62128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7" shapeId="0" xr:uid="{A4C03B9E-64F2-48A3-911B-68E7281ACF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8" shapeId="0" xr:uid="{0924D9D5-3BE9-4E1E-913F-2DAEF27100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8" authorId="9" shapeId="0" xr:uid="{D1A3E12F-ED2F-4223-8554-7CF1A72BC8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8630 Select Repasse</t>
      </text>
    </comment>
    <comment ref="H10" authorId="10" shapeId="0" xr:uid="{FC553626-E876-47FB-8F76-1CB7F15F92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1" shapeId="0" xr:uid="{F397D75C-59EB-48DE-BD6F-7C3CDFAB15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1" authorId="12" shapeId="0" xr:uid="{2CC9941D-F7CC-4FE2-8857-437F32E74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</t>
      </text>
    </comment>
    <comment ref="I11" authorId="13" shapeId="0" xr:uid="{74A98F84-D787-444E-ABF5-B4835DCDDB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4" authorId="14" shapeId="0" xr:uid="{EF293C0D-AF47-4715-8810-581D7C77D8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7" authorId="15" shapeId="0" xr:uid="{4C5ED188-E6A2-4627-BB95-B2EA863A92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 fin 2.900 em 25.08</t>
      </text>
    </comment>
    <comment ref="H18" authorId="16" shapeId="0" xr:uid="{3973F3A1-BCA9-451F-B908-A7E566C5E3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7" shapeId="0" xr:uid="{C6E98E65-661B-4872-91DF-AE983CB354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1" authorId="18" shapeId="0" xr:uid="{430204B6-153D-4E25-B6E8-2BE247D6C3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3" authorId="19" shapeId="0" xr:uid="{11D23070-4A6E-429E-A5D0-1FE33E2253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3" authorId="20" shapeId="0" xr:uid="{30654A7B-6226-4037-AEBF-D13B9C70190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6" authorId="21" shapeId="0" xr:uid="{9B6C81F1-152F-4A8B-A6FC-2690336C0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tc={57334E42-F89B-43FA-82D2-1991C53FB53A}</author>
    <author>tc={AE7FC2F7-C330-49D7-828C-C38BA8887848}</author>
    <author>tc={D3A57B8B-569E-45D0-84A2-9B20FEEC2DBB}</author>
    <author>tc={9944AC9A-3D16-4180-B452-EBCA1881A1F3}</author>
    <author>tc={B25AA0BE-4C2A-4F67-88CA-4A98BA8363FB}</author>
    <author>tc={249BF615-37B2-43FE-BBCA-A1F6EF5122D4}</author>
    <author>tc={769EDCF6-EBE9-4036-ABE4-48A14ECFF9FC}</author>
    <author>tc={0C418CB0-A8DC-44F1-8DD4-EC114CD735E9}</author>
    <author>tc={E2611825-C3DE-44BB-A420-E70199A5F7CD}</author>
    <author>tc={43522CC1-18E5-4BA3-B5D7-9D14F58645F9}</author>
    <author>tc={F3814DA8-0DEF-4D5F-862D-F81FA1E37CC4}</author>
    <author>tc={DB3C4969-0FF2-4394-9CDB-89E1476C00CD}</author>
    <author>tc={6867D6C0-4315-49D5-AE07-7DB29BCFAFF3}</author>
    <author>tc={9D93792D-6B24-4A2F-A310-1AD3AE42BCDB}</author>
    <author>tc={DEC097CE-9A47-46E9-A50F-71DD2F270CE1}</author>
    <author>tc={D2B8BBFA-1EA7-46E8-8AC0-57FEDC697216}</author>
    <author>tc={4D80B779-433F-4E5C-8F77-5A2D72D91F42}</author>
    <author>tc={B237DD96-941D-43D0-906C-69082D658AD7}</author>
    <author>tc={1777D9A6-9DB9-4F69-A86C-E68C060E2AFF}</author>
    <author>tc={6C3037C4-B304-4F3A-8C2E-322DB9794131}</author>
    <author>tc={ADA9A246-4879-4A0D-B4BB-6A9955B8D1C2}</author>
    <author>tc={9AD43AEF-CD30-47E2-8C68-07592FA1145F}</author>
  </authors>
  <commentList>
    <comment ref="G3" authorId="0" shapeId="0" xr:uid="{57334E42-F89B-43FA-82D2-1991C53FB5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AE7FC2F7-C330-49D7-828C-C38BA88878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D3A57B8B-569E-45D0-84A2-9B20FEEC2D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9944AC9A-3D16-4180-B452-EBCA1881A1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B25AA0BE-4C2A-4F67-88CA-4A98BA8363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49BF615-37B2-43FE-BBCA-A1F6EF5122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H5" authorId="6" shapeId="0" xr:uid="{769EDCF6-EBE9-4036-ABE4-48A14ECFF9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7" shapeId="0" xr:uid="{0C418CB0-A8DC-44F1-8DD4-EC114CD73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8" shapeId="0" xr:uid="{E2611825-C3DE-44BB-A420-E70199A5F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8" authorId="9" shapeId="0" xr:uid="{43522CC1-18E5-4BA3-B5D7-9D14F58645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8630 Select Repasse</t>
      </text>
    </comment>
    <comment ref="H10" authorId="10" shapeId="0" xr:uid="{F3814DA8-0DEF-4D5F-862D-F81FA1E37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1" shapeId="0" xr:uid="{DB3C4969-0FF2-4394-9CDB-89E1476C0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1" authorId="12" shapeId="0" xr:uid="{6867D6C0-4315-49D5-AE07-7DB29BCFAF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</t>
      </text>
    </comment>
    <comment ref="I11" authorId="13" shapeId="0" xr:uid="{9D93792D-6B24-4A2F-A310-1AD3AE42B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4" authorId="14" shapeId="0" xr:uid="{DEC097CE-9A47-46E9-A50F-71DD2F270C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7" authorId="15" shapeId="0" xr:uid="{D2B8BBFA-1EA7-46E8-8AC0-57FEDC6972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 fin 2.900 em 25.08</t>
      </text>
    </comment>
    <comment ref="H18" authorId="16" shapeId="0" xr:uid="{4D80B779-433F-4E5C-8F77-5A2D72D91F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7" shapeId="0" xr:uid="{B237DD96-941D-43D0-906C-69082D658A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1" authorId="18" shapeId="0" xr:uid="{1777D9A6-9DB9-4F69-A86C-E68C060E2A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3" authorId="19" shapeId="0" xr:uid="{6C3037C4-B304-4F3A-8C2E-322DB97941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3" authorId="20" shapeId="0" xr:uid="{ADA9A246-4879-4A0D-B4BB-6A9955B8D1C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6" authorId="21" shapeId="0" xr:uid="{9AD43AEF-CD30-47E2-8C68-07592FA114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tc={1EB2CF12-191E-4BB1-BFC6-19A1A0F6F7EE}</author>
    <author>tc={DAEDD277-3421-4C8E-8D9F-4DFB6A85F1DC}</author>
    <author>tc={0F43B952-F967-46C5-82D6-48604EB30B83}</author>
    <author>tc={C150B29F-F683-463B-AA68-F858B4B21788}</author>
    <author>tc={AB2B6800-25B7-4F64-B58A-7FEECAE77F13}</author>
    <author>tc={A809D390-9236-4AF2-AF4A-F11B114FC565}</author>
    <author>tc={F8C6B658-1774-4E07-8700-1ACE1FF76CEB}</author>
    <author>tc={09BCF6D9-D823-4701-8944-8067159D777F}</author>
    <author>tc={9B26B724-7689-4A6B-8B52-7982D8C509E2}</author>
    <author>tc={4C680CFC-4C2D-43B0-B6EE-375C8E4AE26A}</author>
    <author>tc={6A869996-C9F2-4C69-976B-9A91C3A1E782}</author>
    <author>tc={70DD296B-62C8-41FE-982E-2CA54D824056}</author>
    <author>tc={53F277E1-EB5F-46C8-85E4-F5533B56FCAA}</author>
    <author>tc={E7DC4FAF-C27E-40EC-AF09-B96FEABC0E35}</author>
    <author>tc={DA231A1C-4B30-4D03-BB73-2D3339546831}</author>
    <author>tc={D4D0B59F-9AE3-4388-ACB8-CDE3E4478F7C}</author>
    <author>tc={DE2F59EE-CD12-485A-BB1D-28E3E2005B2B}</author>
    <author>tc={AAF27B80-E9C1-4271-8355-CC56CCF9ACC5}</author>
    <author>tc={5E038028-6B0B-464A-8727-BDE134C88E62}</author>
    <author>tc={7BE83AAF-95AB-4818-8E38-6DFED0C29342}</author>
    <author>tc={ACEBB7D0-B87B-4B34-926E-ACD48547B33D}</author>
    <author>tc={57F1FDFE-9AF4-4710-9A1C-A5AFDA47D4F3}</author>
    <author>tc={E062F522-0C6C-47FF-82BB-664590A0A02D}</author>
    <author>tc={5B71650E-2D55-422B-B823-D697FB24C3AF}</author>
    <author>tc={124A9AA6-2539-41FF-B5B5-0296D0636838}</author>
  </authors>
  <commentList>
    <comment ref="G3" authorId="0" shapeId="0" xr:uid="{1EB2CF12-191E-4BB1-BFC6-19A1A0F6F7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DAEDD277-3421-4C8E-8D9F-4DFB6A85F1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0F43B952-F967-46C5-82D6-48604EB30B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C150B29F-F683-463B-AA68-F858B4B217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AB2B6800-25B7-4F64-B58A-7FEECAE77F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A809D390-9236-4AF2-AF4A-F11B114FC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F8C6B658-1774-4E07-8700-1ACE1FF76C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09BCF6D9-D823-4701-8944-8067159D77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9B26B724-7689-4A6B-8B52-7982D8C509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4C680CFC-4C2D-43B0-B6EE-375C8E4AE2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6A869996-C9F2-4C69-976B-9A91C3A1E7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8" authorId="11" shapeId="0" xr:uid="{70DD296B-62C8-41FE-982E-2CA54D8240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8630 Select Repasse</t>
      </text>
    </comment>
    <comment ref="H10" authorId="12" shapeId="0" xr:uid="{53F277E1-EB5F-46C8-85E4-F5533B56FC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3" shapeId="0" xr:uid="{E7DC4FAF-C27E-40EC-AF09-B96FEABC0E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1" authorId="14" shapeId="0" xr:uid="{DA231A1C-4B30-4D03-BB73-2D33395468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</t>
      </text>
    </comment>
    <comment ref="I11" authorId="15" shapeId="0" xr:uid="{D4D0B59F-9AE3-4388-ACB8-CDE3E4478F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4" authorId="16" shapeId="0" xr:uid="{DE2F59EE-CD12-485A-BB1D-28E3E2005B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5" authorId="17" shapeId="0" xr:uid="{AAF27B80-E9C1-4271-8355-CC56CCF9A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Já descontei o valor dos boletos que inclui hoje para pagamento</t>
      </text>
    </comment>
    <comment ref="H17" authorId="18" shapeId="0" xr:uid="{5E038028-6B0B-464A-8727-BDE134C88E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 fin 2.900 em 25.08</t>
      </text>
    </comment>
    <comment ref="H18" authorId="19" shapeId="0" xr:uid="{7BE83AAF-95AB-4818-8E38-6DFED0C293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20" shapeId="0" xr:uid="{ACEBB7D0-B87B-4B34-926E-ACD48547B3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1" authorId="21" shapeId="0" xr:uid="{57F1FDFE-9AF4-4710-9A1C-A5AFDA47D4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3" authorId="22" shapeId="0" xr:uid="{E062F522-0C6C-47FF-82BB-664590A0A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3" authorId="23" shapeId="0" xr:uid="{5B71650E-2D55-422B-B823-D697FB24C3A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6" authorId="24" shapeId="0" xr:uid="{124A9AA6-2539-41FF-B5B5-0296D0636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tc={341545BF-9B9E-496C-A5BA-A9716D498B2A}</author>
    <author>tc={2FF35904-CEBC-4168-BEB6-071E41891F9D}</author>
    <author>tc={5706D3CC-3FE8-46B6-B515-472B4D8D3486}</author>
    <author>tc={922B6EFD-FA3D-4314-B07E-635C8CB1DA67}</author>
    <author>tc={7025E0DD-B7CB-4E46-86FB-ACF33351343D}</author>
    <author>tc={60009C06-B22D-44F0-9462-C344915DE92E}</author>
    <author>tc={157F70F6-071A-4332-8B81-81FECF4396D0}</author>
    <author>tc={84695748-B6BA-4CFC-B537-1391D080F8BB}</author>
    <author>tc={D8F29149-F8A1-4C2D-9CFB-9B34B53C72EE}</author>
    <author>tc={00261541-3B30-4185-AC6F-7B2957D7145A}</author>
    <author>tc={C5CC396C-8500-4ABE-B92B-40472FE13B3A}</author>
    <author>tc={6A3776FA-C89B-4C37-A232-3BBBFF3B4F14}</author>
    <author>tc={F337FDA5-1679-4CE7-B605-0681440B8854}</author>
    <author>tc={29B57107-A47F-4691-B9E4-A3D53EACE673}</author>
    <author>tc={22474CA1-154C-4AF9-A56F-0B13D3AC53CF}</author>
    <author>tc={9E44ABA9-F86C-47F2-A7BE-137AA33D63BA}</author>
    <author>tc={C30DCF98-A67F-42C6-8365-736F5AC977DC}</author>
    <author>tc={DC073A06-867C-4705-A2F5-C1BDD8081F75}</author>
    <author>tc={0DAC12A8-D038-4B15-B33A-13459757B17C}</author>
    <author>tc={3DCA4356-23DC-4A72-8B6D-D663122508A4}</author>
    <author>tc={1949085E-D492-479A-A795-EB2EE449B9FB}</author>
    <author>tc={D7D5EA3E-3699-497E-BAF6-349E29889FFF}</author>
    <author>tc={1DEBBD58-CCDC-4B72-91D2-CD9D929973E4}</author>
    <author>tc={F1EEAF54-BC61-4F57-A86E-48231261A73E}</author>
    <author>tc={FFA92D1B-0018-4DFC-B163-0CFBE5E8BE56}</author>
  </authors>
  <commentList>
    <comment ref="G3" authorId="0" shapeId="0" xr:uid="{341545BF-9B9E-496C-A5BA-A9716D498B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2FF35904-CEBC-4168-BEB6-071E41891F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5706D3CC-3FE8-46B6-B515-472B4D8D34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922B6EFD-FA3D-4314-B07E-635C8CB1DA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7025E0DD-B7CB-4E46-86FB-ACF3335134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60009C06-B22D-44F0-9462-C344915DE9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157F70F6-071A-4332-8B81-81FECF439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84695748-B6BA-4CFC-B537-1391D080F8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D8F29149-F8A1-4C2D-9CFB-9B34B53C72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00261541-3B30-4185-AC6F-7B2957D714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C5CC396C-8500-4ABE-B92B-40472FE13B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8" authorId="11" shapeId="0" xr:uid="{6A3776FA-C89B-4C37-A232-3BBBFF3B4F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8630 Select Repasse</t>
      </text>
    </comment>
    <comment ref="H10" authorId="12" shapeId="0" xr:uid="{F337FDA5-1679-4CE7-B605-0681440B88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3" shapeId="0" xr:uid="{29B57107-A47F-4691-B9E4-A3D53EACE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4" shapeId="0" xr:uid="{22474CA1-154C-4AF9-A56F-0B13D3AC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</t>
      </text>
    </comment>
    <comment ref="I13" authorId="15" shapeId="0" xr:uid="{9E44ABA9-F86C-47F2-A7BE-137AA33D63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6" shapeId="0" xr:uid="{C30DCF98-A67F-42C6-8365-736F5AC977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7" authorId="17" shapeId="0" xr:uid="{DC073A06-867C-4705-A2F5-C1BDD8081F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Já descontei o valor dos boletos que inclui hoje para pagamento</t>
      </text>
    </comment>
    <comment ref="H19" authorId="18" shapeId="0" xr:uid="{0DAC12A8-D038-4B15-B33A-13459757B1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 fin 2.900 em 25.08</t>
      </text>
    </comment>
    <comment ref="H20" authorId="19" shapeId="0" xr:uid="{3DCA4356-23DC-4A72-8B6D-D663122508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1949085E-D492-479A-A795-EB2EE449B9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D7D5EA3E-3699-497E-BAF6-349E29889F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1DEBBD58-CCDC-4B72-91D2-CD9D929973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F1EEAF54-BC61-4F57-A86E-48231261A73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FFA92D1B-0018-4DFC-B163-0CFBE5E8B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tc={0C6B26D0-492F-47E0-A760-2915A547E0F1}</author>
    <author>tc={5F37EB28-C672-4C1D-9CED-15ED92F30DAE}</author>
    <author>tc={83B6549E-DBD3-4ED2-B4F0-C48704D378AD}</author>
    <author>tc={5D31DDCF-502E-4CF6-B4F5-B34C1739B075}</author>
    <author>tc={2F03DE58-8202-475E-8642-20B5D69F11BA}</author>
    <author>tc={CF6C6ADB-2DE2-4438-82F6-D8F62DF1A9D0}</author>
    <author>tc={E9ED8577-F818-446A-B224-D15DC3854BB9}</author>
    <author>tc={5C362069-027B-4591-8131-1A40EB7F15DA}</author>
    <author>tc={690EEFF4-0F5A-4A43-BD5E-5D7DE5422F2E}</author>
    <author>tc={45C8F0DC-6E8A-4E7F-8B23-069DC3679269}</author>
    <author>tc={5D491E68-00D7-4FA5-879D-CC0818610242}</author>
    <author>tc={36E0F50B-178A-4315-BD50-E87536374CAE}</author>
    <author>tc={267E1938-D50C-4947-AD3F-168FE617F65E}</author>
    <author>tc={FB0B49C4-E406-430F-98B9-72DB81A8E368}</author>
    <author>tc={D69AB834-069A-4F24-8860-B1D04F7D1BA6}</author>
    <author>tc={718A1605-A877-46C0-8FE0-09322ED0102E}</author>
    <author>tc={132F1883-5E5A-4B2A-9D16-24303072B225}</author>
    <author>tc={7C807417-5B25-4DED-8506-7CB3FB8E1529}</author>
    <author>tc={23EB32F8-43E7-45F3-ABD3-3CF57586A5F7}</author>
    <author>tc={3FFFE722-5BBD-43EB-8011-2B3867AA4DDC}</author>
    <author>tc={F73C9EE1-11B7-46CE-B9C5-C4FD153B17CB}</author>
    <author>tc={82722505-3FD3-4E05-BFA3-B962032E1593}</author>
    <author>tc={49912E14-AC46-45EE-B828-CACAAE820553}</author>
    <author>tc={70C8197B-3DB9-4D7F-9870-F728B4BB9B2D}</author>
    <author>tc={6818A62B-2A1D-4386-9F8C-35911266B39D}</author>
    <author>tc={217F88C9-FF4D-45F5-93DC-3B73AD7C0DC7}</author>
    <author>tc={C228A601-C4A4-40DA-969E-4A02CC8DC3F9}</author>
  </authors>
  <commentList>
    <comment ref="G3" authorId="0" shapeId="0" xr:uid="{0C6B26D0-492F-47E0-A760-2915A547E0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5F37EB28-C672-4C1D-9CED-15ED92F30D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3B6549E-DBD3-4ED2-B4F0-C48704D378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5D31DDCF-502E-4CF6-B4F5-B34C1739B0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2F03DE58-8202-475E-8642-20B5D69F11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CF6C6ADB-2DE2-4438-82F6-D8F62DF1A9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E9ED8577-F818-446A-B224-D15DC3854B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5C362069-027B-4591-8131-1A40EB7F15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690EEFF4-0F5A-4A43-BD5E-5D7DE5422F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45C8F0DC-6E8A-4E7F-8B23-069DC36792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5D491E68-00D7-4FA5-879D-CC08186102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8" authorId="11" shapeId="0" xr:uid="{36E0F50B-178A-4315-BD50-E87536374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8630 Select Repasse</t>
      </text>
    </comment>
    <comment ref="H10" authorId="12" shapeId="0" xr:uid="{267E1938-D50C-4947-AD3F-168FE617F6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3" shapeId="0" xr:uid="{FB0B49C4-E406-430F-98B9-72DB81A8E3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4" shapeId="0" xr:uid="{D69AB834-069A-4F24-8860-B1D04F7D1B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</t>
      </text>
    </comment>
    <comment ref="I13" authorId="15" shapeId="0" xr:uid="{718A1605-A877-46C0-8FE0-09322ED010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6" shapeId="0" xr:uid="{132F1883-5E5A-4B2A-9D16-24303072B2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7" authorId="17" shapeId="0" xr:uid="{7C807417-5B25-4DED-8506-7CB3FB8E1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Já descontei o valor dos boletos que inclui hoje para pagamento</t>
      </text>
    </comment>
    <comment ref="H20" authorId="18" shapeId="0" xr:uid="{23EB32F8-43E7-45F3-ABD3-3CF57586A5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19" shapeId="0" xr:uid="{3FFFE722-5BBD-43EB-8011-2B3867AA4D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0" shapeId="0" xr:uid="{F73C9EE1-11B7-46CE-B9C5-C4FD153B17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1" shapeId="0" xr:uid="{82722505-3FD3-4E05-BFA3-B962032E15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2" shapeId="0" xr:uid="{49912E14-AC46-45EE-B828-CACAAE82055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3" shapeId="0" xr:uid="{70C8197B-3DB9-4D7F-9870-F728B4BB9B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4" shapeId="0" xr:uid="{6818A62B-2A1D-4386-9F8C-35911266B3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5" shapeId="0" xr:uid="{217F88C9-FF4D-45F5-93DC-3B73AD7C0D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6" shapeId="0" xr:uid="{C228A601-C4A4-40DA-969E-4A02CC8DC3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 hoje 19/04 23:14h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tc={C8B4827F-054D-47AD-ABDA-7CC1F54C31E6}</author>
    <author>tc={DBE9CEBC-D634-413C-8886-7EF0D1BB5B88}</author>
    <author>tc={7C4EEE6B-F3C6-4807-9D66-F873D5E188A8}</author>
    <author>tc={039C881F-263B-475D-85EB-F9A76B37D4A8}</author>
    <author>tc={D77252FE-656E-4B04-8D26-4C735BB7D662}</author>
    <author>tc={1EC095D1-2E0D-4E73-9E61-F98B62ACD2DB}</author>
    <author>tc={18F3A09D-355B-49E7-81DD-4A0F232F4CC1}</author>
    <author>tc={CC090CD2-0B0B-4A22-9131-E6C149A60D7C}</author>
    <author>tc={A1BDE9A1-7D61-4CF3-A584-EF0B64176CBE}</author>
    <author>tc={9E912388-B8A2-4305-8789-DB6C9BBA4F4A}</author>
    <author>tc={6F62F08C-D732-4A9C-B64E-E88FB3992442}</author>
    <author>tc={F8E8BB9F-33D7-4C92-BDF2-DAC55F1AFD2D}</author>
    <author>tc={01B73A89-1A43-4F97-AF1D-18F62317C8C1}</author>
    <author>tc={1EE2D6E8-A454-4886-8945-3DC6248F7C74}</author>
    <author>tc={F5E977CA-2661-44E5-95EC-9672D8668380}</author>
    <author>tc={CC10D2F2-435D-41C8-9E78-089D09FA96BB}</author>
    <author>tc={F91058DD-7AB6-40D0-9BB8-E83527C1B488}</author>
    <author>tc={D53DB9B2-2045-41A1-A29E-049280132F9A}</author>
    <author>tc={6FEFEF55-FFB3-4218-827B-055543162247}</author>
    <author>tc={246B724A-D777-4991-8138-E967A63FDB45}</author>
    <author>tc={8226E653-CEE3-40E7-9EC3-AC032AF04F68}</author>
    <author>tc={28569061-5D65-4B9B-AA93-F88DAF8A5BB9}</author>
    <author>tc={FE5A1164-F7BC-4EDC-8433-BA5FCE94EB53}</author>
    <author>tc={565C16F4-D5D0-4167-8652-EAF00C3C7CE0}</author>
    <author>tc={037E06FF-C9F3-4C4B-A32E-E306A652C270}</author>
    <author>tc={00B1745F-9D4B-415D-BBFB-07141410E3DD}</author>
  </authors>
  <commentList>
    <comment ref="G3" authorId="0" shapeId="0" xr:uid="{C8B4827F-054D-47AD-ABDA-7CC1F54C31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DBE9CEBC-D634-413C-8886-7EF0D1BB5B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7C4EEE6B-F3C6-4807-9D66-F873D5E188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039C881F-263B-475D-85EB-F9A76B37D4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D77252FE-656E-4B04-8D26-4C735BB7D6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1EC095D1-2E0D-4E73-9E61-F98B62ACD2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18F3A09D-355B-49E7-81DD-4A0F232F4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C090CD2-0B0B-4A22-9131-E6C149A60D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A1BDE9A1-7D61-4CF3-A584-EF0B64176C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9E912388-B8A2-4305-8789-DB6C9BBA4F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6F62F08C-D732-4A9C-B64E-E88FB39924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H10" authorId="11" shapeId="0" xr:uid="{F8E8BB9F-33D7-4C92-BDF2-DAC55F1AFD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2" shapeId="0" xr:uid="{01B73A89-1A43-4F97-AF1D-18F62317C8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3" shapeId="0" xr:uid="{1EE2D6E8-A454-4886-8945-3DC6248F7C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4" shapeId="0" xr:uid="{F5E977CA-2661-44E5-95EC-9672D86683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5" shapeId="0" xr:uid="{CC10D2F2-435D-41C8-9E78-089D09FA9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17" authorId="16" shapeId="0" xr:uid="{F91058DD-7AB6-40D0-9BB8-E83527C1B4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Já descontei o valor dos boletos que inclui hoje para pagamento</t>
      </text>
    </comment>
    <comment ref="H20" authorId="17" shapeId="0" xr:uid="{D53DB9B2-2045-41A1-A29E-049280132F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18" shapeId="0" xr:uid="{6FEFEF55-FFB3-4218-827B-0555431622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19" shapeId="0" xr:uid="{246B724A-D777-4991-8138-E967A63FDB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0" shapeId="0" xr:uid="{8226E653-CEE3-40E7-9EC3-AC032AF04F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1" shapeId="0" xr:uid="{28569061-5D65-4B9B-AA93-F88DAF8A5BB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2" shapeId="0" xr:uid="{FE5A1164-F7BC-4EDC-8433-BA5FCE94EB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3" shapeId="0" xr:uid="{565C16F4-D5D0-4167-8652-EAF00C3C7C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4" shapeId="0" xr:uid="{037E06FF-C9F3-4C4B-A32E-E306A652C2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5" shapeId="0" xr:uid="{00B1745F-9D4B-415D-BBFB-07141410E3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 hoje 19/04 23:14h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tc={94C3E47C-4359-4E1D-AAEA-7E9B0998151F}</author>
    <author>tc={E11A6F23-4041-48D5-B36F-C764667153CF}</author>
    <author>tc={8464F155-8736-436F-98AD-8FEB96EDFAC0}</author>
    <author>tc={4B9CE8E7-5FFE-464D-88AD-F8F838CBA4A9}</author>
    <author>tc={476B5206-1A8A-496C-8654-53EFA1C9DA4F}</author>
    <author>tc={2AE47426-25CE-4AB6-B8EF-03F167462B4B}</author>
    <author>tc={BA6F7ED4-25CC-4358-8EA9-1763EE18054F}</author>
    <author>tc={C6072601-0FDD-46AF-9531-B4A8EE13B724}</author>
    <author>tc={31783964-FF15-48B8-9D39-A392563DCBF0}</author>
    <author>tc={C971279B-F891-4202-BAF2-AF899BC9D24D}</author>
    <author>tc={147C4759-F67B-430A-A557-AC29A2CCAC6B}</author>
    <author>tc={C4C9A7CF-53C2-49C7-B2DC-4D7A5DDBA25E}</author>
    <author>tc={8DE43C11-32B6-47F0-B763-87C315502CE8}</author>
    <author>tc={FCDBD589-F388-4C2A-86F2-E0E44C23512B}</author>
    <author>tc={30A00531-95A5-4C4A-8931-DFDD502D257E}</author>
    <author>tc={4FD2F64F-1B51-4CEE-8302-B5D6BB9C27D6}</author>
    <author>tc={AA08B21D-8BDD-4DDF-932D-DD417C3E9FFA}</author>
    <author>tc={9C2FD9BB-D9B7-4DA1-9AC4-07A9579ECE9B}</author>
    <author>tc={EDC75BC1-2CE1-465B-AA5D-65DCD88BE18B}</author>
    <author>tc={08EB8DFC-F4A3-4F25-8389-A6730A3981D2}</author>
    <author>tc={3AA40146-F5FE-472D-954D-631609A91CA3}</author>
    <author>tc={4E8C2539-503F-4DE8-9613-7C3BDE1757CD}</author>
    <author>tc={26B7A948-DF79-465A-8225-33B75B46F6BB}</author>
    <author>tc={C78CECA5-7F79-49EA-9993-13F1920761D9}</author>
    <author>tc={75CD8026-93F0-4552-AAD1-28725C5AD6B8}</author>
    <author>tc={B018AA06-DD42-4441-B218-46CF0F791E47}</author>
    <author>tc={A335CF05-E28A-4B20-8925-228D60D82507}</author>
    <author>tc={332B4AD0-4C8E-49E3-BFAF-8964A011624F}</author>
  </authors>
  <commentList>
    <comment ref="G3" authorId="0" shapeId="0" xr:uid="{94C3E47C-4359-4E1D-AAEA-7E9B09981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E11A6F23-4041-48D5-B36F-C7646671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464F155-8736-436F-98AD-8FEB96EDF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4B9CE8E7-5FFE-464D-88AD-F8F838CB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476B5206-1A8A-496C-8654-53EFA1C9DA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AE47426-25CE-4AB6-B8EF-03F167462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BA6F7ED4-25CC-4358-8EA9-1763EE1805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6072601-0FDD-46AF-9531-B4A8EE13B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31783964-FF15-48B8-9D39-A392563DC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C971279B-F891-4202-BAF2-AF899BC9D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147C4759-F67B-430A-A557-AC29A2CCA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6" authorId="11" shapeId="0" xr:uid="{C4C9A7CF-53C2-49C7-B2DC-4D7A5DDBA2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S6" authorId="12" shapeId="0" xr:uid="{8DE43C11-32B6-47F0-B763-87C315502C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H10" authorId="13" shapeId="0" xr:uid="{FCDBD589-F388-4C2A-86F2-E0E44C235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4" shapeId="0" xr:uid="{30A00531-95A5-4C4A-8931-DFDD502D2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S10" authorId="15" shapeId="0" xr:uid="{4FD2F64F-1B51-4CEE-8302-B5D6BB9C2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6" shapeId="0" xr:uid="{AA08B21D-8BDD-4DDF-932D-DD417C3E9F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7" shapeId="0" xr:uid="{9C2FD9BB-D9B7-4DA1-9AC4-07A9579EC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8" shapeId="0" xr:uid="{EDC75BC1-2CE1-465B-AA5D-65DCD88BE1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9" shapeId="0" xr:uid="{08EB8DFC-F4A3-4F25-8389-A6730A398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3AA40146-F5FE-472D-954D-631609A91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4E8C2539-503F-4DE8-9613-7C3BDE175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26B7A948-DF79-465A-8225-33B75B46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C78CECA5-7F79-49EA-9993-13F1920761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75CD8026-93F0-4552-AAD1-28725C5AD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5" shapeId="0" xr:uid="{B018AA06-DD42-4441-B218-46CF0F791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6" shapeId="0" xr:uid="{A335CF05-E28A-4B20-8925-228D60D82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7" shapeId="0" xr:uid="{332B4AD0-4C8E-49E3-BFAF-8964A01162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<sst xmlns="http://schemas.openxmlformats.org/spreadsheetml/2006/main" count="4384" uniqueCount="1295">
  <si>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</si>
  <si>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</si>
  <si>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</si>
  <si>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</si>
  <si>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</si>
  <si>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</si>
  <si>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</si>
  <si>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</si>
  <si>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</si>
  <si>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</si>
  <si>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</si>
  <si>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</si>
  <si>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</si>
  <si>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</si>
  <si>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</si>
  <si>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</si>
  <si>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</si>
  <si>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</si>
  <si>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</si>
  <si>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</si>
  <si>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</si>
  <si>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</si>
  <si>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</si>
  <si>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</si>
  <si>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</si>
  <si>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</si>
  <si>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</si>
  <si>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</si>
  <si>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</si>
  <si>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</si>
  <si>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</si>
  <si>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</si>
  <si>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</si>
  <si>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</si>
  <si>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</si>
  <si>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</si>
  <si>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</si>
  <si>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</si>
  <si>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</si>
  <si>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</si>
  <si>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</si>
  <si>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</si>
  <si>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</si>
  <si>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</si>
  <si>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</si>
  <si>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</si>
  <si>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</si>
  <si>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</si>
  <si>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</si>
  <si>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</si>
  <si>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</si>
  <si>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</si>
  <si>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</si>
  <si>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</si>
  <si>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</si>
  <si>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</si>
  <si>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</si>
  <si>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</si>
  <si>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</si>
  <si>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</si>
  <si>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</si>
  <si>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</si>
  <si>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</si>
  <si>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</si>
  <si>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</si>
  <si>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</si>
  <si>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</si>
  <si>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</si>
  <si>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</si>
  <si>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</si>
  <si>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</si>
  <si>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</si>
  <si>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</si>
  <si>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</si>
  <si>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</si>
  <si>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</si>
  <si>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</si>
  <si>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</si>
  <si>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</si>
  <si>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</si>
  <si>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</si>
  <si>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</si>
  <si>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</si>
  <si>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</si>
  <si>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</si>
  <si>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</si>
  <si>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</si>
  <si>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</si>
  <si>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</si>
  <si>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</si>
  <si>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</si>
  <si>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</si>
  <si>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</si>
  <si>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</si>
  <si>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</si>
  <si>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</si>
  <si>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</si>
  <si>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</si>
  <si>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</si>
  <si>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</si>
  <si>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</si>
  <si>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</si>
  <si>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</si>
  <si>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</si>
  <si>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</si>
  <si>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</si>
  <si>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</si>
  <si>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</si>
  <si>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</si>
  <si>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</si>
  <si>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</si>
  <si>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</si>
  <si>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</si>
  <si>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</si>
  <si>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</si>
  <si>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</si>
  <si>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</si>
  <si>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</si>
  <si>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</si>
  <si>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</si>
  <si>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</si>
  <si>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</si>
  <si>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</si>
  <si>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</si>
  <si>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</si>
  <si>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</si>
  <si>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</si>
  <si>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</si>
  <si>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</si>
  <si>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</si>
  <si>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</si>
  <si>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</si>
  <si>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</si>
  <si>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</si>
  <si>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</si>
  <si>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</si>
  <si>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</si>
  <si>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</si>
  <si>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</si>
  <si>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</si>
  <si>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</si>
  <si>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</si>
  <si>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</si>
  <si>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</si>
  <si>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</si>
  <si>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</si>
  <si>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</si>
  <si>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</si>
  <si>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</si>
  <si>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</si>
  <si>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</si>
  <si>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</si>
  <si>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</si>
  <si>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</si>
  <si>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</si>
  <si>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</si>
  <si>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</si>
  <si>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</si>
  <si>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</si>
  <si>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</si>
  <si>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</si>
  <si>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</si>
  <si>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</si>
  <si>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</si>
  <si>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</si>
  <si>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</si>
  <si>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</si>
  <si>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</si>
  <si>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</si>
  <si>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</si>
  <si>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</si>
  <si>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</si>
  <si>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</si>
  <si>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</si>
  <si>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</si>
  <si>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</si>
  <si>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</si>
  <si>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</si>
  <si>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</si>
  <si>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</si>
  <si>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</si>
  <si>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</si>
  <si>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</si>
  <si>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</si>
  <si>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</si>
  <si>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</si>
  <si>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</si>
  <si>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</si>
  <si>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</si>
  <si>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</si>
  <si>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</si>
  <si>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</si>
  <si>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</si>
  <si>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</si>
  <si>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</si>
  <si>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</si>
  <si>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</si>
  <si>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</si>
  <si>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</si>
  <si>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</si>
  <si>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</si>
  <si>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</si>
  <si>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</si>
  <si>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</si>
  <si>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</si>
  <si>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</si>
  <si>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</si>
  <si>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</si>
  <si>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</si>
  <si>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</si>
  <si>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</si>
  <si>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</si>
  <si>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</si>
  <si>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</si>
  <si>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</si>
  <si>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</si>
  <si>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</si>
  <si>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</si>
  <si>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</si>
  <si>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</si>
  <si>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</si>
  <si>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</si>
  <si>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</si>
  <si>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</si>
  <si>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</si>
  <si>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</si>
  <si>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</si>
  <si>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</si>
  <si>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</si>
  <si>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</si>
  <si>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</si>
  <si>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</si>
  <si>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</si>
  <si>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</si>
  <si>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</si>
  <si>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</si>
  <si>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</si>
  <si>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</si>
  <si>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</si>
  <si>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</si>
  <si>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</si>
  <si>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</si>
  <si>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</si>
  <si>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</si>
  <si>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</si>
  <si>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</si>
  <si>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</si>
  <si>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</si>
  <si>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</si>
  <si>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</si>
  <si>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</si>
  <si>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</si>
  <si>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</si>
  <si>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</si>
  <si>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</si>
  <si>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</si>
  <si>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</si>
  <si>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</si>
  <si>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</si>
  <si>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</si>
  <si>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</si>
  <si>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</si>
  <si>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</si>
  <si>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</si>
  <si>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</si>
  <si>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</si>
  <si>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</si>
  <si>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</si>
  <si>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</si>
  <si>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</si>
  <si>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</si>
  <si>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</si>
  <si>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</si>
  <si>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</si>
  <si>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</si>
  <si>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</si>
  <si>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</si>
  <si>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</si>
  <si>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</si>
  <si>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</si>
  <si>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</si>
  <si>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</si>
  <si>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</si>
  <si>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</si>
  <si>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</si>
  <si>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</si>
  <si>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</si>
  <si>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</si>
  <si>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</si>
  <si>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</si>
  <si>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</si>
  <si>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</si>
  <si>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</si>
  <si>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</si>
  <si>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</si>
  <si>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</si>
  <si>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</si>
  <si>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</si>
  <si>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</si>
  <si>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</si>
  <si>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</si>
  <si>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</si>
  <si>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</si>
  <si>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</si>
  <si>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</si>
  <si>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</si>
  <si>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</si>
  <si>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</si>
  <si>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</si>
  <si>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</si>
  <si>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</si>
  <si>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</si>
  <si>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</si>
  <si>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</si>
  <si>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</si>
  <si>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</si>
  <si>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</si>
  <si>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</si>
  <si>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</si>
  <si>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</si>
  <si>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</si>
  <si>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</si>
  <si>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</si>
  <si>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</si>
  <si>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</si>
  <si>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</si>
  <si>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</si>
  <si>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</si>
  <si>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</si>
  <si>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</si>
  <si>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</si>
  <si>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</si>
  <si>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</si>
  <si>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</si>
  <si>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</si>
  <si>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</si>
  <si>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</si>
  <si>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</si>
  <si>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</si>
  <si>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</si>
  <si>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</si>
  <si>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</si>
  <si>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</si>
  <si>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</si>
  <si>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</si>
  <si>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</si>
  <si>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</si>
  <si>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</si>
  <si>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</si>
  <si>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</si>
  <si>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</si>
  <si>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</si>
  <si>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</si>
  <si>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</si>
  <si>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</si>
  <si>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</si>
  <si>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</si>
  <si>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</si>
  <si>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</si>
  <si>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</si>
  <si>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</si>
  <si>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</si>
  <si>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</si>
  <si>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</si>
  <si>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</si>
  <si>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</si>
  <si>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</si>
  <si>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</si>
  <si>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</si>
  <si>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</si>
  <si>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</si>
  <si>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</si>
  <si>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</si>
  <si>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</si>
  <si>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</si>
  <si>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</si>
  <si>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</si>
  <si>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</si>
  <si>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</si>
  <si>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</si>
  <si>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</si>
  <si>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</si>
  <si>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</si>
  <si>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</si>
  <si>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</si>
  <si>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</si>
  <si>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</si>
  <si>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</si>
  <si>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</si>
  <si>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</si>
  <si>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</si>
  <si>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</si>
  <si>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</si>
  <si>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</si>
  <si>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</si>
  <si>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</si>
  <si>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</si>
  <si>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</si>
  <si>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</si>
  <si>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</si>
  <si>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</si>
  <si>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</si>
  <si>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</si>
  <si>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</si>
  <si>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</si>
  <si>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</si>
  <si>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</si>
  <si>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</si>
  <si>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</si>
  <si>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</si>
  <si>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</si>
  <si>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</si>
  <si>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</si>
  <si>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</si>
  <si>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</si>
  <si>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</si>
  <si>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</si>
  <si>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</si>
  <si>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</si>
  <si>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</si>
  <si>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</si>
  <si>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</si>
  <si>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</si>
  <si>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</si>
  <si>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</si>
  <si>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</si>
  <si>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</si>
  <si>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</si>
  <si>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</si>
  <si>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</si>
  <si>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</si>
  <si>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</si>
  <si>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</si>
  <si>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</si>
  <si>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</si>
  <si>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</si>
  <si>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</si>
  <si>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</si>
  <si>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</si>
  <si>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</si>
  <si>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</si>
  <si>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</si>
  <si>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</si>
  <si>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</si>
  <si>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</si>
  <si>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</si>
  <si>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</si>
  <si>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</si>
  <si>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</si>
  <si>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</si>
  <si>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</si>
  <si>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</si>
  <si>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</si>
  <si>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</si>
  <si>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</si>
  <si>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</si>
  <si>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</si>
  <si>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</si>
  <si>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</si>
  <si>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</si>
  <si>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</si>
  <si>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</si>
  <si>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</si>
  <si>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</si>
  <si>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</si>
  <si>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</si>
  <si>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</si>
  <si>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</si>
  <si>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</si>
  <si>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</si>
  <si>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</si>
  <si>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</si>
  <si>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</si>
  <si>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</si>
  <si>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</si>
  <si>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</si>
  <si>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</si>
  <si>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</si>
  <si>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</si>
  <si>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</si>
  <si>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</si>
  <si>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</si>
  <si>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</si>
  <si>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</si>
  <si>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</si>
  <si>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</si>
  <si>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</si>
  <si>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</si>
  <si>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</si>
  <si>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</si>
  <si>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</si>
  <si>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</si>
  <si>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</si>
  <si>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</si>
  <si>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</si>
  <si>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</si>
  <si>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</si>
  <si>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</si>
  <si>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</si>
  <si>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</si>
  <si>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</si>
  <si>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</si>
  <si>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</si>
  <si>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</si>
  <si>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</si>
  <si>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</si>
  <si>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</si>
  <si>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</si>
  <si>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</si>
  <si>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</si>
  <si>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</si>
  <si>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</si>
  <si>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</si>
  <si>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</si>
  <si>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</si>
  <si>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</si>
  <si>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</si>
  <si>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</si>
  <si>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</si>
  <si>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</si>
  <si>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</si>
  <si>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</si>
  <si>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</si>
  <si>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</si>
  <si>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</si>
  <si>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</si>
  <si>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</si>
  <si>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</si>
  <si>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</si>
  <si>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</si>
  <si>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</si>
  <si>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</si>
  <si>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</si>
  <si>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</si>
  <si>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</si>
  <si>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</si>
  <si>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</si>
  <si>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</si>
  <si>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</si>
  <si>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</si>
  <si>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</si>
  <si>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</si>
  <si>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</si>
  <si>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</si>
  <si>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</si>
  <si>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</si>
  <si>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</si>
  <si>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</si>
  <si>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</si>
  <si>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</si>
  <si>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</si>
  <si>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</si>
  <si>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</si>
  <si>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</si>
  <si>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</si>
  <si>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</si>
  <si>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</si>
  <si>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</si>
  <si>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</si>
  <si>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</si>
  <si>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</si>
  <si>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</si>
  <si>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</si>
  <si>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</si>
  <si>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</si>
  <si>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</si>
  <si>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</si>
  <si>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</si>
  <si>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</si>
  <si>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</si>
  <si>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</si>
  <si>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</si>
  <si>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</si>
  <si>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</si>
  <si>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</si>
  <si>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</si>
  <si>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</si>
  <si>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</si>
  <si>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</si>
  <si>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</si>
  <si>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</si>
  <si>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</si>
  <si>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</si>
  <si>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</si>
  <si>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</si>
  <si>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</si>
  <si>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</si>
  <si>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</si>
  <si>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</si>
  <si>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</si>
  <si>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</si>
  <si>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</si>
  <si>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</si>
  <si>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</si>
  <si>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</si>
  <si>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</si>
  <si>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</si>
  <si>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</si>
  <si>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</si>
  <si>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</si>
  <si>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</si>
  <si>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</si>
  <si>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</si>
  <si>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</si>
  <si>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</si>
  <si>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</si>
  <si>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</si>
  <si>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</si>
  <si>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</si>
  <si>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</si>
  <si>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</si>
  <si>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</si>
  <si>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</si>
  <si>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</si>
  <si>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</si>
  <si>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</si>
  <si>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</si>
  <si>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</si>
  <si>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</si>
  <si>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</si>
  <si>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</si>
  <si>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</si>
  <si>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</si>
  <si>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</si>
  <si>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</si>
  <si>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</si>
  <si>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</si>
  <si>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</si>
  <si>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</si>
  <si>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</si>
  <si>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</si>
  <si>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</si>
  <si>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</si>
  <si>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</si>
  <si>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</si>
  <si>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</si>
  <si>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</si>
  <si>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</si>
  <si>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</si>
  <si>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</si>
  <si>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</si>
  <si>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</si>
  <si>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</si>
  <si>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</si>
  <si>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</si>
  <si>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</si>
  <si>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</si>
  <si>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</si>
  <si>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</si>
  <si>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</si>
  <si>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</si>
  <si>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</si>
  <si>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</si>
  <si>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</si>
  <si>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</si>
  <si>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</si>
  <si>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</si>
  <si>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</si>
  <si>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</si>
  <si>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</si>
  <si>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</si>
  <si>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</si>
  <si>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</si>
  <si>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</si>
  <si>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</si>
  <si>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</si>
  <si>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</si>
  <si>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</si>
  <si>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</si>
  <si>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</si>
  <si>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</si>
  <si>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</si>
  <si>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</si>
  <si>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</si>
  <si>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</si>
  <si>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</si>
  <si>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</si>
  <si>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</si>
  <si>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</si>
  <si>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</si>
  <si>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</si>
  <si>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</si>
  <si>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</si>
  <si>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</si>
  <si>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</si>
  <si>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</si>
  <si>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</si>
  <si>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</si>
  <si>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</si>
  <si>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</si>
  <si>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</si>
  <si>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</si>
  <si>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</si>
  <si>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</si>
  <si>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</si>
  <si>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</si>
  <si>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</si>
  <si>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</si>
  <si>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</si>
  <si>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</si>
  <si>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</si>
  <si>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</si>
  <si>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</si>
  <si>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</si>
  <si>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</si>
  <si>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</si>
  <si>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</si>
  <si>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</si>
  <si>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</si>
  <si>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</si>
  <si>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</si>
  <si>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</si>
  <si>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</si>
  <si>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</si>
  <si>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</si>
  <si>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</si>
  <si>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</si>
  <si>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</si>
  <si>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</si>
  <si>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</si>
  <si>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</si>
  <si>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</si>
  <si>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</si>
  <si>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</si>
  <si>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</si>
  <si>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</si>
  <si>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</si>
  <si>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</si>
  <si>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</si>
  <si>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</si>
  <si>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</si>
  <si>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</si>
  <si>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</si>
  <si>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</si>
  <si>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</si>
  <si>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</si>
  <si>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</si>
  <si>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</si>
  <si>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</si>
  <si>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</si>
  <si>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</si>
  <si>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</si>
  <si>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</si>
  <si>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</si>
  <si>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</si>
  <si>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</si>
  <si>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</si>
  <si>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</si>
  <si>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</si>
  <si>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</si>
  <si>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</si>
  <si>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</si>
  <si>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</si>
  <si>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</si>
  <si>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</si>
  <si>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</si>
  <si>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</si>
  <si>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</si>
  <si>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</si>
  <si>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</si>
  <si>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</si>
  <si>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</si>
  <si>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</si>
  <si>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</si>
  <si>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</si>
  <si>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</si>
  <si>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</si>
  <si>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</si>
  <si>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</si>
  <si>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</si>
  <si>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</si>
  <si>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</si>
  <si>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</si>
  <si>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</si>
  <si>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</si>
  <si>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</si>
  <si>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</si>
  <si>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</si>
  <si>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</si>
  <si>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</si>
  <si>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</si>
  <si>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</si>
  <si>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</si>
  <si>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</si>
  <si>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</si>
  <si>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</si>
  <si>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</si>
  <si>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</si>
  <si>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</si>
  <si>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</si>
  <si>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</si>
  <si>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</si>
  <si>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</si>
  <si>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</si>
  <si>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</si>
  <si>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</si>
  <si>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</si>
  <si>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</si>
  <si>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</si>
  <si>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</si>
  <si>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</si>
  <si>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</si>
  <si>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</si>
  <si>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</si>
  <si>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</si>
  <si>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</si>
  <si>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</si>
  <si>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</si>
  <si>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</si>
  <si>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</si>
  <si>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</si>
  <si>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</si>
  <si>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</si>
  <si>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</si>
  <si>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</si>
  <si>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</si>
  <si>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</si>
  <si>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</si>
  <si>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</si>
  <si>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</si>
  <si>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</si>
  <si>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</si>
  <si>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</si>
  <si>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</si>
  <si>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</si>
  <si>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</si>
  <si>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</si>
  <si>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</si>
  <si>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</si>
  <si>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</si>
  <si>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</si>
  <si>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</si>
  <si>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</si>
  <si>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</si>
  <si>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</si>
  <si>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</si>
  <si>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</si>
  <si>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</si>
  <si>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</si>
  <si>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</si>
  <si>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</si>
  <si>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</si>
  <si>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</si>
  <si>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</si>
  <si>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</si>
  <si>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</si>
  <si>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</si>
  <si>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</si>
  <si>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</si>
  <si>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</si>
  <si>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</si>
  <si>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</si>
  <si>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</si>
  <si>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</si>
  <si>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</si>
  <si>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</si>
  <si>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</si>
  <si>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</si>
  <si>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</si>
  <si>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</si>
  <si>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</si>
  <si>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</si>
  <si>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</si>
  <si>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</si>
  <si>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</si>
  <si>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</si>
  <si>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</si>
  <si>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</si>
  <si>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</si>
  <si>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</si>
  <si>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</si>
  <si>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</si>
  <si>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</si>
  <si>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</si>
  <si>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</si>
  <si>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</si>
  <si>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</si>
  <si>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</si>
  <si>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</si>
  <si>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</si>
  <si>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</si>
  <si>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</si>
  <si>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</si>
  <si>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</si>
  <si>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</si>
  <si>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</si>
  <si>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</si>
  <si>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</si>
  <si>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</si>
  <si>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</si>
  <si>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</si>
  <si>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</si>
  <si>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</si>
  <si>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</si>
  <si>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</si>
  <si>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</si>
  <si>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</si>
  <si>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</si>
  <si>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</si>
  <si>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</si>
  <si>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</si>
  <si>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</si>
  <si>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</si>
  <si>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</si>
  <si>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</si>
  <si>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</si>
  <si>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</si>
  <si>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</si>
  <si>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</si>
  <si>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</si>
  <si>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</si>
  <si>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</si>
  <si>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</si>
  <si>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</si>
  <si>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</si>
  <si>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</si>
  <si>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</si>
  <si>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</si>
  <si>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</si>
  <si>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</si>
  <si>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</si>
  <si>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</si>
  <si>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</si>
  <si>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</si>
  <si>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</si>
  <si>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</si>
  <si>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</si>
  <si>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</si>
  <si>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</si>
  <si>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</si>
  <si>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</si>
  <si>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</si>
  <si>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</si>
  <si>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</si>
  <si>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</si>
  <si>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</si>
  <si>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</si>
  <si>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</si>
  <si>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</si>
  <si>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</si>
  <si>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</si>
  <si>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</si>
  <si>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</si>
  <si>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</si>
  <si>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</si>
  <si>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</si>
  <si>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</si>
  <si>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</si>
  <si>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1.2.4.SN4.</t>
  </si>
  <si>
    <t>1.2.4.SAU.</t>
  </si>
  <si>
    <t>1.2.4.LUC.</t>
  </si>
  <si>
    <t>1.2.4.GRA.</t>
  </si>
  <si>
    <t>1.2.4.AVS.</t>
  </si>
  <si>
    <t>1.2.4.POM.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</si>
  <si>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</si>
  <si>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</si>
  <si>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</si>
  <si>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</si>
  <si>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</si>
  <si>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</si>
  <si>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</si>
  <si>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</si>
  <si>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</si>
  <si>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</si>
  <si>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</si>
  <si>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</si>
  <si>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</si>
  <si>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</si>
  <si>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</si>
  <si>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</si>
  <si>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</si>
  <si>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</si>
  <si>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</si>
  <si>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</si>
  <si>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</si>
  <si>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</si>
  <si>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</si>
  <si>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</si>
  <si>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</si>
  <si>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</si>
  <si>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</si>
  <si>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</si>
  <si>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</si>
  <si>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</si>
  <si>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</si>
  <si>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</si>
  <si>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</si>
  <si>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</si>
  <si>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</si>
  <si>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</si>
  <si>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</si>
  <si>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</si>
  <si>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</si>
  <si>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3.2.2..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</si>
  <si>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</si>
  <si>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</si>
  <si>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</si>
  <si>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</si>
  <si>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</si>
  <si>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</si>
  <si>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</si>
  <si>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</si>
  <si>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</si>
  <si>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</si>
  <si>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</si>
  <si>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</si>
  <si>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</si>
  <si>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</si>
  <si>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</si>
  <si>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</si>
  <si>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</si>
  <si>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</si>
  <si>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</si>
  <si>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</si>
  <si>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</si>
  <si>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</si>
  <si>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</si>
  <si>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</si>
  <si>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</si>
  <si>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</si>
  <si>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</si>
  <si>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</si>
  <si>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</si>
  <si>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</si>
  <si>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</si>
  <si>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</si>
  <si>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</si>
  <si>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</si>
  <si>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</si>
  <si>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</si>
  <si>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</si>
  <si>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</si>
  <si>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</si>
  <si>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</si>
  <si>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</si>
  <si>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</si>
  <si>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</si>
  <si>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</si>
  <si>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</si>
  <si>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</si>
  <si>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</si>
  <si>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1.2.4.JRP.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</si>
  <si>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</si>
  <si>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</si>
  <si>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</si>
  <si>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</si>
  <si>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</si>
  <si>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</si>
  <si>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</si>
  <si>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</si>
  <si>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</si>
  <si>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</si>
  <si>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</si>
  <si>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</si>
  <si>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</si>
  <si>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</si>
  <si>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</si>
  <si>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3.2.3.SN2.</t>
  </si>
  <si>
    <t>3.2.3.GRA.</t>
  </si>
  <si>
    <t>3.2.3.AMP.</t>
  </si>
  <si>
    <t>3.2.4.</t>
  </si>
  <si>
    <t>Incluir despesas compromissadas</t>
  </si>
  <si>
    <t>Comparar fontes da informação "posição de caixa e equivalentes"</t>
  </si>
  <si>
    <t>Expurgar despesas financeiras referentes à PJ do CN "Comissão/vendas"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</si>
  <si>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</si>
  <si>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</si>
  <si>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</si>
  <si>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</si>
  <si>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</si>
  <si>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</si>
  <si>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</si>
  <si>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</si>
  <si>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</si>
  <si>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</si>
  <si>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</si>
  <si>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</si>
  <si>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</si>
  <si>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</si>
  <si>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3.2.3.AVS.</t>
  </si>
  <si>
    <t>3.2.3.LUC.</t>
  </si>
  <si>
    <t>Distribuição de dividendos / JCP</t>
  </si>
  <si>
    <t>Taxas de gerenciamento/administração</t>
  </si>
  <si>
    <t>1.2..</t>
  </si>
  <si>
    <t>Concluído</t>
  </si>
  <si>
    <t>Adequar os dados para integração com o BI da i9</t>
  </si>
  <si>
    <t>Serviço da dívida PJ CEF</t>
  </si>
  <si>
    <t>DATA BASE</t>
  </si>
  <si>
    <t>SOMENTE PARA VISUALIZAÇÃO</t>
  </si>
  <si>
    <t>LIMITES DISPONIVEIS NA DATA BASE</t>
  </si>
  <si>
    <t>CEF 1</t>
  </si>
  <si>
    <t xml:space="preserve"> CEF 2 </t>
  </si>
  <si>
    <t xml:space="preserve">CEF 3 </t>
  </si>
  <si>
    <t>CEF 4</t>
  </si>
  <si>
    <t>SAFRA</t>
  </si>
  <si>
    <t>Linkpay</t>
  </si>
  <si>
    <t>Paulista</t>
  </si>
  <si>
    <t>QITech</t>
  </si>
  <si>
    <t xml:space="preserve">Poup </t>
  </si>
  <si>
    <t xml:space="preserve">Bloq </t>
  </si>
  <si>
    <t>Lim. Chq Itau</t>
  </si>
  <si>
    <t>Lim. Cheq CEF 1</t>
  </si>
  <si>
    <t>Lim. Cheq CEF 2</t>
  </si>
  <si>
    <t>Lim. Cheq SAFRA</t>
  </si>
  <si>
    <t>Pompeia</t>
  </si>
  <si>
    <t>Matriz</t>
  </si>
  <si>
    <t>Civil</t>
  </si>
  <si>
    <t>Lucas</t>
  </si>
  <si>
    <t>Socorro</t>
  </si>
  <si>
    <t>Grauça</t>
  </si>
  <si>
    <t xml:space="preserve">Estação Vila Sonia </t>
  </si>
  <si>
    <t>Metro</t>
  </si>
  <si>
    <t>BIG</t>
  </si>
  <si>
    <t>Incorflora</t>
  </si>
  <si>
    <t>Sale</t>
  </si>
  <si>
    <t xml:space="preserve">Saude </t>
  </si>
  <si>
    <t>Sonia 4</t>
  </si>
  <si>
    <t>DvPf</t>
  </si>
  <si>
    <t>LPf</t>
  </si>
  <si>
    <t>Campo Belo</t>
  </si>
  <si>
    <t>Bibiana</t>
  </si>
  <si>
    <t>JD São Paulo</t>
  </si>
  <si>
    <t>Butia</t>
  </si>
  <si>
    <t>VRT</t>
  </si>
  <si>
    <t>Campolargo</t>
  </si>
  <si>
    <t>Lugano</t>
  </si>
  <si>
    <t>Christiane</t>
  </si>
  <si>
    <t>CAIXA</t>
  </si>
  <si>
    <t>Descons. Limite utilizado -</t>
  </si>
  <si>
    <t>reservas::</t>
  </si>
  <si>
    <t>Previsão Recursos até 30/04</t>
  </si>
  <si>
    <t>PJ Folha</t>
  </si>
  <si>
    <t xml:space="preserve">FL M.O. </t>
  </si>
  <si>
    <t>LOPES</t>
  </si>
  <si>
    <t>ITBI up move</t>
  </si>
  <si>
    <t xml:space="preserve">FGTS </t>
  </si>
  <si>
    <t>VA/VT</t>
  </si>
  <si>
    <t xml:space="preserve">provincia </t>
  </si>
  <si>
    <t>PREST HAB PRUD</t>
  </si>
  <si>
    <t xml:space="preserve">PREST HAB METRO </t>
  </si>
  <si>
    <t>DISPONÍVEIS DESCONTANDO RESERVAS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</si>
  <si>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</si>
  <si>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</si>
  <si>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</si>
  <si>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</si>
  <si>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</si>
  <si>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</si>
  <si>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</si>
  <si>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</si>
  <si>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</si>
  <si>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</si>
  <si>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</si>
  <si>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</si>
  <si>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</si>
  <si>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</si>
  <si>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</si>
  <si>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</si>
  <si>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</si>
  <si>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</si>
  <si>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</si>
  <si>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</si>
  <si>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</si>
  <si>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</si>
  <si>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</si>
  <si>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</si>
  <si>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</si>
  <si>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</si>
  <si>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</si>
  <si>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</si>
  <si>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</si>
  <si>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</si>
  <si>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</si>
  <si>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</si>
  <si>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</si>
  <si>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</si>
  <si>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</si>
  <si>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</si>
  <si>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</si>
  <si>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</si>
  <si>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</si>
  <si>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</si>
  <si>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Remover os CNs "Gerenciamento..." de atividades de financiamento</t>
  </si>
  <si>
    <t>Agrupar CNs similares:
  1. Custo obra = "Custo obra" + CNs que começam com "Dep. Pessoal - Up..."
  2. Gerenciamento/taxa de administração = CNs que começam com "Gerenciamento..."</t>
  </si>
  <si>
    <t>VGV (viabilidade)</t>
  </si>
  <si>
    <t>Diferença</t>
  </si>
  <si>
    <t>Diferença (%)</t>
  </si>
  <si>
    <t>Histórico dos VGVs das viabilidades de acompanhamento</t>
  </si>
  <si>
    <t>1.2.3.</t>
  </si>
  <si>
    <t>1.2.3.AMPLA.</t>
  </si>
  <si>
    <t>1.2.3.ENC.</t>
  </si>
  <si>
    <t>1.2.3.USL.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</si>
  <si>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</si>
  <si>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</si>
  <si>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</si>
  <si>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</si>
  <si>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</si>
  <si>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</si>
  <si>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</si>
  <si>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</si>
  <si>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</si>
  <si>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</si>
  <si>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</si>
  <si>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</si>
  <si>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</si>
  <si>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</si>
  <si>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</si>
  <si>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</si>
  <si>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</si>
  <si>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</si>
  <si>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Previsão Recursos até 30/06</t>
  </si>
  <si>
    <t>GRATIFICAÇÃO M.O.</t>
  </si>
  <si>
    <t>ADTO M.O.</t>
  </si>
  <si>
    <t xml:space="preserve">ITBI </t>
  </si>
  <si>
    <t xml:space="preserve">CUSTO DE TERRENO JD SP </t>
  </si>
  <si>
    <t>20/04 já não esta somando no caixa - desconsiderei os vales porque os debitos estão autorizados.</t>
  </si>
  <si>
    <t>20/04 tem 80k na metro que não pode usar, pq vai debitar parcela de VMD</t>
  </si>
  <si>
    <t>20/04 tem 23k na cef matriz que não pode usar, vai debitar 16k de juros</t>
  </si>
  <si>
    <t>FL M.O. - SALARIO</t>
  </si>
  <si>
    <t>Retirada Socios</t>
  </si>
  <si>
    <t>contrato SN2</t>
  </si>
  <si>
    <t>contrato GRA</t>
  </si>
  <si>
    <t>Previsão Recursos</t>
  </si>
  <si>
    <t>$$</t>
  </si>
  <si>
    <t xml:space="preserve">parcelmanento impostos empreiteiras </t>
  </si>
  <si>
    <t>repasse lucas</t>
  </si>
  <si>
    <t>1MM na conta CEF SN4 não deve ser considerado para saldo</t>
  </si>
  <si>
    <t>FL M.O - premio</t>
  </si>
  <si>
    <t>pj lucas</t>
  </si>
  <si>
    <t>FL M.O. - ADIANTAMENTO</t>
  </si>
  <si>
    <t xml:space="preserve">contrato prudencia </t>
  </si>
  <si>
    <t>em atraso</t>
  </si>
  <si>
    <t>medição select</t>
  </si>
  <si>
    <t>FL M.O</t>
  </si>
  <si>
    <t xml:space="preserve">pj select </t>
  </si>
  <si>
    <t>FL PJ</t>
  </si>
  <si>
    <t>EMP. VRT</t>
  </si>
  <si>
    <t>Pilar x Lucas</t>
  </si>
  <si>
    <t>Parada</t>
  </si>
  <si>
    <t>Simples Butia e Campolargo</t>
  </si>
  <si>
    <t>pgto deve ser realizado na sexta.</t>
  </si>
  <si>
    <t>folha m.o. + pj</t>
  </si>
  <si>
    <t xml:space="preserve">retirada socios </t>
  </si>
  <si>
    <t>fgts m.o.</t>
  </si>
  <si>
    <t>lps</t>
  </si>
  <si>
    <t>vencido dez/25</t>
  </si>
  <si>
    <t>supermix</t>
  </si>
  <si>
    <t>LPS</t>
  </si>
  <si>
    <t>PROVINCIA PARCELAMENTO</t>
  </si>
  <si>
    <t>Provincia</t>
  </si>
  <si>
    <t>retirada socios</t>
  </si>
  <si>
    <t>quando der!!</t>
  </si>
  <si>
    <t>Mecano negociação</t>
  </si>
  <si>
    <t>estamos devendo Davi da reserva de 1MM</t>
  </si>
  <si>
    <t>ITBI São Lucas</t>
  </si>
  <si>
    <t>CYRELA DEV</t>
  </si>
  <si>
    <t>FGTS</t>
  </si>
  <si>
    <t>ATÉ 25/12</t>
  </si>
  <si>
    <t xml:space="preserve">JUROS E MULTA ROCHA AÇO </t>
  </si>
  <si>
    <t>PMT VIRGO</t>
  </si>
  <si>
    <t>prest hab metro****</t>
  </si>
  <si>
    <t>folha dia 5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</si>
  <si>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</si>
  <si>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</si>
  <si>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</si>
  <si>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</si>
  <si>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</si>
  <si>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</si>
  <si>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</si>
  <si>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</si>
  <si>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Saldo0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</si>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</sst>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4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A3"/>
        <bgColor indexed="64"/>
      </patternFill>
    </fill>
    <fill>
      <patternFill patternType="solid">
        <fgColor rgb="FFFFD685"/>
        <bgColor indexed="64"/>
      </patternFill>
    </fill>
    <fill>
      <patternFill patternType="solid">
        <fgColor rgb="FF92D050"/>
        <bgColor indexed="64"/>
      </patternFill>
    </fill>
  </fills>
  <borders count="8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640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30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31" borderId="29" xfId="0" applyFont="1" applyFill="1" applyBorder="1" applyAlignment="1">
      <alignment horizontal="center" vertical="center"/>
    </xf>
    <xf numFmtId="44" fontId="0" fillId="0" borderId="29" xfId="2" applyFont="1" applyBorder="1"/>
    <xf numFmtId="0" fontId="0" fillId="0" borderId="29" xfId="0" applyBorder="1"/>
    <xf numFmtId="14" fontId="31" fillId="31" borderId="29" xfId="0" applyNumberFormat="1" applyFont="1" applyFill="1" applyBorder="1" applyAlignment="1">
      <alignment horizontal="center" vertical="center"/>
    </xf>
    <xf numFmtId="44" fontId="25" fillId="0" borderId="29" xfId="2" applyFont="1" applyBorder="1" applyAlignment="1">
      <alignment horizontal="center" vertical="center"/>
    </xf>
    <xf numFmtId="8" fontId="25" fillId="0" borderId="29" xfId="2" applyNumberFormat="1" applyFont="1" applyBorder="1" applyAlignment="1">
      <alignment horizontal="center" vertical="center"/>
    </xf>
    <xf numFmtId="8" fontId="32" fillId="0" borderId="29" xfId="2" applyNumberFormat="1" applyFont="1" applyBorder="1" applyAlignment="1">
      <alignment horizontal="center" vertical="center"/>
    </xf>
    <xf numFmtId="40" fontId="32" fillId="27" borderId="29" xfId="2" applyNumberFormat="1" applyFont="1" applyFill="1" applyBorder="1" applyAlignment="1">
      <alignment horizontal="center" vertical="center"/>
    </xf>
    <xf numFmtId="8" fontId="32" fillId="11" borderId="29" xfId="2" applyNumberFormat="1" applyFont="1" applyFill="1" applyBorder="1" applyAlignment="1">
      <alignment horizontal="center" vertical="center"/>
    </xf>
    <xf numFmtId="40" fontId="32" fillId="11" borderId="29" xfId="2" applyNumberFormat="1" applyFont="1" applyFill="1" applyBorder="1" applyAlignment="1">
      <alignment horizontal="center" vertical="center"/>
    </xf>
    <xf numFmtId="40" fontId="32" fillId="32" borderId="29" xfId="2" applyNumberFormat="1" applyFont="1" applyFill="1" applyBorder="1" applyAlignment="1">
      <alignment horizontal="center" vertical="center"/>
    </xf>
    <xf numFmtId="40" fontId="27" fillId="0" borderId="29" xfId="2" applyNumberFormat="1" applyFont="1" applyBorder="1"/>
    <xf numFmtId="40" fontId="27" fillId="27" borderId="29" xfId="2" applyNumberFormat="1" applyFont="1" applyFill="1" applyBorder="1"/>
    <xf numFmtId="40" fontId="27" fillId="35" borderId="29" xfId="2" applyNumberFormat="1" applyFont="1" applyFill="1" applyBorder="1"/>
    <xf numFmtId="0" fontId="0" fillId="27" borderId="0" xfId="0" applyFill="1"/>
    <xf numFmtId="44" fontId="0" fillId="27" borderId="0" xfId="2" applyFont="1" applyFill="1"/>
    <xf numFmtId="44" fontId="0" fillId="27" borderId="0" xfId="0" applyNumberFormat="1" applyFill="1"/>
    <xf numFmtId="0" fontId="2" fillId="27" borderId="0" xfId="0" applyFont="1" applyFill="1" applyAlignment="1">
      <alignment horizontal="center"/>
    </xf>
    <xf numFmtId="44" fontId="34" fillId="27" borderId="0" xfId="2" applyFont="1" applyFill="1"/>
    <xf numFmtId="0" fontId="20" fillId="33" borderId="0" xfId="0" applyFont="1" applyFill="1" applyAlignment="1">
      <alignment horizontal="center" wrapText="1"/>
    </xf>
    <xf numFmtId="0" fontId="2" fillId="27" borderId="0" xfId="0" applyFont="1" applyFill="1" applyAlignment="1">
      <alignment horizontal="center" vertical="center"/>
    </xf>
    <xf numFmtId="0" fontId="2" fillId="27" borderId="0" xfId="0" applyFont="1" applyFill="1"/>
    <xf numFmtId="0" fontId="23" fillId="27" borderId="0" xfId="0" applyFont="1" applyFill="1" applyAlignment="1">
      <alignment horizontal="right"/>
    </xf>
    <xf numFmtId="44" fontId="23" fillId="27" borderId="0" xfId="2" applyFont="1" applyFill="1" applyAlignment="1">
      <alignment vertical="center" wrapText="1"/>
    </xf>
    <xf numFmtId="16" fontId="23" fillId="27" borderId="0" xfId="0" applyNumberFormat="1" applyFont="1" applyFill="1" applyAlignment="1">
      <alignment horizontal="center" vertical="center"/>
    </xf>
    <xf numFmtId="16" fontId="0" fillId="27" borderId="0" xfId="0" applyNumberFormat="1" applyFill="1"/>
    <xf numFmtId="0" fontId="23" fillId="27" borderId="0" xfId="0" applyFont="1" applyFill="1" applyAlignment="1">
      <alignment horizontal="right" vertical="center"/>
    </xf>
    <xf numFmtId="44" fontId="23" fillId="27" borderId="0" xfId="2" applyFont="1" applyFill="1" applyAlignment="1">
      <alignment vertical="center"/>
    </xf>
    <xf numFmtId="44" fontId="0" fillId="27" borderId="0" xfId="2" applyFont="1" applyFill="1" applyAlignment="1">
      <alignment vertical="center"/>
    </xf>
    <xf numFmtId="16" fontId="23" fillId="27" borderId="0" xfId="0" applyNumberFormat="1" applyFont="1" applyFill="1" applyAlignment="1">
      <alignment vertical="center" wrapText="1"/>
    </xf>
    <xf numFmtId="0" fontId="0" fillId="27" borderId="0" xfId="0" applyFill="1" applyAlignment="1">
      <alignment vertical="center"/>
    </xf>
    <xf numFmtId="16" fontId="0" fillId="27" borderId="0" xfId="0" applyNumberFormat="1" applyFill="1" applyAlignment="1">
      <alignment horizontal="left"/>
    </xf>
    <xf numFmtId="0" fontId="2" fillId="27" borderId="0" xfId="0" applyFont="1" applyFill="1" applyAlignment="1">
      <alignment vertical="center"/>
    </xf>
    <xf numFmtId="44" fontId="36" fillId="27" borderId="0" xfId="0" applyNumberFormat="1" applyFont="1" applyFill="1" applyAlignment="1">
      <alignment horizontal="center" vertical="center"/>
    </xf>
    <xf numFmtId="44" fontId="0" fillId="0" borderId="0" xfId="2" applyFont="1"/>
    <xf numFmtId="0" fontId="0" fillId="27" borderId="0" xfId="0" applyFill="1" applyAlignment="1">
      <alignment horizontal="right" wrapText="1"/>
    </xf>
    <xf numFmtId="44" fontId="37" fillId="0" borderId="0" xfId="0" applyNumberFormat="1" applyFont="1"/>
    <xf numFmtId="43" fontId="27" fillId="0" borderId="29" xfId="2" applyNumberFormat="1" applyFont="1" applyBorder="1"/>
    <xf numFmtId="43" fontId="27" fillId="27" borderId="29" xfId="2" applyNumberFormat="1" applyFont="1" applyFill="1" applyBorder="1"/>
    <xf numFmtId="43" fontId="27" fillId="33" borderId="29" xfId="2" applyNumberFormat="1" applyFont="1" applyFill="1" applyBorder="1"/>
    <xf numFmtId="43" fontId="33" fillId="33" borderId="29" xfId="2" applyNumberFormat="1" applyFont="1" applyFill="1" applyBorder="1"/>
    <xf numFmtId="43" fontId="27" fillId="25" borderId="29" xfId="2" applyNumberFormat="1" applyFont="1" applyFill="1" applyBorder="1"/>
    <xf numFmtId="43" fontId="27" fillId="11" borderId="29" xfId="2" applyNumberFormat="1" applyFont="1" applyFill="1" applyBorder="1"/>
    <xf numFmtId="43" fontId="23" fillId="0" borderId="29" xfId="2" applyNumberFormat="1" applyFont="1" applyBorder="1"/>
    <xf numFmtId="43" fontId="20" fillId="0" borderId="29" xfId="2" applyNumberFormat="1" applyFont="1" applyBorder="1"/>
    <xf numFmtId="43" fontId="20" fillId="27" borderId="29" xfId="2" applyNumberFormat="1" applyFont="1" applyFill="1" applyBorder="1"/>
    <xf numFmtId="43" fontId="34" fillId="25" borderId="29" xfId="2" applyNumberFormat="1" applyFont="1" applyFill="1" applyBorder="1"/>
    <xf numFmtId="43" fontId="23" fillId="25" borderId="29" xfId="2" applyNumberFormat="1" applyFont="1" applyFill="1" applyBorder="1"/>
    <xf numFmtId="43" fontId="20" fillId="33" borderId="29" xfId="2" applyNumberFormat="1" applyFont="1" applyFill="1" applyBorder="1"/>
    <xf numFmtId="43" fontId="23" fillId="27" borderId="29" xfId="2" applyNumberFormat="1" applyFont="1" applyFill="1" applyBorder="1"/>
    <xf numFmtId="43" fontId="0" fillId="0" borderId="29" xfId="2" applyNumberFormat="1" applyFont="1" applyBorder="1"/>
    <xf numFmtId="43" fontId="0" fillId="25" borderId="29" xfId="2" applyNumberFormat="1" applyFont="1" applyFill="1" applyBorder="1"/>
    <xf numFmtId="43" fontId="23" fillId="11" borderId="29" xfId="2" applyNumberFormat="1" applyFont="1" applyFill="1" applyBorder="1"/>
    <xf numFmtId="43" fontId="27" fillId="34" borderId="29" xfId="2" applyNumberFormat="1" applyFont="1" applyFill="1" applyBorder="1"/>
    <xf numFmtId="43" fontId="23" fillId="34" borderId="29" xfId="2" applyNumberFormat="1" applyFont="1" applyFill="1" applyBorder="1"/>
    <xf numFmtId="43" fontId="23" fillId="35" borderId="29" xfId="2" applyNumberFormat="1" applyFont="1" applyFill="1" applyBorder="1"/>
    <xf numFmtId="43" fontId="27" fillId="35" borderId="29" xfId="2" applyNumberFormat="1" applyFont="1" applyFill="1" applyBorder="1"/>
    <xf numFmtId="43" fontId="27" fillId="0" borderId="29" xfId="2" applyNumberFormat="1" applyFont="1" applyFill="1" applyBorder="1"/>
    <xf numFmtId="43" fontId="27" fillId="21" borderId="29" xfId="2" applyNumberFormat="1" applyFont="1" applyFill="1" applyBorder="1"/>
    <xf numFmtId="43" fontId="0" fillId="27" borderId="0" xfId="2" applyNumberFormat="1" applyFont="1" applyFill="1"/>
    <xf numFmtId="43" fontId="0" fillId="27" borderId="0" xfId="0" applyNumberFormat="1" applyFill="1"/>
    <xf numFmtId="43" fontId="34" fillId="27" borderId="0" xfId="2" applyNumberFormat="1" applyFont="1" applyFill="1"/>
    <xf numFmtId="43" fontId="20" fillId="33" borderId="0" xfId="2" applyNumberFormat="1" applyFont="1" applyFill="1" applyAlignment="1">
      <alignment vertical="center"/>
    </xf>
    <xf numFmtId="43" fontId="35" fillId="26" borderId="0" xfId="0" applyNumberFormat="1" applyFont="1" applyFill="1"/>
    <xf numFmtId="43" fontId="23" fillId="27" borderId="0" xfId="2" applyNumberFormat="1" applyFont="1" applyFill="1" applyAlignment="1">
      <alignment vertical="center"/>
    </xf>
    <xf numFmtId="43" fontId="23" fillId="7" borderId="0" xfId="2" applyNumberFormat="1" applyFont="1" applyFill="1"/>
    <xf numFmtId="43" fontId="2" fillId="36" borderId="0" xfId="2" applyNumberFormat="1" applyFont="1" applyFill="1" applyAlignment="1">
      <alignment vertical="center"/>
    </xf>
    <xf numFmtId="43" fontId="35" fillId="26" borderId="0" xfId="0" applyNumberFormat="1" applyFont="1" applyFill="1" applyAlignment="1">
      <alignment vertical="center"/>
    </xf>
    <xf numFmtId="43" fontId="2" fillId="7" borderId="0" xfId="2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0" fillId="0" borderId="24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44" fontId="0" fillId="0" borderId="0" xfId="0" applyNumberFormat="1"/>
    <xf numFmtId="0" fontId="34" fillId="27" borderId="0" xfId="0" applyFont="1" applyFill="1" applyAlignment="1">
      <alignment horizontal="right"/>
    </xf>
    <xf numFmtId="16" fontId="34" fillId="27" borderId="0" xfId="0" applyNumberFormat="1" applyFont="1" applyFill="1" applyAlignment="1">
      <alignment horizontal="center" vertical="center"/>
    </xf>
    <xf numFmtId="0" fontId="23" fillId="27" borderId="0" xfId="0" applyFont="1" applyFill="1"/>
    <xf numFmtId="44" fontId="23" fillId="27" borderId="0" xfId="0" applyNumberFormat="1" applyFont="1" applyFill="1"/>
    <xf numFmtId="0" fontId="34" fillId="27" borderId="0" xfId="0" applyFont="1" applyFill="1" applyAlignment="1">
      <alignment vertical="center"/>
    </xf>
    <xf numFmtId="44" fontId="34" fillId="27" borderId="0" xfId="0" applyNumberFormat="1" applyFont="1" applyFill="1" applyAlignment="1">
      <alignment vertical="center"/>
    </xf>
    <xf numFmtId="40" fontId="25" fillId="27" borderId="29" xfId="2" applyNumberFormat="1" applyFont="1" applyFill="1" applyBorder="1" applyAlignment="1">
      <alignment horizontal="center" vertical="center"/>
    </xf>
    <xf numFmtId="8" fontId="25" fillId="11" borderId="29" xfId="2" applyNumberFormat="1" applyFont="1" applyFill="1" applyBorder="1" applyAlignment="1">
      <alignment horizontal="center" vertical="center"/>
    </xf>
    <xf numFmtId="40" fontId="25" fillId="11" borderId="29" xfId="2" applyNumberFormat="1" applyFont="1" applyFill="1" applyBorder="1" applyAlignment="1">
      <alignment horizontal="center" vertical="center"/>
    </xf>
    <xf numFmtId="40" fontId="25" fillId="32" borderId="29" xfId="2" applyNumberFormat="1" applyFont="1" applyFill="1" applyBorder="1" applyAlignment="1">
      <alignment horizontal="center" vertical="center"/>
    </xf>
    <xf numFmtId="40" fontId="23" fillId="27" borderId="29" xfId="2" applyNumberFormat="1" applyFont="1" applyFill="1" applyBorder="1"/>
    <xf numFmtId="0" fontId="23" fillId="31" borderId="0" xfId="0" applyFont="1" applyFill="1" applyAlignment="1">
      <alignment horizontal="right"/>
    </xf>
    <xf numFmtId="16" fontId="23" fillId="31" borderId="0" xfId="0" applyNumberFormat="1" applyFont="1" applyFill="1" applyAlignment="1">
      <alignment horizontal="center" vertical="center"/>
    </xf>
    <xf numFmtId="0" fontId="23" fillId="31" borderId="0" xfId="0" applyFont="1" applyFill="1"/>
    <xf numFmtId="16" fontId="0" fillId="0" borderId="0" xfId="0" applyNumberFormat="1" applyAlignment="1">
      <alignment horizontal="left"/>
    </xf>
    <xf numFmtId="0" fontId="2" fillId="27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0" fillId="27" borderId="0" xfId="0" applyFill="1" applyAlignment="1">
      <alignment horizontal="right"/>
    </xf>
    <xf numFmtId="0" fontId="34" fillId="27" borderId="0" xfId="0" applyFont="1" applyFill="1"/>
    <xf numFmtId="16" fontId="23" fillId="0" borderId="0" xfId="0" applyNumberFormat="1" applyFont="1" applyAlignment="1">
      <alignment horizontal="left"/>
    </xf>
    <xf numFmtId="0" fontId="0" fillId="27" borderId="0" xfId="0" applyFill="1" applyAlignment="1">
      <alignment horizontal="right" vertical="center"/>
    </xf>
    <xf numFmtId="0" fontId="23" fillId="0" borderId="0" xfId="0" applyFont="1" applyAlignment="1">
      <alignment horizontal="left"/>
    </xf>
    <xf numFmtId="16" fontId="23" fillId="27" borderId="0" xfId="0" applyNumberFormat="1" applyFont="1" applyFill="1" applyAlignment="1">
      <alignment horizontal="left"/>
    </xf>
    <xf numFmtId="43" fontId="20" fillId="25" borderId="29" xfId="2" applyNumberFormat="1" applyFont="1" applyFill="1" applyBorder="1"/>
    <xf numFmtId="43" fontId="23" fillId="33" borderId="29" xfId="2" applyNumberFormat="1" applyFont="1" applyFill="1" applyBorder="1"/>
    <xf numFmtId="43" fontId="2" fillId="27" borderId="0" xfId="0" applyNumberFormat="1" applyFont="1" applyFill="1"/>
    <xf numFmtId="43" fontId="23" fillId="27" borderId="0" xfId="2" applyNumberFormat="1" applyFont="1" applyFill="1"/>
    <xf numFmtId="43" fontId="2" fillId="7" borderId="0" xfId="2" applyNumberFormat="1" applyFont="1" applyFill="1"/>
    <xf numFmtId="43" fontId="2" fillId="25" borderId="29" xfId="2" applyNumberFormat="1" applyFont="1" applyFill="1" applyBorder="1"/>
    <xf numFmtId="43" fontId="23" fillId="31" borderId="0" xfId="2" applyNumberFormat="1" applyFont="1" applyFill="1"/>
    <xf numFmtId="43" fontId="0" fillId="0" borderId="0" xfId="2" applyNumberFormat="1" applyFont="1"/>
    <xf numFmtId="43" fontId="23" fillId="0" borderId="29" xfId="2" applyNumberFormat="1" applyFont="1" applyFill="1" applyBorder="1"/>
    <xf numFmtId="43" fontId="34" fillId="0" borderId="29" xfId="2" applyNumberFormat="1" applyFont="1" applyBorder="1"/>
    <xf numFmtId="43" fontId="2" fillId="7" borderId="0" xfId="2" applyNumberFormat="1" applyFont="1" applyFill="1" applyAlignment="1">
      <alignment vertical="center"/>
    </xf>
    <xf numFmtId="43" fontId="38" fillId="0" borderId="0" xfId="0" applyNumberFormat="1" applyFont="1"/>
    <xf numFmtId="43" fontId="18" fillId="0" borderId="29" xfId="2" applyNumberFormat="1" applyFont="1" applyBorder="1"/>
    <xf numFmtId="43" fontId="23" fillId="7" borderId="29" xfId="2" applyNumberFormat="1" applyFont="1" applyFill="1" applyBorder="1"/>
    <xf numFmtId="43" fontId="23" fillId="27" borderId="0" xfId="2" applyNumberFormat="1" applyFont="1" applyFill="1" applyAlignment="1">
      <alignment vertical="center" wrapText="1"/>
    </xf>
    <xf numFmtId="43" fontId="34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17" fillId="0" borderId="59" xfId="0" applyFont="1" applyBorder="1"/>
    <xf numFmtId="0" fontId="0" fillId="0" borderId="88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7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43" fontId="23" fillId="0" borderId="0" xfId="0" applyNumberFormat="1" applyFont="1" applyAlignment="1">
      <alignment vertical="center"/>
    </xf>
    <xf numFmtId="43" fontId="0" fillId="0" borderId="0" xfId="0" applyNumberFormat="1" applyAlignment="1">
      <alignment vertical="center"/>
    </xf>
    <xf numFmtId="43" fontId="23" fillId="0" borderId="0" xfId="0" applyNumberFormat="1" applyFont="1"/>
    <xf numFmtId="0" fontId="2" fillId="17" borderId="0" xfId="0" applyFont="1" applyFill="1" applyAlignment="1">
      <alignment horizontal="center" vertical="center"/>
    </xf>
    <xf numFmtId="0" fontId="39" fillId="15" borderId="38" xfId="0" applyFont="1" applyFill="1" applyBorder="1" applyAlignment="1">
      <alignment horizontal="center" vertical="center"/>
    </xf>
    <xf numFmtId="0" fontId="40" fillId="0" borderId="14" xfId="1" applyFont="1" applyBorder="1" applyAlignment="1">
      <alignment horizontal="center" vertical="center"/>
    </xf>
    <xf numFmtId="0" fontId="40" fillId="0" borderId="18" xfId="1" applyFont="1" applyBorder="1" applyAlignment="1">
      <alignment horizontal="center" vertical="center"/>
    </xf>
    <xf numFmtId="0" fontId="40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8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2" fillId="32" borderId="29" xfId="0" applyFont="1" applyFill="1" applyBorder="1" applyAlignment="1">
      <alignment horizontal="center"/>
    </xf>
    <xf numFmtId="0" fontId="0" fillId="7" borderId="0" xfId="0" applyFill="1" applyAlignment="1">
      <alignment horizontal="center" vertical="center" wrapText="1"/>
    </xf>
    <xf numFmtId="44" fontId="34" fillId="7" borderId="29" xfId="2" applyFont="1" applyFill="1" applyBorder="1" applyAlignment="1">
      <alignment horizontal="center" vertical="center" wrapText="1"/>
    </xf>
    <xf numFmtId="0" fontId="34" fillId="7" borderId="29" xfId="0" applyFont="1" applyFill="1" applyBorder="1" applyAlignment="1">
      <alignment horizontal="center" vertical="center" wrapText="1"/>
    </xf>
    <xf numFmtId="0" fontId="34" fillId="36" borderId="29" xfId="0" applyFont="1" applyFill="1" applyBorder="1" applyAlignment="1">
      <alignment horizontal="center" vertical="center" wrapText="1"/>
    </xf>
    <xf numFmtId="0" fontId="2" fillId="27" borderId="0" xfId="0" applyFont="1" applyFill="1" applyAlignment="1">
      <alignment horizontal="center"/>
    </xf>
    <xf numFmtId="0" fontId="0" fillId="0" borderId="0" xfId="0" applyNumberFormat="1"/>
    <xf numFmtId="0" fontId="0" fillId="0" borderId="19" xfId="0" applyFill="1" applyBorder="1" applyAlignment="1">
      <alignment horizontal="left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26">
    <dxf>
      <numFmt numFmtId="166" formatCode="mmm\-yyyy"/>
    </dxf>
    <dxf>
      <numFmt numFmtId="33" formatCode="_-* #,##0_-;\-* #,##0_-;_-* &quot;-&quot;_-;_-@_-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7" formatCode="_-* #,##0_-;\-* #,##0_-;_-* &quot;-&quot;??_-;_-@_-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microsoft.com/office/2017/06/relationships/rdRichValueStructure" Target="richData/rdrichvaluestructure.xml"/><Relationship Id="rId47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49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microsoft.com/office/2017/06/relationships/rdRichValueTypes" Target="richData/rdRichValueTypes.xml"/><Relationship Id="rId48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styles" Target="styles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f.grupo!$B$171:$C$171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f.grupo!$D$171:$AA$171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f.grupo!$B$197:$C$197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f.grupo!$D$197:$AA$197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f.grupo!$B$257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f.grupo!$D$257:$AA$257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-2484752.4500000002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f.grupo!$B$311:$C$311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f.grupo!$D$311:$AA$311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f.grupo!$D$32:$AA$32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cat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Algn val="ctr"/>
        <c:lblOffset val="100"/>
        <c:noMultiLvlLbl val="1"/>
      </c:cat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1675728"/>
        <c:axId val="1214588560"/>
      </c:lineChart>
      <c:cat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Algn val="ctr"/>
        <c:lblOffset val="100"/>
        <c:noMultiLvlLbl val="1"/>
      </c:cat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'cef'!$P$45:$P$64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'cef'!$Q$45:$Q$64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881592.79071428545</c:v>
                </c:pt>
                <c:pt idx="1">
                  <c:v>815071.77</c:v>
                </c:pt>
                <c:pt idx="2">
                  <c:v>1664942.5108333335</c:v>
                </c:pt>
                <c:pt idx="3">
                  <c:v>1373703.1316666666</c:v>
                </c:pt>
                <c:pt idx="4">
                  <c:v>1572856.9273684211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829055.375</c:v>
                </c:pt>
                <c:pt idx="14">
                  <c:v>696955.19000000006</c:v>
                </c:pt>
                <c:pt idx="15">
                  <c:v>522716.39250000002</c:v>
                </c:pt>
                <c:pt idx="16">
                  <c:v>487909.72599999997</c:v>
                </c:pt>
                <c:pt idx="17">
                  <c:v>426037.08166666661</c:v>
                </c:pt>
                <c:pt idx="18">
                  <c:v>466309.68714285706</c:v>
                </c:pt>
                <c:pt idx="19">
                  <c:v>588383.38124999986</c:v>
                </c:pt>
                <c:pt idx="20">
                  <c:v>528863.87888888875</c:v>
                </c:pt>
                <c:pt idx="21">
                  <c:v>565476.10899999994</c:v>
                </c:pt>
                <c:pt idx="22">
                  <c:v>656515.40090909076</c:v>
                </c:pt>
                <c:pt idx="23">
                  <c:v>601805.78416666656</c:v>
                </c:pt>
                <c:pt idx="24">
                  <c:v>647555.20230769226</c:v>
                </c:pt>
                <c:pt idx="25">
                  <c:v>650994.63928571425</c:v>
                </c:pt>
                <c:pt idx="26">
                  <c:v>635514.45533333335</c:v>
                </c:pt>
                <c:pt idx="27">
                  <c:v>651989.83437499998</c:v>
                </c:pt>
                <c:pt idx="28">
                  <c:v>645009.17529411765</c:v>
                </c:pt>
                <c:pt idx="29">
                  <c:v>691394.06</c:v>
                </c:pt>
                <c:pt idx="30">
                  <c:v>692676.86</c:v>
                </c:pt>
                <c:pt idx="31">
                  <c:v>704708.39749999996</c:v>
                </c:pt>
                <c:pt idx="32">
                  <c:v>709919.64714285708</c:v>
                </c:pt>
                <c:pt idx="33">
                  <c:v>752706.77909090905</c:v>
                </c:pt>
                <c:pt idx="34">
                  <c:v>726378.3491304348</c:v>
                </c:pt>
                <c:pt idx="35">
                  <c:v>703163.67208333325</c:v>
                </c:pt>
                <c:pt idx="36">
                  <c:v>675037.12520000001</c:v>
                </c:pt>
                <c:pt idx="37">
                  <c:v>667137.15153846145</c:v>
                </c:pt>
                <c:pt idx="38">
                  <c:v>642428.36814814806</c:v>
                </c:pt>
                <c:pt idx="39">
                  <c:v>656550.66285714286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470190.51999999996</c:v>
                </c:pt>
                <c:pt idx="2">
                  <c:v>431511.07</c:v>
                </c:pt>
                <c:pt idx="3">
                  <c:v>348115.39250000002</c:v>
                </c:pt>
                <c:pt idx="4">
                  <c:v>333060.32</c:v>
                </c:pt>
                <c:pt idx="5">
                  <c:v>394818.92499999999</c:v>
                </c:pt>
                <c:pt idx="6">
                  <c:v>483541.31</c:v>
                </c:pt>
                <c:pt idx="7">
                  <c:v>523954.76874999999</c:v>
                </c:pt>
                <c:pt idx="8">
                  <c:v>741296.84222222224</c:v>
                </c:pt>
                <c:pt idx="9">
                  <c:v>667167.15800000005</c:v>
                </c:pt>
                <c:pt idx="10">
                  <c:v>902111.3854545455</c:v>
                </c:pt>
                <c:pt idx="11">
                  <c:v>953462.14666666661</c:v>
                </c:pt>
                <c:pt idx="12">
                  <c:v>955200.6884615384</c:v>
                </c:pt>
                <c:pt idx="13">
                  <c:v>999078.07285714278</c:v>
                </c:pt>
                <c:pt idx="14">
                  <c:v>993891.94466666668</c:v>
                </c:pt>
                <c:pt idx="15">
                  <c:v>981045.66374999995</c:v>
                </c:pt>
                <c:pt idx="16">
                  <c:v>965137.53</c:v>
                </c:pt>
                <c:pt idx="17">
                  <c:v>942799.52611111104</c:v>
                </c:pt>
                <c:pt idx="18">
                  <c:v>917888.20526315784</c:v>
                </c:pt>
                <c:pt idx="19">
                  <c:v>908133.88899999985</c:v>
                </c:pt>
                <c:pt idx="20">
                  <c:v>910958.52476190461</c:v>
                </c:pt>
                <c:pt idx="21">
                  <c:v>901432.96818181803</c:v>
                </c:pt>
                <c:pt idx="22">
                  <c:v>862240.23043478245</c:v>
                </c:pt>
                <c:pt idx="23">
                  <c:v>830007.60333333316</c:v>
                </c:pt>
                <c:pt idx="24">
                  <c:v>810242.32679999992</c:v>
                </c:pt>
                <c:pt idx="25">
                  <c:v>779079.1603846153</c:v>
                </c:pt>
                <c:pt idx="26">
                  <c:v>766635.49925925909</c:v>
                </c:pt>
                <c:pt idx="27">
                  <c:v>778741.0639285713</c:v>
                </c:pt>
                <c:pt idx="28">
                  <c:v>757963.88827586186</c:v>
                </c:pt>
                <c:pt idx="29">
                  <c:v>738875.28466666653</c:v>
                </c:pt>
                <c:pt idx="30">
                  <c:v>732391.82612903207</c:v>
                </c:pt>
                <c:pt idx="31">
                  <c:v>709504.58156249986</c:v>
                </c:pt>
                <c:pt idx="32">
                  <c:v>697621.10393939377</c:v>
                </c:pt>
                <c:pt idx="33">
                  <c:v>677102.8361764705</c:v>
                </c:pt>
                <c:pt idx="34">
                  <c:v>657757.04085714277</c:v>
                </c:pt>
                <c:pt idx="35">
                  <c:v>649626.81805555546</c:v>
                </c:pt>
                <c:pt idx="36">
                  <c:v>632069.33648648637</c:v>
                </c:pt>
                <c:pt idx="37">
                  <c:v>615435.93289473676</c:v>
                </c:pt>
                <c:pt idx="38">
                  <c:v>599655.52435897419</c:v>
                </c:pt>
                <c:pt idx="39">
                  <c:v>584664.13624999986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1567427.4750000001</c:v>
                </c:pt>
                <c:pt idx="30">
                  <c:v>1434529.58</c:v>
                </c:pt>
                <c:pt idx="31">
                  <c:v>1389546.6300000001</c:v>
                </c:pt>
                <c:pt idx="32">
                  <c:v>1420468.4280000001</c:v>
                </c:pt>
                <c:pt idx="33">
                  <c:v>1322298.5366666669</c:v>
                </c:pt>
                <c:pt idx="34">
                  <c:v>1338134.94</c:v>
                </c:pt>
                <c:pt idx="35">
                  <c:v>1308543.23125</c:v>
                </c:pt>
                <c:pt idx="36">
                  <c:v>1411674.121111111</c:v>
                </c:pt>
                <c:pt idx="37">
                  <c:v>1346437.835</c:v>
                </c:pt>
                <c:pt idx="38">
                  <c:v>1423539.5318181817</c:v>
                </c:pt>
                <c:pt idx="39">
                  <c:v>1317039.1141666665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576753.495</c:v>
                </c:pt>
                <c:pt idx="36">
                  <c:v>1002956.3533333334</c:v>
                </c:pt>
                <c:pt idx="37">
                  <c:v>925508.91250000009</c:v>
                </c:pt>
                <c:pt idx="38">
                  <c:v>1108294.7179999999</c:v>
                </c:pt>
                <c:pt idx="39">
                  <c:v>1215551.76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734353.6</c:v>
                </c:pt>
                <c:pt idx="23">
                  <c:v>509106.86333333328</c:v>
                </c:pt>
                <c:pt idx="24">
                  <c:v>570202.55000000005</c:v>
                </c:pt>
                <c:pt idx="25">
                  <c:v>586437.18599999999</c:v>
                </c:pt>
                <c:pt idx="26">
                  <c:v>502781.82500000001</c:v>
                </c:pt>
                <c:pt idx="27">
                  <c:v>440638.43857142859</c:v>
                </c:pt>
                <c:pt idx="28">
                  <c:v>654830.77625000011</c:v>
                </c:pt>
                <c:pt idx="29">
                  <c:v>681432.28</c:v>
                </c:pt>
                <c:pt idx="30">
                  <c:v>737743.54800000007</c:v>
                </c:pt>
                <c:pt idx="31">
                  <c:v>734564.11909090914</c:v>
                </c:pt>
                <c:pt idx="32">
                  <c:v>739094.88750000007</c:v>
                </c:pt>
                <c:pt idx="33">
                  <c:v>831982.75461538485</c:v>
                </c:pt>
                <c:pt idx="34">
                  <c:v>798966.75857142883</c:v>
                </c:pt>
                <c:pt idx="35">
                  <c:v>851702.58266666683</c:v>
                </c:pt>
                <c:pt idx="36">
                  <c:v>930137.83812500013</c:v>
                </c:pt>
                <c:pt idx="37">
                  <c:v>987754.62823529413</c:v>
                </c:pt>
                <c:pt idx="38">
                  <c:v>1062713.1072222223</c:v>
                </c:pt>
                <c:pt idx="39">
                  <c:v>1095788.7021052632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caixa!$E$8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caixa!$F$7:$K$7</c:f>
              <c:numCache>
                <c:formatCode>mmm\-yy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caixa!$F$8:$K$8</c:f>
              <c:numCache>
                <c:formatCode>_(* #,##0.00_);_(* \(#,##0.00\);_(* "-"??_);_(@_)</c:formatCode>
                <c:ptCount val="6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caixa!$E$9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caixa!$F$7:$K$7</c:f>
              <c:numCache>
                <c:formatCode>mmm\-yy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caixa!$F$9:$K$9</c:f>
              <c:numCache>
                <c:formatCode>_(* #,##0.00_);_(* \(#,##0.00\);_(* "-"??_);_(@_)</c:formatCode>
                <c:ptCount val="6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caixa!$E$10</c:f>
              <c:strCache>
                <c:ptCount val="1"/>
                <c:pt idx="0">
                  <c:v>Saldo0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caixa!$F$7:$K$7</c:f>
              <c:numCache>
                <c:formatCode>mmm\-yy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caixa!$F$10:$K$10</c:f>
              <c:numCache>
                <c:formatCode>_(* #,##0.00_);_(* \(#,##0.00\);_(* "-"??_);_(@_)</c:formatCode>
                <c:ptCount val="6"/>
                <c:pt idx="0">
                  <c:v>-1402115.8799999997</c:v>
                </c:pt>
                <c:pt idx="1">
                  <c:v>-1591647.19</c:v>
                </c:pt>
                <c:pt idx="2">
                  <c:v>-624160.26999999979</c:v>
                </c:pt>
                <c:pt idx="3">
                  <c:v>-1328343.9399999997</c:v>
                </c:pt>
                <c:pt idx="4">
                  <c:v>2499322.6999999997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316</xdr:row>
      <xdr:rowOff>0</xdr:rowOff>
    </xdr:from>
    <xdr:to>
      <xdr:col>8</xdr:col>
      <xdr:colOff>190501</xdr:colOff>
      <xdr:row>335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337</xdr:row>
      <xdr:rowOff>0</xdr:rowOff>
    </xdr:from>
    <xdr:to>
      <xdr:col>8</xdr:col>
      <xdr:colOff>190501</xdr:colOff>
      <xdr:row>356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337</xdr:row>
      <xdr:rowOff>0</xdr:rowOff>
    </xdr:from>
    <xdr:to>
      <xdr:col>14</xdr:col>
      <xdr:colOff>583407</xdr:colOff>
      <xdr:row>357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337</xdr:row>
      <xdr:rowOff>0</xdr:rowOff>
    </xdr:from>
    <xdr:to>
      <xdr:col>34</xdr:col>
      <xdr:colOff>0</xdr:colOff>
      <xdr:row>357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21</xdr:row>
      <xdr:rowOff>0</xdr:rowOff>
    </xdr:from>
    <xdr:to>
      <xdr:col>44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19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190499</xdr:rowOff>
    </xdr:from>
    <xdr:to>
      <xdr:col>10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Amanda Mello - Ampla Incorporadora" id="{877C9977-A9CC-40F4-8846-D8E647C1A02F}" userId="S::amanda@amplaincorporadora.com.br::59d1e098-6af2-44ee-853b-74573e048441" providerId="AD"/>
  <person displayName="Carolina Teixeira - Ampla Incorporadora" id="{F09B71B1-9656-4753-8820-5D564B67FA55}" userId="S::carolina@amplaincorporadora.com.br::7b4ca46a-8d9b-47c6-b199-fa579ef5f507" providerId="AD"/>
  <person displayName="Maycon Munhoz - Ampla Incorporadora" id="{F2AEDC59-6B4C-4A1B-A4B0-C96C62CDC16C}" userId="S::financeiro@amplaincorporadora.com.br::aad6e388-339b-47de-ac90-7872ea7f0908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62268518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76620373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3242245372" backgroundQuery="1" createdVersion="8" refreshedVersion="8" minRefreshableVersion="3" recordCount="525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E-S"/>
        <s v="E-S histórico"/>
        <s v="E/S"/>
        <s v="E/S histórico"/>
        <s v="Saídas" u="1"/>
      </sharedItems>
    </cacheField>
    <cacheField name="Valor" numFmtId="0">
      <sharedItems containsString="0" containsBlank="1" containsNumber="1" minValue="0" maxValue="3251553.66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x v="0"/>
    <x v="0"/>
    <n v="687454.95"/>
  </r>
  <r>
    <x v="0"/>
    <x v="0"/>
    <x v="1"/>
    <n v="687454.95"/>
  </r>
  <r>
    <x v="0"/>
    <x v="0"/>
    <x v="2"/>
    <n v="448512.18000000005"/>
  </r>
  <r>
    <x v="0"/>
    <x v="0"/>
    <x v="3"/>
    <m/>
  </r>
  <r>
    <x v="0"/>
    <x v="0"/>
    <x v="4"/>
    <n v="2.8164559392000723"/>
  </r>
  <r>
    <x v="0"/>
    <x v="1"/>
    <x v="0"/>
    <n v="970655.8"/>
  </r>
  <r>
    <x v="0"/>
    <x v="1"/>
    <x v="1"/>
    <n v="970655.8"/>
  </r>
  <r>
    <x v="0"/>
    <x v="1"/>
    <x v="2"/>
    <n v="829055.375"/>
  </r>
  <r>
    <x v="0"/>
    <x v="1"/>
    <x v="3"/>
    <m/>
  </r>
  <r>
    <x v="0"/>
    <x v="1"/>
    <x v="4"/>
    <m/>
  </r>
  <r>
    <x v="0"/>
    <x v="2"/>
    <x v="0"/>
    <n v="432754.82"/>
  </r>
  <r>
    <x v="0"/>
    <x v="2"/>
    <x v="1"/>
    <n v="432754.82"/>
  </r>
  <r>
    <x v="0"/>
    <x v="2"/>
    <x v="2"/>
    <n v="696955.19000000006"/>
  </r>
  <r>
    <x v="0"/>
    <x v="2"/>
    <x v="3"/>
    <m/>
  </r>
  <r>
    <x v="0"/>
    <x v="2"/>
    <x v="4"/>
    <m/>
  </r>
  <r>
    <x v="0"/>
    <x v="3"/>
    <x v="0"/>
    <n v="0"/>
  </r>
  <r>
    <x v="0"/>
    <x v="3"/>
    <x v="1"/>
    <n v="0"/>
  </r>
  <r>
    <x v="0"/>
    <x v="3"/>
    <x v="2"/>
    <n v="522716.39250000002"/>
  </r>
  <r>
    <x v="0"/>
    <x v="3"/>
    <x v="3"/>
    <m/>
  </r>
  <r>
    <x v="0"/>
    <x v="3"/>
    <x v="4"/>
    <m/>
  </r>
  <r>
    <x v="0"/>
    <x v="4"/>
    <x v="0"/>
    <n v="348683.06"/>
  </r>
  <r>
    <x v="0"/>
    <x v="4"/>
    <x v="1"/>
    <n v="348683.06"/>
  </r>
  <r>
    <x v="0"/>
    <x v="4"/>
    <x v="2"/>
    <n v="487909.72599999997"/>
  </r>
  <r>
    <x v="0"/>
    <x v="4"/>
    <x v="3"/>
    <m/>
  </r>
  <r>
    <x v="0"/>
    <x v="4"/>
    <x v="4"/>
    <m/>
  </r>
  <r>
    <x v="0"/>
    <x v="5"/>
    <x v="0"/>
    <n v="116673.85999999999"/>
  </r>
  <r>
    <x v="0"/>
    <x v="5"/>
    <x v="1"/>
    <n v="116673.85999999999"/>
  </r>
  <r>
    <x v="0"/>
    <x v="5"/>
    <x v="2"/>
    <n v="426037.08166666661"/>
  </r>
  <r>
    <x v="0"/>
    <x v="5"/>
    <x v="3"/>
    <m/>
  </r>
  <r>
    <x v="0"/>
    <x v="5"/>
    <x v="4"/>
    <m/>
  </r>
  <r>
    <x v="0"/>
    <x v="6"/>
    <x v="0"/>
    <n v="707945.32000000007"/>
  </r>
  <r>
    <x v="0"/>
    <x v="6"/>
    <x v="1"/>
    <n v="707945.32000000007"/>
  </r>
  <r>
    <x v="0"/>
    <x v="6"/>
    <x v="2"/>
    <n v="466309.68714285706"/>
  </r>
  <r>
    <x v="0"/>
    <x v="6"/>
    <x v="3"/>
    <m/>
  </r>
  <r>
    <x v="0"/>
    <x v="6"/>
    <x v="4"/>
    <m/>
  </r>
  <r>
    <x v="0"/>
    <x v="7"/>
    <x v="0"/>
    <n v="1442899.2399999998"/>
  </r>
  <r>
    <x v="0"/>
    <x v="7"/>
    <x v="1"/>
    <n v="1442899.2399999998"/>
  </r>
  <r>
    <x v="0"/>
    <x v="7"/>
    <x v="2"/>
    <n v="588383.38124999986"/>
  </r>
  <r>
    <x v="0"/>
    <x v="7"/>
    <x v="3"/>
    <m/>
  </r>
  <r>
    <x v="0"/>
    <x v="7"/>
    <x v="4"/>
    <m/>
  </r>
  <r>
    <x v="0"/>
    <x v="8"/>
    <x v="0"/>
    <n v="52707.86"/>
  </r>
  <r>
    <x v="0"/>
    <x v="8"/>
    <x v="1"/>
    <n v="52707.86"/>
  </r>
  <r>
    <x v="0"/>
    <x v="8"/>
    <x v="2"/>
    <n v="528863.87888888875"/>
  </r>
  <r>
    <x v="0"/>
    <x v="8"/>
    <x v="3"/>
    <m/>
  </r>
  <r>
    <x v="0"/>
    <x v="8"/>
    <x v="4"/>
    <m/>
  </r>
  <r>
    <x v="0"/>
    <x v="9"/>
    <x v="0"/>
    <n v="894986.1799999997"/>
  </r>
  <r>
    <x v="0"/>
    <x v="9"/>
    <x v="1"/>
    <n v="894986.1799999997"/>
  </r>
  <r>
    <x v="0"/>
    <x v="9"/>
    <x v="2"/>
    <n v="565476.10899999994"/>
  </r>
  <r>
    <x v="0"/>
    <x v="9"/>
    <x v="3"/>
    <m/>
  </r>
  <r>
    <x v="0"/>
    <x v="9"/>
    <x v="4"/>
    <m/>
  </r>
  <r>
    <x v="0"/>
    <x v="10"/>
    <x v="0"/>
    <n v="1566908.3199999998"/>
  </r>
  <r>
    <x v="0"/>
    <x v="10"/>
    <x v="1"/>
    <n v="1566908.3199999998"/>
  </r>
  <r>
    <x v="0"/>
    <x v="10"/>
    <x v="2"/>
    <n v="656515.40090909076"/>
  </r>
  <r>
    <x v="0"/>
    <x v="10"/>
    <x v="3"/>
    <m/>
  </r>
  <r>
    <x v="0"/>
    <x v="10"/>
    <x v="4"/>
    <m/>
  </r>
  <r>
    <x v="0"/>
    <x v="11"/>
    <x v="0"/>
    <n v="0"/>
  </r>
  <r>
    <x v="0"/>
    <x v="11"/>
    <x v="1"/>
    <n v="0"/>
  </r>
  <r>
    <x v="0"/>
    <x v="11"/>
    <x v="2"/>
    <n v="601805.78416666656"/>
  </r>
  <r>
    <x v="0"/>
    <x v="11"/>
    <x v="3"/>
    <m/>
  </r>
  <r>
    <x v="0"/>
    <x v="11"/>
    <x v="4"/>
    <m/>
  </r>
  <r>
    <x v="0"/>
    <x v="12"/>
    <x v="0"/>
    <n v="1196548.2200000002"/>
  </r>
  <r>
    <x v="0"/>
    <x v="12"/>
    <x v="1"/>
    <n v="1196548.2200000002"/>
  </r>
  <r>
    <x v="0"/>
    <x v="12"/>
    <x v="2"/>
    <n v="647555.20230769226"/>
  </r>
  <r>
    <x v="0"/>
    <x v="12"/>
    <x v="3"/>
    <m/>
  </r>
  <r>
    <x v="0"/>
    <x v="12"/>
    <x v="4"/>
    <m/>
  </r>
  <r>
    <x v="0"/>
    <x v="13"/>
    <x v="0"/>
    <n v="695707.32000000007"/>
  </r>
  <r>
    <x v="0"/>
    <x v="13"/>
    <x v="1"/>
    <n v="695707.32000000007"/>
  </r>
  <r>
    <x v="0"/>
    <x v="13"/>
    <x v="2"/>
    <n v="650994.63928571425"/>
  </r>
  <r>
    <x v="0"/>
    <x v="13"/>
    <x v="3"/>
    <m/>
  </r>
  <r>
    <x v="0"/>
    <x v="13"/>
    <x v="4"/>
    <m/>
  </r>
  <r>
    <x v="0"/>
    <x v="14"/>
    <x v="0"/>
    <n v="418791.88"/>
  </r>
  <r>
    <x v="0"/>
    <x v="14"/>
    <x v="1"/>
    <n v="418791.88"/>
  </r>
  <r>
    <x v="0"/>
    <x v="14"/>
    <x v="2"/>
    <n v="635514.45533333335"/>
  </r>
  <r>
    <x v="0"/>
    <x v="14"/>
    <x v="3"/>
    <m/>
  </r>
  <r>
    <x v="0"/>
    <x v="14"/>
    <x v="4"/>
    <m/>
  </r>
  <r>
    <x v="0"/>
    <x v="15"/>
    <x v="0"/>
    <n v="899120.52000000025"/>
  </r>
  <r>
    <x v="0"/>
    <x v="15"/>
    <x v="1"/>
    <n v="899120.52000000025"/>
  </r>
  <r>
    <x v="0"/>
    <x v="15"/>
    <x v="2"/>
    <n v="651989.83437499998"/>
  </r>
  <r>
    <x v="0"/>
    <x v="15"/>
    <x v="3"/>
    <m/>
  </r>
  <r>
    <x v="0"/>
    <x v="15"/>
    <x v="4"/>
    <m/>
  </r>
  <r>
    <x v="0"/>
    <x v="16"/>
    <x v="0"/>
    <n v="533318.63000000012"/>
  </r>
  <r>
    <x v="0"/>
    <x v="16"/>
    <x v="1"/>
    <n v="533318.63000000012"/>
  </r>
  <r>
    <x v="0"/>
    <x v="16"/>
    <x v="2"/>
    <n v="645009.17529411765"/>
  </r>
  <r>
    <x v="0"/>
    <x v="16"/>
    <x v="3"/>
    <m/>
  </r>
  <r>
    <x v="0"/>
    <x v="16"/>
    <x v="4"/>
    <m/>
  </r>
  <r>
    <x v="0"/>
    <x v="17"/>
    <x v="0"/>
    <n v="1479937.1"/>
  </r>
  <r>
    <x v="0"/>
    <x v="17"/>
    <x v="1"/>
    <n v="1479937.1"/>
  </r>
  <r>
    <x v="0"/>
    <x v="17"/>
    <x v="2"/>
    <n v="691394.06"/>
  </r>
  <r>
    <x v="0"/>
    <x v="17"/>
    <x v="3"/>
    <m/>
  </r>
  <r>
    <x v="0"/>
    <x v="17"/>
    <x v="4"/>
    <m/>
  </r>
  <r>
    <x v="0"/>
    <x v="18"/>
    <x v="0"/>
    <n v="715767.26000000013"/>
  </r>
  <r>
    <x v="0"/>
    <x v="18"/>
    <x v="1"/>
    <n v="715767.26000000013"/>
  </r>
  <r>
    <x v="0"/>
    <x v="18"/>
    <x v="2"/>
    <n v="692676.86"/>
  </r>
  <r>
    <x v="0"/>
    <x v="18"/>
    <x v="3"/>
    <m/>
  </r>
  <r>
    <x v="0"/>
    <x v="18"/>
    <x v="4"/>
    <m/>
  </r>
  <r>
    <x v="0"/>
    <x v="19"/>
    <x v="0"/>
    <n v="933307.6100000001"/>
  </r>
  <r>
    <x v="0"/>
    <x v="19"/>
    <x v="1"/>
    <n v="933307.6100000001"/>
  </r>
  <r>
    <x v="0"/>
    <x v="19"/>
    <x v="2"/>
    <n v="704708.39749999996"/>
  </r>
  <r>
    <x v="0"/>
    <x v="19"/>
    <x v="3"/>
    <m/>
  </r>
  <r>
    <x v="0"/>
    <x v="19"/>
    <x v="4"/>
    <m/>
  </r>
  <r>
    <x v="0"/>
    <x v="20"/>
    <x v="0"/>
    <n v="814144.6399999999"/>
  </r>
  <r>
    <x v="0"/>
    <x v="20"/>
    <x v="1"/>
    <n v="814144.6399999999"/>
  </r>
  <r>
    <x v="0"/>
    <x v="20"/>
    <x v="2"/>
    <n v="709919.64714285708"/>
  </r>
  <r>
    <x v="0"/>
    <x v="20"/>
    <x v="3"/>
    <m/>
  </r>
  <r>
    <x v="0"/>
    <x v="20"/>
    <x v="4"/>
    <m/>
  </r>
  <r>
    <x v="0"/>
    <x v="21"/>
    <x v="0"/>
    <n v="1651236.5499999996"/>
  </r>
  <r>
    <x v="0"/>
    <x v="21"/>
    <x v="1"/>
    <n v="1651236.5499999996"/>
  </r>
  <r>
    <x v="0"/>
    <x v="21"/>
    <x v="2"/>
    <n v="752706.77909090905"/>
  </r>
  <r>
    <x v="0"/>
    <x v="21"/>
    <x v="3"/>
    <m/>
  </r>
  <r>
    <x v="0"/>
    <x v="21"/>
    <x v="4"/>
    <m/>
  </r>
  <r>
    <x v="0"/>
    <x v="22"/>
    <x v="0"/>
    <n v="147152.89000000001"/>
  </r>
  <r>
    <x v="0"/>
    <x v="22"/>
    <x v="1"/>
    <n v="147152.89000000001"/>
  </r>
  <r>
    <x v="0"/>
    <x v="22"/>
    <x v="2"/>
    <n v="726378.3491304348"/>
  </r>
  <r>
    <x v="0"/>
    <x v="22"/>
    <x v="3"/>
    <m/>
  </r>
  <r>
    <x v="0"/>
    <x v="22"/>
    <x v="4"/>
    <m/>
  </r>
  <r>
    <x v="0"/>
    <x v="23"/>
    <x v="0"/>
    <n v="169226.09999999998"/>
  </r>
  <r>
    <x v="0"/>
    <x v="23"/>
    <x v="1"/>
    <n v="169226.09999999998"/>
  </r>
  <r>
    <x v="0"/>
    <x v="23"/>
    <x v="2"/>
    <n v="703163.67208333325"/>
  </r>
  <r>
    <x v="0"/>
    <x v="23"/>
    <x v="3"/>
    <m/>
  </r>
  <r>
    <x v="0"/>
    <x v="23"/>
    <x v="4"/>
    <m/>
  </r>
  <r>
    <x v="0"/>
    <x v="24"/>
    <x v="0"/>
    <n v="0"/>
  </r>
  <r>
    <x v="0"/>
    <x v="24"/>
    <x v="1"/>
    <n v="0"/>
  </r>
  <r>
    <x v="0"/>
    <x v="24"/>
    <x v="2"/>
    <n v="675037.12520000001"/>
  </r>
  <r>
    <x v="0"/>
    <x v="24"/>
    <x v="3"/>
    <m/>
  </r>
  <r>
    <x v="0"/>
    <x v="24"/>
    <x v="4"/>
    <m/>
  </r>
  <r>
    <x v="0"/>
    <x v="25"/>
    <x v="0"/>
    <n v="469637.81"/>
  </r>
  <r>
    <x v="0"/>
    <x v="25"/>
    <x v="1"/>
    <n v="469637.81"/>
  </r>
  <r>
    <x v="0"/>
    <x v="25"/>
    <x v="2"/>
    <n v="667137.15153846145"/>
  </r>
  <r>
    <x v="0"/>
    <x v="25"/>
    <x v="3"/>
    <m/>
  </r>
  <r>
    <x v="0"/>
    <x v="25"/>
    <x v="4"/>
    <m/>
  </r>
  <r>
    <x v="0"/>
    <x v="26"/>
    <x v="0"/>
    <n v="0"/>
  </r>
  <r>
    <x v="0"/>
    <x v="26"/>
    <x v="1"/>
    <n v="0"/>
  </r>
  <r>
    <x v="0"/>
    <x v="26"/>
    <x v="2"/>
    <n v="642428.36814814806"/>
  </r>
  <r>
    <x v="0"/>
    <x v="26"/>
    <x v="3"/>
    <m/>
  </r>
  <r>
    <x v="0"/>
    <x v="26"/>
    <x v="4"/>
    <m/>
  </r>
  <r>
    <x v="0"/>
    <x v="27"/>
    <x v="0"/>
    <n v="1037852.62"/>
  </r>
  <r>
    <x v="0"/>
    <x v="27"/>
    <x v="1"/>
    <n v="1037852.62"/>
  </r>
  <r>
    <x v="0"/>
    <x v="27"/>
    <x v="2"/>
    <n v="656550.66285714286"/>
  </r>
  <r>
    <x v="0"/>
    <x v="27"/>
    <x v="3"/>
    <m/>
  </r>
  <r>
    <x v="0"/>
    <x v="27"/>
    <x v="4"/>
    <m/>
  </r>
  <r>
    <x v="1"/>
    <x v="28"/>
    <x v="0"/>
    <n v="940381.03999999992"/>
  </r>
  <r>
    <x v="1"/>
    <x v="28"/>
    <x v="1"/>
    <n v="940381.03999999992"/>
  </r>
  <r>
    <x v="1"/>
    <x v="28"/>
    <x v="2"/>
    <n v="146318.1999999996"/>
  </r>
  <r>
    <x v="1"/>
    <x v="28"/>
    <x v="3"/>
    <m/>
  </r>
  <r>
    <x v="1"/>
    <x v="28"/>
    <x v="4"/>
    <n v="1.1842652654543053"/>
  </r>
  <r>
    <x v="1"/>
    <x v="29"/>
    <x v="0"/>
    <n v="0"/>
  </r>
  <r>
    <x v="1"/>
    <x v="29"/>
    <x v="1"/>
    <n v="0"/>
  </r>
  <r>
    <x v="1"/>
    <x v="29"/>
    <x v="2"/>
    <n v="470190.51999999996"/>
  </r>
  <r>
    <x v="1"/>
    <x v="29"/>
    <x v="3"/>
    <m/>
  </r>
  <r>
    <x v="1"/>
    <x v="29"/>
    <x v="4"/>
    <m/>
  </r>
  <r>
    <x v="1"/>
    <x v="30"/>
    <x v="0"/>
    <n v="354152.17000000004"/>
  </r>
  <r>
    <x v="1"/>
    <x v="30"/>
    <x v="1"/>
    <n v="354152.17000000004"/>
  </r>
  <r>
    <x v="1"/>
    <x v="30"/>
    <x v="2"/>
    <n v="431511.07"/>
  </r>
  <r>
    <x v="1"/>
    <x v="30"/>
    <x v="3"/>
    <m/>
  </r>
  <r>
    <x v="1"/>
    <x v="30"/>
    <x v="4"/>
    <m/>
  </r>
  <r>
    <x v="1"/>
    <x v="31"/>
    <x v="0"/>
    <n v="97928.36"/>
  </r>
  <r>
    <x v="1"/>
    <x v="31"/>
    <x v="1"/>
    <n v="97928.36"/>
  </r>
  <r>
    <x v="1"/>
    <x v="31"/>
    <x v="2"/>
    <n v="348115.39250000002"/>
  </r>
  <r>
    <x v="1"/>
    <x v="31"/>
    <x v="3"/>
    <m/>
  </r>
  <r>
    <x v="1"/>
    <x v="31"/>
    <x v="4"/>
    <m/>
  </r>
  <r>
    <x v="1"/>
    <x v="32"/>
    <x v="0"/>
    <n v="272840.02999999997"/>
  </r>
  <r>
    <x v="1"/>
    <x v="32"/>
    <x v="1"/>
    <n v="272840.02999999997"/>
  </r>
  <r>
    <x v="1"/>
    <x v="32"/>
    <x v="2"/>
    <n v="333060.32"/>
  </r>
  <r>
    <x v="1"/>
    <x v="32"/>
    <x v="3"/>
    <m/>
  </r>
  <r>
    <x v="1"/>
    <x v="32"/>
    <x v="4"/>
    <m/>
  </r>
  <r>
    <x v="1"/>
    <x v="33"/>
    <x v="0"/>
    <n v="703611.95"/>
  </r>
  <r>
    <x v="1"/>
    <x v="33"/>
    <x v="1"/>
    <n v="703611.95"/>
  </r>
  <r>
    <x v="1"/>
    <x v="33"/>
    <x v="2"/>
    <n v="394818.92499999999"/>
  </r>
  <r>
    <x v="1"/>
    <x v="33"/>
    <x v="3"/>
    <m/>
  </r>
  <r>
    <x v="1"/>
    <x v="33"/>
    <x v="4"/>
    <m/>
  </r>
  <r>
    <x v="1"/>
    <x v="34"/>
    <x v="0"/>
    <n v="1015875.62"/>
  </r>
  <r>
    <x v="1"/>
    <x v="34"/>
    <x v="1"/>
    <n v="1015875.62"/>
  </r>
  <r>
    <x v="1"/>
    <x v="34"/>
    <x v="2"/>
    <n v="483541.31"/>
  </r>
  <r>
    <x v="1"/>
    <x v="34"/>
    <x v="3"/>
    <m/>
  </r>
  <r>
    <x v="1"/>
    <x v="34"/>
    <x v="4"/>
    <m/>
  </r>
  <r>
    <x v="1"/>
    <x v="35"/>
    <x v="0"/>
    <n v="806848.97999999986"/>
  </r>
  <r>
    <x v="1"/>
    <x v="35"/>
    <x v="1"/>
    <n v="806848.97999999986"/>
  </r>
  <r>
    <x v="1"/>
    <x v="35"/>
    <x v="2"/>
    <n v="523954.76874999999"/>
  </r>
  <r>
    <x v="1"/>
    <x v="35"/>
    <x v="3"/>
    <m/>
  </r>
  <r>
    <x v="1"/>
    <x v="35"/>
    <x v="4"/>
    <m/>
  </r>
  <r>
    <x v="1"/>
    <x v="36"/>
    <x v="0"/>
    <n v="2480033.4300000006"/>
  </r>
  <r>
    <x v="1"/>
    <x v="36"/>
    <x v="1"/>
    <n v="2480033.4300000006"/>
  </r>
  <r>
    <x v="1"/>
    <x v="36"/>
    <x v="2"/>
    <n v="741296.84222222224"/>
  </r>
  <r>
    <x v="1"/>
    <x v="36"/>
    <x v="3"/>
    <m/>
  </r>
  <r>
    <x v="1"/>
    <x v="36"/>
    <x v="4"/>
    <m/>
  </r>
  <r>
    <x v="1"/>
    <x v="37"/>
    <x v="0"/>
    <n v="0"/>
  </r>
  <r>
    <x v="1"/>
    <x v="37"/>
    <x v="1"/>
    <n v="0"/>
  </r>
  <r>
    <x v="1"/>
    <x v="37"/>
    <x v="2"/>
    <n v="667167.15800000005"/>
  </r>
  <r>
    <x v="1"/>
    <x v="37"/>
    <x v="3"/>
    <m/>
  </r>
  <r>
    <x v="1"/>
    <x v="37"/>
    <x v="4"/>
    <m/>
  </r>
  <r>
    <x v="1"/>
    <x v="38"/>
    <x v="0"/>
    <n v="3251553.66"/>
  </r>
  <r>
    <x v="1"/>
    <x v="38"/>
    <x v="1"/>
    <n v="3251553.66"/>
  </r>
  <r>
    <x v="1"/>
    <x v="38"/>
    <x v="2"/>
    <n v="902111.3854545455"/>
  </r>
  <r>
    <x v="1"/>
    <x v="38"/>
    <x v="3"/>
    <m/>
  </r>
  <r>
    <x v="1"/>
    <x v="38"/>
    <x v="4"/>
    <m/>
  </r>
  <r>
    <x v="1"/>
    <x v="39"/>
    <x v="0"/>
    <n v="1518320.5199999998"/>
  </r>
  <r>
    <x v="1"/>
    <x v="39"/>
    <x v="1"/>
    <n v="1518320.5199999998"/>
  </r>
  <r>
    <x v="1"/>
    <x v="39"/>
    <x v="2"/>
    <n v="953462.14666666661"/>
  </r>
  <r>
    <x v="1"/>
    <x v="39"/>
    <x v="3"/>
    <m/>
  </r>
  <r>
    <x v="1"/>
    <x v="39"/>
    <x v="4"/>
    <m/>
  </r>
  <r>
    <x v="1"/>
    <x v="0"/>
    <x v="0"/>
    <n v="976063.19000000018"/>
  </r>
  <r>
    <x v="1"/>
    <x v="0"/>
    <x v="1"/>
    <n v="976063.19000000018"/>
  </r>
  <r>
    <x v="1"/>
    <x v="0"/>
    <x v="2"/>
    <n v="955200.6884615384"/>
  </r>
  <r>
    <x v="1"/>
    <x v="0"/>
    <x v="3"/>
    <m/>
  </r>
  <r>
    <x v="1"/>
    <x v="0"/>
    <x v="4"/>
    <m/>
  </r>
  <r>
    <x v="1"/>
    <x v="1"/>
    <x v="0"/>
    <n v="1569484.0700000003"/>
  </r>
  <r>
    <x v="1"/>
    <x v="1"/>
    <x v="1"/>
    <n v="1569484.0700000003"/>
  </r>
  <r>
    <x v="1"/>
    <x v="1"/>
    <x v="2"/>
    <n v="999078.07285714278"/>
  </r>
  <r>
    <x v="1"/>
    <x v="1"/>
    <x v="3"/>
    <m/>
  </r>
  <r>
    <x v="1"/>
    <x v="1"/>
    <x v="4"/>
    <m/>
  </r>
  <r>
    <x v="1"/>
    <x v="2"/>
    <x v="0"/>
    <n v="921286.14999999979"/>
  </r>
  <r>
    <x v="1"/>
    <x v="2"/>
    <x v="1"/>
    <n v="921286.14999999979"/>
  </r>
  <r>
    <x v="1"/>
    <x v="2"/>
    <x v="2"/>
    <n v="993891.94466666668"/>
  </r>
  <r>
    <x v="1"/>
    <x v="2"/>
    <x v="3"/>
    <m/>
  </r>
  <r>
    <x v="1"/>
    <x v="2"/>
    <x v="4"/>
    <m/>
  </r>
  <r>
    <x v="1"/>
    <x v="3"/>
    <x v="0"/>
    <n v="788351.45000000007"/>
  </r>
  <r>
    <x v="1"/>
    <x v="3"/>
    <x v="1"/>
    <n v="788351.45000000007"/>
  </r>
  <r>
    <x v="1"/>
    <x v="3"/>
    <x v="2"/>
    <n v="981045.66374999995"/>
  </r>
  <r>
    <x v="1"/>
    <x v="3"/>
    <x v="3"/>
    <m/>
  </r>
  <r>
    <x v="1"/>
    <x v="3"/>
    <x v="4"/>
    <m/>
  </r>
  <r>
    <x v="1"/>
    <x v="4"/>
    <x v="0"/>
    <n v="710607.38999999978"/>
  </r>
  <r>
    <x v="1"/>
    <x v="4"/>
    <x v="1"/>
    <n v="710607.38999999978"/>
  </r>
  <r>
    <x v="1"/>
    <x v="4"/>
    <x v="2"/>
    <n v="965137.53"/>
  </r>
  <r>
    <x v="1"/>
    <x v="4"/>
    <x v="3"/>
    <m/>
  </r>
  <r>
    <x v="1"/>
    <x v="4"/>
    <x v="4"/>
    <m/>
  </r>
  <r>
    <x v="1"/>
    <x v="5"/>
    <x v="0"/>
    <n v="563053.46"/>
  </r>
  <r>
    <x v="1"/>
    <x v="5"/>
    <x v="1"/>
    <n v="563053.46"/>
  </r>
  <r>
    <x v="1"/>
    <x v="5"/>
    <x v="2"/>
    <n v="942799.52611111104"/>
  </r>
  <r>
    <x v="1"/>
    <x v="5"/>
    <x v="3"/>
    <m/>
  </r>
  <r>
    <x v="1"/>
    <x v="5"/>
    <x v="4"/>
    <m/>
  </r>
  <r>
    <x v="1"/>
    <x v="6"/>
    <x v="0"/>
    <n v="469484.42999999993"/>
  </r>
  <r>
    <x v="1"/>
    <x v="6"/>
    <x v="1"/>
    <n v="469484.42999999993"/>
  </r>
  <r>
    <x v="1"/>
    <x v="6"/>
    <x v="2"/>
    <n v="917888.20526315784"/>
  </r>
  <r>
    <x v="1"/>
    <x v="6"/>
    <x v="3"/>
    <m/>
  </r>
  <r>
    <x v="1"/>
    <x v="6"/>
    <x v="4"/>
    <m/>
  </r>
  <r>
    <x v="1"/>
    <x v="7"/>
    <x v="0"/>
    <n v="722801.88000000035"/>
  </r>
  <r>
    <x v="1"/>
    <x v="7"/>
    <x v="1"/>
    <n v="722801.88000000035"/>
  </r>
  <r>
    <x v="1"/>
    <x v="7"/>
    <x v="2"/>
    <n v="908133.88899999985"/>
  </r>
  <r>
    <x v="1"/>
    <x v="7"/>
    <x v="3"/>
    <m/>
  </r>
  <r>
    <x v="1"/>
    <x v="7"/>
    <x v="4"/>
    <m/>
  </r>
  <r>
    <x v="1"/>
    <x v="8"/>
    <x v="0"/>
    <n v="967451.24000000011"/>
  </r>
  <r>
    <x v="1"/>
    <x v="8"/>
    <x v="1"/>
    <n v="967451.24000000011"/>
  </r>
  <r>
    <x v="1"/>
    <x v="8"/>
    <x v="2"/>
    <n v="910958.52476190461"/>
  </r>
  <r>
    <x v="1"/>
    <x v="8"/>
    <x v="3"/>
    <m/>
  </r>
  <r>
    <x v="1"/>
    <x v="8"/>
    <x v="4"/>
    <m/>
  </r>
  <r>
    <x v="1"/>
    <x v="9"/>
    <x v="0"/>
    <n v="701396.27999999991"/>
  </r>
  <r>
    <x v="1"/>
    <x v="9"/>
    <x v="1"/>
    <n v="701396.27999999991"/>
  </r>
  <r>
    <x v="1"/>
    <x v="9"/>
    <x v="2"/>
    <n v="901432.96818181803"/>
  </r>
  <r>
    <x v="1"/>
    <x v="9"/>
    <x v="3"/>
    <m/>
  </r>
  <r>
    <x v="1"/>
    <x v="9"/>
    <x v="4"/>
    <m/>
  </r>
  <r>
    <x v="1"/>
    <x v="10"/>
    <x v="0"/>
    <n v="0"/>
  </r>
  <r>
    <x v="1"/>
    <x v="10"/>
    <x v="1"/>
    <n v="0"/>
  </r>
  <r>
    <x v="1"/>
    <x v="10"/>
    <x v="2"/>
    <n v="862240.23043478245"/>
  </r>
  <r>
    <x v="1"/>
    <x v="10"/>
    <x v="3"/>
    <m/>
  </r>
  <r>
    <x v="1"/>
    <x v="10"/>
    <x v="4"/>
    <m/>
  </r>
  <r>
    <x v="1"/>
    <x v="11"/>
    <x v="0"/>
    <n v="88657.180000000008"/>
  </r>
  <r>
    <x v="1"/>
    <x v="11"/>
    <x v="1"/>
    <n v="88657.180000000008"/>
  </r>
  <r>
    <x v="1"/>
    <x v="11"/>
    <x v="2"/>
    <n v="830007.60333333316"/>
  </r>
  <r>
    <x v="1"/>
    <x v="11"/>
    <x v="3"/>
    <m/>
  </r>
  <r>
    <x v="1"/>
    <x v="11"/>
    <x v="4"/>
    <m/>
  </r>
  <r>
    <x v="1"/>
    <x v="12"/>
    <x v="0"/>
    <n v="335875.68999999989"/>
  </r>
  <r>
    <x v="1"/>
    <x v="12"/>
    <x v="1"/>
    <n v="335875.68999999989"/>
  </r>
  <r>
    <x v="1"/>
    <x v="12"/>
    <x v="2"/>
    <n v="810242.32679999992"/>
  </r>
  <r>
    <x v="1"/>
    <x v="12"/>
    <x v="3"/>
    <m/>
  </r>
  <r>
    <x v="1"/>
    <x v="12"/>
    <x v="4"/>
    <m/>
  </r>
  <r>
    <x v="1"/>
    <x v="13"/>
    <x v="0"/>
    <n v="0"/>
  </r>
  <r>
    <x v="1"/>
    <x v="13"/>
    <x v="1"/>
    <n v="0"/>
  </r>
  <r>
    <x v="1"/>
    <x v="13"/>
    <x v="2"/>
    <n v="779079.1603846153"/>
  </r>
  <r>
    <x v="1"/>
    <x v="13"/>
    <x v="3"/>
    <m/>
  </r>
  <r>
    <x v="1"/>
    <x v="13"/>
    <x v="4"/>
    <m/>
  </r>
  <r>
    <x v="1"/>
    <x v="14"/>
    <x v="0"/>
    <n v="443100.31"/>
  </r>
  <r>
    <x v="1"/>
    <x v="14"/>
    <x v="1"/>
    <n v="443100.31"/>
  </r>
  <r>
    <x v="1"/>
    <x v="14"/>
    <x v="2"/>
    <n v="766635.49925925909"/>
  </r>
  <r>
    <x v="1"/>
    <x v="14"/>
    <x v="3"/>
    <m/>
  </r>
  <r>
    <x v="1"/>
    <x v="14"/>
    <x v="4"/>
    <m/>
  </r>
  <r>
    <x v="1"/>
    <x v="15"/>
    <x v="0"/>
    <n v="1105591.31"/>
  </r>
  <r>
    <x v="1"/>
    <x v="15"/>
    <x v="1"/>
    <n v="1105591.31"/>
  </r>
  <r>
    <x v="1"/>
    <x v="15"/>
    <x v="2"/>
    <n v="778741.0639285713"/>
  </r>
  <r>
    <x v="1"/>
    <x v="15"/>
    <x v="3"/>
    <m/>
  </r>
  <r>
    <x v="1"/>
    <x v="15"/>
    <x v="4"/>
    <m/>
  </r>
  <r>
    <x v="1"/>
    <x v="16"/>
    <x v="0"/>
    <n v="176202.97"/>
  </r>
  <r>
    <x v="1"/>
    <x v="16"/>
    <x v="1"/>
    <n v="176202.97"/>
  </r>
  <r>
    <x v="1"/>
    <x v="16"/>
    <x v="2"/>
    <n v="757963.88827586186"/>
  </r>
  <r>
    <x v="1"/>
    <x v="16"/>
    <x v="3"/>
    <m/>
  </r>
  <r>
    <x v="1"/>
    <x v="16"/>
    <x v="4"/>
    <m/>
  </r>
  <r>
    <x v="1"/>
    <x v="17"/>
    <x v="0"/>
    <n v="185305.78"/>
  </r>
  <r>
    <x v="1"/>
    <x v="17"/>
    <x v="1"/>
    <n v="185305.78"/>
  </r>
  <r>
    <x v="1"/>
    <x v="17"/>
    <x v="2"/>
    <n v="738875.28466666653"/>
  </r>
  <r>
    <x v="1"/>
    <x v="17"/>
    <x v="3"/>
    <m/>
  </r>
  <r>
    <x v="1"/>
    <x v="17"/>
    <x v="4"/>
    <m/>
  </r>
  <r>
    <x v="1"/>
    <x v="18"/>
    <x v="0"/>
    <n v="537888.06999999995"/>
  </r>
  <r>
    <x v="1"/>
    <x v="18"/>
    <x v="1"/>
    <n v="537888.06999999995"/>
  </r>
  <r>
    <x v="1"/>
    <x v="18"/>
    <x v="2"/>
    <n v="732391.82612903207"/>
  </r>
  <r>
    <x v="1"/>
    <x v="18"/>
    <x v="3"/>
    <m/>
  </r>
  <r>
    <x v="1"/>
    <x v="18"/>
    <x v="4"/>
    <m/>
  </r>
  <r>
    <x v="1"/>
    <x v="19"/>
    <x v="0"/>
    <n v="0"/>
  </r>
  <r>
    <x v="1"/>
    <x v="19"/>
    <x v="1"/>
    <n v="0"/>
  </r>
  <r>
    <x v="1"/>
    <x v="19"/>
    <x v="2"/>
    <n v="709504.58156249986"/>
  </r>
  <r>
    <x v="1"/>
    <x v="19"/>
    <x v="3"/>
    <m/>
  </r>
  <r>
    <x v="1"/>
    <x v="19"/>
    <x v="4"/>
    <m/>
  </r>
  <r>
    <x v="1"/>
    <x v="20"/>
    <x v="0"/>
    <n v="317349.81999999995"/>
  </r>
  <r>
    <x v="1"/>
    <x v="20"/>
    <x v="1"/>
    <n v="317349.81999999995"/>
  </r>
  <r>
    <x v="1"/>
    <x v="20"/>
    <x v="2"/>
    <n v="697621.10393939377"/>
  </r>
  <r>
    <x v="1"/>
    <x v="20"/>
    <x v="3"/>
    <m/>
  </r>
  <r>
    <x v="1"/>
    <x v="20"/>
    <x v="4"/>
    <m/>
  </r>
  <r>
    <x v="1"/>
    <x v="21"/>
    <x v="0"/>
    <n v="0"/>
  </r>
  <r>
    <x v="1"/>
    <x v="21"/>
    <x v="1"/>
    <n v="0"/>
  </r>
  <r>
    <x v="1"/>
    <x v="21"/>
    <x v="2"/>
    <n v="677102.8361764705"/>
  </r>
  <r>
    <x v="1"/>
    <x v="21"/>
    <x v="3"/>
    <m/>
  </r>
  <r>
    <x v="1"/>
    <x v="21"/>
    <x v="4"/>
    <m/>
  </r>
  <r>
    <x v="1"/>
    <x v="22"/>
    <x v="0"/>
    <n v="0"/>
  </r>
  <r>
    <x v="1"/>
    <x v="22"/>
    <x v="1"/>
    <n v="0"/>
  </r>
  <r>
    <x v="1"/>
    <x v="22"/>
    <x v="2"/>
    <n v="657757.04085714277"/>
  </r>
  <r>
    <x v="1"/>
    <x v="22"/>
    <x v="3"/>
    <m/>
  </r>
  <r>
    <x v="1"/>
    <x v="22"/>
    <x v="4"/>
    <m/>
  </r>
  <r>
    <x v="1"/>
    <x v="23"/>
    <x v="0"/>
    <n v="365069.01999999984"/>
  </r>
  <r>
    <x v="1"/>
    <x v="23"/>
    <x v="1"/>
    <n v="365069.01999999984"/>
  </r>
  <r>
    <x v="1"/>
    <x v="23"/>
    <x v="2"/>
    <n v="649626.81805555546"/>
  </r>
  <r>
    <x v="1"/>
    <x v="23"/>
    <x v="3"/>
    <m/>
  </r>
  <r>
    <x v="1"/>
    <x v="23"/>
    <x v="4"/>
    <m/>
  </r>
  <r>
    <x v="1"/>
    <x v="24"/>
    <x v="0"/>
    <n v="0"/>
  </r>
  <r>
    <x v="1"/>
    <x v="24"/>
    <x v="1"/>
    <n v="0"/>
  </r>
  <r>
    <x v="1"/>
    <x v="24"/>
    <x v="2"/>
    <n v="632069.33648648637"/>
  </r>
  <r>
    <x v="1"/>
    <x v="24"/>
    <x v="3"/>
    <m/>
  </r>
  <r>
    <x v="1"/>
    <x v="24"/>
    <x v="4"/>
    <m/>
  </r>
  <r>
    <x v="1"/>
    <x v="25"/>
    <x v="0"/>
    <n v="0"/>
  </r>
  <r>
    <x v="1"/>
    <x v="25"/>
    <x v="1"/>
    <n v="0"/>
  </r>
  <r>
    <x v="1"/>
    <x v="25"/>
    <x v="2"/>
    <n v="615435.93289473676"/>
  </r>
  <r>
    <x v="1"/>
    <x v="25"/>
    <x v="3"/>
    <m/>
  </r>
  <r>
    <x v="1"/>
    <x v="25"/>
    <x v="4"/>
    <m/>
  </r>
  <r>
    <x v="1"/>
    <x v="26"/>
    <x v="0"/>
    <n v="0"/>
  </r>
  <r>
    <x v="1"/>
    <x v="26"/>
    <x v="1"/>
    <n v="0"/>
  </r>
  <r>
    <x v="1"/>
    <x v="26"/>
    <x v="2"/>
    <n v="599655.52435897419"/>
  </r>
  <r>
    <x v="1"/>
    <x v="26"/>
    <x v="3"/>
    <m/>
  </r>
  <r>
    <x v="1"/>
    <x v="26"/>
    <x v="4"/>
    <m/>
  </r>
  <r>
    <x v="1"/>
    <x v="27"/>
    <x v="0"/>
    <n v="0"/>
  </r>
  <r>
    <x v="1"/>
    <x v="27"/>
    <x v="1"/>
    <n v="0"/>
  </r>
  <r>
    <x v="1"/>
    <x v="27"/>
    <x v="2"/>
    <n v="584664.13624999986"/>
  </r>
  <r>
    <x v="1"/>
    <x v="27"/>
    <x v="3"/>
    <m/>
  </r>
  <r>
    <x v="1"/>
    <x v="27"/>
    <x v="4"/>
    <m/>
  </r>
  <r>
    <x v="2"/>
    <x v="16"/>
    <x v="0"/>
    <n v="1320773"/>
  </r>
  <r>
    <x v="2"/>
    <x v="16"/>
    <x v="1"/>
    <n v="1320773"/>
  </r>
  <r>
    <x v="2"/>
    <x v="16"/>
    <x v="2"/>
    <n v="694419.24"/>
  </r>
  <r>
    <x v="2"/>
    <x v="16"/>
    <x v="3"/>
    <m/>
  </r>
  <r>
    <x v="2"/>
    <x v="16"/>
    <x v="4"/>
    <n v="2.1086693883660885"/>
  </r>
  <r>
    <x v="2"/>
    <x v="17"/>
    <x v="0"/>
    <n v="1814081.9500000002"/>
  </r>
  <r>
    <x v="2"/>
    <x v="17"/>
    <x v="1"/>
    <n v="1814081.9500000002"/>
  </r>
  <r>
    <x v="2"/>
    <x v="17"/>
    <x v="2"/>
    <n v="1567427.4750000001"/>
  </r>
  <r>
    <x v="2"/>
    <x v="17"/>
    <x v="3"/>
    <m/>
  </r>
  <r>
    <x v="2"/>
    <x v="17"/>
    <x v="4"/>
    <m/>
  </r>
  <r>
    <x v="2"/>
    <x v="18"/>
    <x v="0"/>
    <n v="1168733.79"/>
  </r>
  <r>
    <x v="2"/>
    <x v="18"/>
    <x v="1"/>
    <n v="1168733.79"/>
  </r>
  <r>
    <x v="2"/>
    <x v="18"/>
    <x v="2"/>
    <n v="1434529.58"/>
  </r>
  <r>
    <x v="2"/>
    <x v="18"/>
    <x v="3"/>
    <m/>
  </r>
  <r>
    <x v="2"/>
    <x v="18"/>
    <x v="4"/>
    <m/>
  </r>
  <r>
    <x v="2"/>
    <x v="19"/>
    <x v="0"/>
    <n v="1254597.7800000003"/>
  </r>
  <r>
    <x v="2"/>
    <x v="19"/>
    <x v="1"/>
    <n v="1254597.7800000003"/>
  </r>
  <r>
    <x v="2"/>
    <x v="19"/>
    <x v="2"/>
    <n v="1389546.6300000001"/>
  </r>
  <r>
    <x v="2"/>
    <x v="19"/>
    <x v="3"/>
    <m/>
  </r>
  <r>
    <x v="2"/>
    <x v="19"/>
    <x v="4"/>
    <m/>
  </r>
  <r>
    <x v="2"/>
    <x v="20"/>
    <x v="0"/>
    <n v="1544155.6199999996"/>
  </r>
  <r>
    <x v="2"/>
    <x v="20"/>
    <x v="1"/>
    <n v="1544155.6199999996"/>
  </r>
  <r>
    <x v="2"/>
    <x v="20"/>
    <x v="2"/>
    <n v="1420468.4280000001"/>
  </r>
  <r>
    <x v="2"/>
    <x v="20"/>
    <x v="3"/>
    <m/>
  </r>
  <r>
    <x v="2"/>
    <x v="20"/>
    <x v="4"/>
    <m/>
  </r>
  <r>
    <x v="2"/>
    <x v="21"/>
    <x v="0"/>
    <n v="831449.08000000019"/>
  </r>
  <r>
    <x v="2"/>
    <x v="21"/>
    <x v="1"/>
    <n v="831449.08000000019"/>
  </r>
  <r>
    <x v="2"/>
    <x v="21"/>
    <x v="2"/>
    <n v="1322298.5366666669"/>
  </r>
  <r>
    <x v="2"/>
    <x v="21"/>
    <x v="3"/>
    <m/>
  </r>
  <r>
    <x v="2"/>
    <x v="21"/>
    <x v="4"/>
    <m/>
  </r>
  <r>
    <x v="2"/>
    <x v="22"/>
    <x v="0"/>
    <n v="1433153.3599999996"/>
  </r>
  <r>
    <x v="2"/>
    <x v="22"/>
    <x v="1"/>
    <n v="1433153.3599999996"/>
  </r>
  <r>
    <x v="2"/>
    <x v="22"/>
    <x v="2"/>
    <n v="1338134.94"/>
  </r>
  <r>
    <x v="2"/>
    <x v="22"/>
    <x v="3"/>
    <m/>
  </r>
  <r>
    <x v="2"/>
    <x v="22"/>
    <x v="4"/>
    <m/>
  </r>
  <r>
    <x v="2"/>
    <x v="23"/>
    <x v="0"/>
    <n v="1101401.2699999996"/>
  </r>
  <r>
    <x v="2"/>
    <x v="23"/>
    <x v="1"/>
    <n v="1101401.2699999996"/>
  </r>
  <r>
    <x v="2"/>
    <x v="23"/>
    <x v="2"/>
    <n v="1308543.23125"/>
  </r>
  <r>
    <x v="2"/>
    <x v="23"/>
    <x v="3"/>
    <m/>
  </r>
  <r>
    <x v="2"/>
    <x v="23"/>
    <x v="4"/>
    <m/>
  </r>
  <r>
    <x v="2"/>
    <x v="24"/>
    <x v="0"/>
    <n v="2236721.2400000007"/>
  </r>
  <r>
    <x v="2"/>
    <x v="24"/>
    <x v="1"/>
    <n v="2236721.2400000007"/>
  </r>
  <r>
    <x v="2"/>
    <x v="24"/>
    <x v="2"/>
    <n v="1411674.121111111"/>
  </r>
  <r>
    <x v="2"/>
    <x v="24"/>
    <x v="3"/>
    <m/>
  </r>
  <r>
    <x v="2"/>
    <x v="24"/>
    <x v="4"/>
    <m/>
  </r>
  <r>
    <x v="2"/>
    <x v="25"/>
    <x v="0"/>
    <n v="759311.25999999966"/>
  </r>
  <r>
    <x v="2"/>
    <x v="25"/>
    <x v="1"/>
    <n v="759311.25999999966"/>
  </r>
  <r>
    <x v="2"/>
    <x v="25"/>
    <x v="2"/>
    <n v="1346437.835"/>
  </r>
  <r>
    <x v="2"/>
    <x v="25"/>
    <x v="3"/>
    <m/>
  </r>
  <r>
    <x v="2"/>
    <x v="25"/>
    <x v="4"/>
    <m/>
  </r>
  <r>
    <x v="2"/>
    <x v="26"/>
    <x v="0"/>
    <n v="2194556.5"/>
  </r>
  <r>
    <x v="2"/>
    <x v="26"/>
    <x v="1"/>
    <n v="2194556.5"/>
  </r>
  <r>
    <x v="2"/>
    <x v="26"/>
    <x v="2"/>
    <n v="1423539.5318181817"/>
  </r>
  <r>
    <x v="2"/>
    <x v="26"/>
    <x v="3"/>
    <m/>
  </r>
  <r>
    <x v="2"/>
    <x v="26"/>
    <x v="4"/>
    <m/>
  </r>
  <r>
    <x v="2"/>
    <x v="27"/>
    <x v="0"/>
    <n v="145534.51999999999"/>
  </r>
  <r>
    <x v="2"/>
    <x v="27"/>
    <x v="1"/>
    <n v="145534.51999999999"/>
  </r>
  <r>
    <x v="2"/>
    <x v="27"/>
    <x v="2"/>
    <n v="1317039.1141666665"/>
  </r>
  <r>
    <x v="2"/>
    <x v="27"/>
    <x v="3"/>
    <m/>
  </r>
  <r>
    <x v="2"/>
    <x v="27"/>
    <x v="4"/>
    <m/>
  </r>
  <r>
    <x v="3"/>
    <x v="22"/>
    <x v="0"/>
    <n v="711272.62"/>
  </r>
  <r>
    <x v="3"/>
    <x v="22"/>
    <x v="1"/>
    <n v="711272.62"/>
  </r>
  <r>
    <x v="3"/>
    <x v="22"/>
    <x v="2"/>
    <n v="667080.07999999996"/>
  </r>
  <r>
    <x v="3"/>
    <x v="22"/>
    <x v="3"/>
    <m/>
  </r>
  <r>
    <x v="3"/>
    <x v="22"/>
    <x v="4"/>
    <n v="16.09485718630339"/>
  </r>
  <r>
    <x v="3"/>
    <x v="23"/>
    <x v="0"/>
    <n v="442234.37"/>
  </r>
  <r>
    <x v="3"/>
    <x v="23"/>
    <x v="1"/>
    <n v="442234.37"/>
  </r>
  <r>
    <x v="3"/>
    <x v="23"/>
    <x v="2"/>
    <n v="576753.495"/>
  </r>
  <r>
    <x v="3"/>
    <x v="23"/>
    <x v="3"/>
    <m/>
  </r>
  <r>
    <x v="3"/>
    <x v="23"/>
    <x v="4"/>
    <m/>
  </r>
  <r>
    <x v="3"/>
    <x v="24"/>
    <x v="0"/>
    <n v="1855362.07"/>
  </r>
  <r>
    <x v="3"/>
    <x v="24"/>
    <x v="1"/>
    <n v="1855362.07"/>
  </r>
  <r>
    <x v="3"/>
    <x v="24"/>
    <x v="2"/>
    <n v="1002956.3533333334"/>
  </r>
  <r>
    <x v="3"/>
    <x v="24"/>
    <x v="3"/>
    <m/>
  </r>
  <r>
    <x v="3"/>
    <x v="24"/>
    <x v="4"/>
    <m/>
  </r>
  <r>
    <x v="3"/>
    <x v="25"/>
    <x v="0"/>
    <n v="693166.59000000008"/>
  </r>
  <r>
    <x v="3"/>
    <x v="25"/>
    <x v="1"/>
    <n v="693166.59000000008"/>
  </r>
  <r>
    <x v="3"/>
    <x v="25"/>
    <x v="2"/>
    <n v="925508.91250000009"/>
  </r>
  <r>
    <x v="3"/>
    <x v="25"/>
    <x v="3"/>
    <m/>
  </r>
  <r>
    <x v="3"/>
    <x v="25"/>
    <x v="4"/>
    <m/>
  </r>
  <r>
    <x v="3"/>
    <x v="26"/>
    <x v="0"/>
    <n v="1839437.9399999997"/>
  </r>
  <r>
    <x v="3"/>
    <x v="26"/>
    <x v="1"/>
    <n v="1839437.9399999997"/>
  </r>
  <r>
    <x v="3"/>
    <x v="26"/>
    <x v="2"/>
    <n v="1108294.7179999999"/>
  </r>
  <r>
    <x v="3"/>
    <x v="26"/>
    <x v="3"/>
    <m/>
  </r>
  <r>
    <x v="3"/>
    <x v="26"/>
    <x v="4"/>
    <m/>
  </r>
  <r>
    <x v="3"/>
    <x v="27"/>
    <x v="0"/>
    <n v="1751836.9699999997"/>
  </r>
  <r>
    <x v="3"/>
    <x v="27"/>
    <x v="1"/>
    <n v="1751836.9699999997"/>
  </r>
  <r>
    <x v="3"/>
    <x v="27"/>
    <x v="2"/>
    <n v="1215551.76"/>
  </r>
  <r>
    <x v="3"/>
    <x v="27"/>
    <x v="3"/>
    <m/>
  </r>
  <r>
    <x v="3"/>
    <x v="27"/>
    <x v="4"/>
    <m/>
  </r>
  <r>
    <x v="4"/>
    <x v="9"/>
    <x v="0"/>
    <n v="1424402.83"/>
  </r>
  <r>
    <x v="4"/>
    <x v="9"/>
    <x v="1"/>
    <n v="1424402.83"/>
  </r>
  <r>
    <x v="4"/>
    <x v="9"/>
    <x v="2"/>
    <n v="1299320.07"/>
  </r>
  <r>
    <x v="4"/>
    <x v="9"/>
    <x v="3"/>
    <m/>
  </r>
  <r>
    <x v="4"/>
    <x v="9"/>
    <x v="4"/>
    <n v="11.387683082784552"/>
  </r>
  <r>
    <x v="4"/>
    <x v="10"/>
    <x v="0"/>
    <n v="44304.369999999981"/>
  </r>
  <r>
    <x v="4"/>
    <x v="10"/>
    <x v="1"/>
    <n v="44304.369999999981"/>
  </r>
  <r>
    <x v="4"/>
    <x v="10"/>
    <x v="2"/>
    <n v="734353.6"/>
  </r>
  <r>
    <x v="4"/>
    <x v="10"/>
    <x v="3"/>
    <m/>
  </r>
  <r>
    <x v="4"/>
    <x v="10"/>
    <x v="4"/>
    <m/>
  </r>
  <r>
    <x v="4"/>
    <x v="11"/>
    <x v="0"/>
    <n v="58613.389999999992"/>
  </r>
  <r>
    <x v="4"/>
    <x v="11"/>
    <x v="1"/>
    <n v="58613.389999999992"/>
  </r>
  <r>
    <x v="4"/>
    <x v="11"/>
    <x v="2"/>
    <n v="509106.86333333328"/>
  </r>
  <r>
    <x v="4"/>
    <x v="11"/>
    <x v="3"/>
    <m/>
  </r>
  <r>
    <x v="4"/>
    <x v="11"/>
    <x v="4"/>
    <m/>
  </r>
  <r>
    <x v="4"/>
    <x v="12"/>
    <x v="0"/>
    <n v="753489.6100000001"/>
  </r>
  <r>
    <x v="4"/>
    <x v="12"/>
    <x v="1"/>
    <n v="753489.6100000001"/>
  </r>
  <r>
    <x v="4"/>
    <x v="12"/>
    <x v="2"/>
    <n v="570202.55000000005"/>
  </r>
  <r>
    <x v="4"/>
    <x v="12"/>
    <x v="3"/>
    <m/>
  </r>
  <r>
    <x v="4"/>
    <x v="12"/>
    <x v="4"/>
    <m/>
  </r>
  <r>
    <x v="4"/>
    <x v="13"/>
    <x v="0"/>
    <n v="651375.7300000001"/>
  </r>
  <r>
    <x v="4"/>
    <x v="13"/>
    <x v="1"/>
    <n v="651375.7300000001"/>
  </r>
  <r>
    <x v="4"/>
    <x v="13"/>
    <x v="2"/>
    <n v="586437.18599999999"/>
  </r>
  <r>
    <x v="4"/>
    <x v="13"/>
    <x v="3"/>
    <m/>
  </r>
  <r>
    <x v="4"/>
    <x v="13"/>
    <x v="4"/>
    <m/>
  </r>
  <r>
    <x v="4"/>
    <x v="14"/>
    <x v="0"/>
    <n v="84505.01999999999"/>
  </r>
  <r>
    <x v="4"/>
    <x v="14"/>
    <x v="1"/>
    <n v="84505.01999999999"/>
  </r>
  <r>
    <x v="4"/>
    <x v="14"/>
    <x v="2"/>
    <n v="502781.82500000001"/>
  </r>
  <r>
    <x v="4"/>
    <x v="14"/>
    <x v="3"/>
    <m/>
  </r>
  <r>
    <x v="4"/>
    <x v="14"/>
    <x v="4"/>
    <m/>
  </r>
  <r>
    <x v="4"/>
    <x v="15"/>
    <x v="0"/>
    <n v="67778.12"/>
  </r>
  <r>
    <x v="4"/>
    <x v="15"/>
    <x v="1"/>
    <n v="67778.12"/>
  </r>
  <r>
    <x v="4"/>
    <x v="15"/>
    <x v="2"/>
    <n v="440638.43857142859"/>
  </r>
  <r>
    <x v="4"/>
    <x v="15"/>
    <x v="3"/>
    <m/>
  </r>
  <r>
    <x v="4"/>
    <x v="15"/>
    <x v="4"/>
    <m/>
  </r>
  <r>
    <x v="4"/>
    <x v="16"/>
    <x v="0"/>
    <n v="2154177.1400000006"/>
  </r>
  <r>
    <x v="4"/>
    <x v="16"/>
    <x v="1"/>
    <n v="2154177.1400000006"/>
  </r>
  <r>
    <x v="4"/>
    <x v="16"/>
    <x v="2"/>
    <n v="654830.77625000011"/>
  </r>
  <r>
    <x v="4"/>
    <x v="16"/>
    <x v="3"/>
    <m/>
  </r>
  <r>
    <x v="4"/>
    <x v="16"/>
    <x v="4"/>
    <m/>
  </r>
  <r>
    <x v="4"/>
    <x v="17"/>
    <x v="0"/>
    <n v="894244.30999999971"/>
  </r>
  <r>
    <x v="4"/>
    <x v="17"/>
    <x v="1"/>
    <n v="894244.30999999971"/>
  </r>
  <r>
    <x v="4"/>
    <x v="17"/>
    <x v="2"/>
    <n v="681432.28"/>
  </r>
  <r>
    <x v="4"/>
    <x v="17"/>
    <x v="3"/>
    <m/>
  </r>
  <r>
    <x v="4"/>
    <x v="17"/>
    <x v="4"/>
    <m/>
  </r>
  <r>
    <x v="4"/>
    <x v="18"/>
    <x v="0"/>
    <n v="1244544.9600000004"/>
  </r>
  <r>
    <x v="4"/>
    <x v="18"/>
    <x v="1"/>
    <n v="1244544.9600000004"/>
  </r>
  <r>
    <x v="4"/>
    <x v="18"/>
    <x v="2"/>
    <n v="737743.54800000007"/>
  </r>
  <r>
    <x v="4"/>
    <x v="18"/>
    <x v="3"/>
    <m/>
  </r>
  <r>
    <x v="4"/>
    <x v="18"/>
    <x v="4"/>
    <m/>
  </r>
  <r>
    <x v="4"/>
    <x v="19"/>
    <x v="0"/>
    <n v="702769.83000000007"/>
  </r>
  <r>
    <x v="4"/>
    <x v="19"/>
    <x v="1"/>
    <n v="702769.83000000007"/>
  </r>
  <r>
    <x v="4"/>
    <x v="19"/>
    <x v="2"/>
    <n v="734564.11909090914"/>
  </r>
  <r>
    <x v="4"/>
    <x v="19"/>
    <x v="3"/>
    <m/>
  </r>
  <r>
    <x v="4"/>
    <x v="19"/>
    <x v="4"/>
    <m/>
  </r>
  <r>
    <x v="4"/>
    <x v="20"/>
    <x v="0"/>
    <n v="788933.34"/>
  </r>
  <r>
    <x v="4"/>
    <x v="20"/>
    <x v="1"/>
    <n v="788933.34"/>
  </r>
  <r>
    <x v="4"/>
    <x v="20"/>
    <x v="2"/>
    <n v="739094.88750000007"/>
  </r>
  <r>
    <x v="4"/>
    <x v="20"/>
    <x v="3"/>
    <m/>
  </r>
  <r>
    <x v="4"/>
    <x v="20"/>
    <x v="4"/>
    <m/>
  </r>
  <r>
    <x v="4"/>
    <x v="21"/>
    <x v="0"/>
    <n v="1946637.1600000011"/>
  </r>
  <r>
    <x v="4"/>
    <x v="21"/>
    <x v="1"/>
    <n v="1946637.1600000011"/>
  </r>
  <r>
    <x v="4"/>
    <x v="21"/>
    <x v="2"/>
    <n v="831982.75461538485"/>
  </r>
  <r>
    <x v="4"/>
    <x v="21"/>
    <x v="3"/>
    <m/>
  </r>
  <r>
    <x v="4"/>
    <x v="21"/>
    <x v="4"/>
    <m/>
  </r>
  <r>
    <x v="4"/>
    <x v="22"/>
    <x v="0"/>
    <n v="369758.81"/>
  </r>
  <r>
    <x v="4"/>
    <x v="22"/>
    <x v="1"/>
    <n v="369758.81"/>
  </r>
  <r>
    <x v="4"/>
    <x v="22"/>
    <x v="2"/>
    <n v="798966.75857142883"/>
  </r>
  <r>
    <x v="4"/>
    <x v="22"/>
    <x v="3"/>
    <m/>
  </r>
  <r>
    <x v="4"/>
    <x v="22"/>
    <x v="4"/>
    <m/>
  </r>
  <r>
    <x v="4"/>
    <x v="23"/>
    <x v="0"/>
    <n v="1590004.1199999999"/>
  </r>
  <r>
    <x v="4"/>
    <x v="23"/>
    <x v="1"/>
    <n v="1590004.1199999999"/>
  </r>
  <r>
    <x v="4"/>
    <x v="23"/>
    <x v="2"/>
    <n v="851702.58266666683"/>
  </r>
  <r>
    <x v="4"/>
    <x v="23"/>
    <x v="3"/>
    <m/>
  </r>
  <r>
    <x v="4"/>
    <x v="23"/>
    <x v="4"/>
    <m/>
  </r>
  <r>
    <x v="4"/>
    <x v="24"/>
    <x v="0"/>
    <n v="2106666.6699999995"/>
  </r>
  <r>
    <x v="4"/>
    <x v="24"/>
    <x v="1"/>
    <n v="2106666.6699999995"/>
  </r>
  <r>
    <x v="4"/>
    <x v="24"/>
    <x v="2"/>
    <n v="930137.83812500013"/>
  </r>
  <r>
    <x v="4"/>
    <x v="24"/>
    <x v="3"/>
    <m/>
  </r>
  <r>
    <x v="4"/>
    <x v="24"/>
    <x v="4"/>
    <m/>
  </r>
  <r>
    <x v="4"/>
    <x v="25"/>
    <x v="0"/>
    <n v="1909623.2699999991"/>
  </r>
  <r>
    <x v="4"/>
    <x v="25"/>
    <x v="1"/>
    <n v="1909623.2699999991"/>
  </r>
  <r>
    <x v="4"/>
    <x v="25"/>
    <x v="2"/>
    <n v="987754.62823529413"/>
  </r>
  <r>
    <x v="4"/>
    <x v="25"/>
    <x v="3"/>
    <m/>
  </r>
  <r>
    <x v="4"/>
    <x v="25"/>
    <x v="4"/>
    <m/>
  </r>
  <r>
    <x v="4"/>
    <x v="26"/>
    <x v="0"/>
    <n v="2337007.2500000005"/>
  </r>
  <r>
    <x v="4"/>
    <x v="26"/>
    <x v="1"/>
    <n v="2337007.2500000005"/>
  </r>
  <r>
    <x v="4"/>
    <x v="26"/>
    <x v="2"/>
    <n v="1062713.1072222223"/>
  </r>
  <r>
    <x v="4"/>
    <x v="26"/>
    <x v="3"/>
    <m/>
  </r>
  <r>
    <x v="4"/>
    <x v="26"/>
    <x v="4"/>
    <m/>
  </r>
  <r>
    <x v="4"/>
    <x v="27"/>
    <x v="0"/>
    <n v="1691149.4100000008"/>
  </r>
  <r>
    <x v="4"/>
    <x v="27"/>
    <x v="1"/>
    <n v="1691149.4100000008"/>
  </r>
  <r>
    <x v="4"/>
    <x v="27"/>
    <x v="2"/>
    <n v="1095788.7021052632"/>
  </r>
  <r>
    <x v="4"/>
    <x v="27"/>
    <x v="3"/>
    <m/>
  </r>
  <r>
    <x v="4"/>
    <x v="27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1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6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65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6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63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6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61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6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59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5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57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5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55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5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53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5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51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5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49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48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47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1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O43:R64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7">
        <item h="1" x="3"/>
        <item x="0"/>
        <item x="1"/>
        <item m="1" x="5"/>
        <item h="1" x="2"/>
        <item h="1"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20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3">
    <i>
      <x v="1"/>
    </i>
    <i>
      <x v="2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0">
      <pivotArea dataOnly="0" labelOnly="1" fieldPosition="0">
        <references count="1">
          <reference field="1" count="0"/>
        </references>
      </pivotArea>
    </format>
    <format dxfId="1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67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25">
  <autoFilter ref="K1:S4" xr:uid="{DDD81DAD-B1F5-43CA-8155-B8D04DCF252C}"/>
  <tableColumns count="9">
    <tableColumn id="1" xr3:uid="{7A28A42D-672C-4EE7-909B-20C0EA4419A4}" name="Mês" dataDxfId="224"/>
    <tableColumn id="6" xr3:uid="{1041859E-EB0C-47A8-81A5-DF20DCD91B0F}" name="Linha_C" dataDxfId="223"/>
    <tableColumn id="7" xr3:uid="{031C42F1-3398-4F9E-A5D2-9712F25F15BF}" name="Linha_NC" dataDxfId="222"/>
    <tableColumn id="8" xr3:uid="{596239FA-A26C-4D51-BC30-8069681EB697}" name="Valor_C" dataDxfId="221"/>
    <tableColumn id="9" xr3:uid="{9EAA8FB4-A54E-4340-851E-8C1953820B61}" name="Valor_NC" dataDxfId="220"/>
    <tableColumn id="10" xr3:uid="{E05E4CC7-8A56-4095-B8FF-88FB4C22CB94}" name="LinhaP_C" dataDxfId="219"/>
    <tableColumn id="11" xr3:uid="{3F0CF868-CBEA-4C52-81F1-3507F173B367}" name="LinhaP_NC" dataDxfId="218"/>
    <tableColumn id="12" xr3:uid="{7D2B64BE-DCB0-4032-9BFF-8306910D92FB}" name="ValorP_C" dataDxfId="217"/>
    <tableColumn id="13" xr3:uid="{D80DF0C9-1593-47F5-A04B-0553577E24B6}" name="ValorP_NC" dataDxfId="21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7" totalsRowShown="0" headerRowDxfId="215">
  <autoFilter ref="A2:C17" xr:uid="{9F9AF811-D0DD-40EE-81C1-0DF03EE8B5CE}"/>
  <sortState xmlns:xlrd2="http://schemas.microsoft.com/office/spreadsheetml/2017/richdata2" ref="A3:C17">
    <sortCondition ref="C2:C17"/>
  </sortState>
  <tableColumns count="3">
    <tableColumn id="1" xr3:uid="{503B23B7-42A7-4DE4-A5FF-10F4ECA2B6F8}" name="Descrição"/>
    <tableColumn id="3" xr3:uid="{29BD6CD0-2B16-4558-B7F6-6AE2DA5FDEB6}" name="Prazo estimado" dataDxfId="214"/>
    <tableColumn id="2" xr3:uid="{2F99AFE6-1743-4CA3-B9C6-8930C5621BA8}" name="Status" dataDxfId="2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6:D147" totalsRowShown="0">
  <autoFilter ref="B106:D147" xr:uid="{C5344966-7497-4A7E-A7E3-8BE1C7EFE688}"/>
  <sortState xmlns:xlrd2="http://schemas.microsoft.com/office/spreadsheetml/2017/richdata2" ref="B107:D147">
    <sortCondition ref="B106:B147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0" totalsRowShown="0" headerRowDxfId="212">
  <autoFilter ref="B1:D90" xr:uid="{F2C31A30-48D6-4D3D-80E6-ADE1D2C39D89}"/>
  <tableColumns count="3">
    <tableColumn id="1" xr3:uid="{D7E0E5A7-FFDC-45DB-8427-200B1C655ECC}" name="Centros de negócio do Ik" dataDxfId="211"/>
    <tableColumn id="3" xr3:uid="{95650756-BB0B-4093-8A97-AA45406AFC61}" name="Categoria na viabilidade" dataDxfId="210"/>
    <tableColumn id="2" xr3:uid="{24FD4B2C-A596-4FF8-A2FE-E07069551FB8}" name="Subcategoria na viabilidade" dataDxfId="209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2:C116" totalsRowShown="0" headerRowDxfId="208">
  <autoFilter ref="B92:C116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07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06">
      <calculatedColumnFormula>fin[[#This Row],[Tomadora]]&amp;"-"&amp;fin[[#This Row],[Agente]]&amp;"-"&amp;LEFT(D3,LEN(D3)-3)</calculatedColumnFormula>
    </tableColumn>
    <tableColumn id="25" xr3:uid="{5B243200-F3C0-4C7B-9DCC-2B08D171E3CF}" name="Tomadora" dataDxfId="205"/>
    <tableColumn id="2" xr3:uid="{2B3FCC14-01DF-4F8B-9F0D-27B2D101F30F}" name="Agente" dataDxfId="204"/>
    <tableColumn id="3" xr3:uid="{92F1792E-178D-4E41-88BE-8431F51DBF81}" name="Valor principal" dataDxfId="203" dataCellStyle="Moeda"/>
    <tableColumn id="12" xr3:uid="{3A475916-95DA-4E27-8994-3F9E06A21440}" name="Entrada em 2025" dataDxfId="202">
      <calculatedColumnFormula>SUM(fin[[#This Row],[jan/25]:[dez/25]])</calculatedColumnFormula>
    </tableColumn>
    <tableColumn id="4" xr3:uid="{089F25C9-6052-451B-A3E3-CCB27B5347B6}" name="Juros a.a." dataDxfId="201"/>
    <tableColumn id="5" xr3:uid="{5A5616BC-7F6C-41C4-AE15-915C36A0EAD5}" name="Data início" dataDxfId="200"/>
    <tableColumn id="6" xr3:uid="{73F0ED5F-6941-43E2-BA16-39E3DFF6E955}" name="Última parcela" dataDxfId="199"/>
    <tableColumn id="7" xr3:uid="{3C5E87F6-FDFE-4532-AA1E-B281E82393CB}" name="Valor parcela" dataDxfId="198" dataCellStyle="Moeda"/>
    <tableColumn id="8" xr3:uid="{0CF28A1A-D62F-4035-B6DD-809A41022A51}" name="Saldo" dataDxfId="197" dataCellStyle="Moeda"/>
    <tableColumn id="9" xr3:uid="{BA759F07-5419-4D6D-92D4-A84CCCFC19C2}" name="Garantia" dataDxfId="196"/>
    <tableColumn id="10" xr3:uid="{6749CF21-5EFE-4273-86E3-CB1322907385}" name="Tipo" dataDxfId="195"/>
    <tableColumn id="11" xr3:uid="{E5F28758-32FF-43F6-8F6E-D3E93CBC64CE}" name="Obs" dataDxfId="194"/>
    <tableColumn id="13" xr3:uid="{A7B1CD51-FDF4-4077-8516-3178DBD2111F}" name="jan/25" dataDxfId="193"/>
    <tableColumn id="14" xr3:uid="{46293D95-2F3B-4756-A777-3E38B9E86145}" name="fev/25" dataDxfId="192"/>
    <tableColumn id="15" xr3:uid="{E825D63D-F0DC-4560-8B74-F6E7C22556DA}" name="mar/25" dataDxfId="191"/>
    <tableColumn id="16" xr3:uid="{B6CFDC17-F3CD-4B65-8ED3-0A308627EF3F}" name="abr/25" dataDxfId="190"/>
    <tableColumn id="17" xr3:uid="{0226DA9F-D27A-4A0C-B6E8-46AB13B14A07}" name="mai/25" dataDxfId="189"/>
    <tableColumn id="18" xr3:uid="{8FF537B3-703C-45FB-BAC1-81B866E10A33}" name="jun/25" dataDxfId="188"/>
    <tableColumn id="19" xr3:uid="{FD809B44-BFA8-4055-A608-EFAA1CE73FBB}" name="jul/25" dataDxfId="187"/>
    <tableColumn id="20" xr3:uid="{5F57F0E9-1EB0-451E-ACA0-6FC49080E0F3}" name="ago/25" dataDxfId="186"/>
    <tableColumn id="21" xr3:uid="{1FB017F7-FB43-4CA4-8D8B-634C099AAF8E}" name="set/25" dataDxfId="185"/>
    <tableColumn id="22" xr3:uid="{07B9394B-217E-46F7-B59B-68886D137270}" name="out/25" dataDxfId="184"/>
    <tableColumn id="23" xr3:uid="{8BBC8703-F3F6-45E8-80D4-6CBFF8B1389F}" name="nov/25" dataDxfId="183"/>
    <tableColumn id="24" xr3:uid="{B1C13C7F-61EB-4E51-95E6-13EA8F74FE09}" name="dez/25" dataDxfId="182"/>
    <tableColumn id="26" xr3:uid="{2A2C3C61-2847-4850-AA13-E4EDE668DB8B}" name="jan/26" dataDxfId="181"/>
    <tableColumn id="27" xr3:uid="{800A30B9-1CB1-4021-AF38-5D83A719F7CB}" name="fev/26" dataDxfId="180"/>
    <tableColumn id="28" xr3:uid="{C5F7A8D4-69ED-4F97-85B1-E06E6C7B7038}" name="mar/26" dataDxfId="179"/>
    <tableColumn id="29" xr3:uid="{7B527BA5-600D-4AD7-A418-FD8FCE6E7D0E}" name="abr/26" dataDxfId="178"/>
    <tableColumn id="30" xr3:uid="{E38B407B-75EB-4977-B90D-F739B1F69165}" name="mai/26" dataDxfId="177"/>
    <tableColumn id="31" xr3:uid="{8E7162C1-3D84-4B74-8815-0ADDECEEFEC0}" name="jun/26" dataDxfId="176"/>
    <tableColumn id="32" xr3:uid="{32460412-007A-469E-84FA-9BA36DCE05F2}" name="jul/26" dataDxfId="175"/>
    <tableColumn id="33" xr3:uid="{358B9DDA-F56F-47B7-98A2-41E75AB4F84D}" name="ago/26" dataDxfId="174"/>
    <tableColumn id="34" xr3:uid="{C3609F13-0939-4C70-ABDB-D95450E5A078}" name="set/26" dataDxfId="173"/>
    <tableColumn id="35" xr3:uid="{E6A5EDD2-B4CA-478F-B5B4-E1759809A483}" name="out/26" dataDxfId="172"/>
    <tableColumn id="36" xr3:uid="{9674C35D-9F30-480C-BB1A-0893C42BEC32}" name="nov/26" dataDxfId="171"/>
    <tableColumn id="37" xr3:uid="{ABB71A8B-2D53-4BC4-9006-F52A8DEF86E3}" name="dez/26" dataDxfId="17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69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68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46" dataDxfId="145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44"/>
    <tableColumn id="4" xr3:uid="{14956C8A-C0BD-4D5E-97DC-0B2CA344893A}" name="Mês" dataDxfId="143"/>
    <tableColumn id="5" xr3:uid="{B81A8953-6034-40CF-A34E-0FA9D9547B46}" name="CEF (obra)" dataDxfId="142"/>
    <tableColumn id="9" xr3:uid="{A104B570-7C7D-4A73-AB38-3097D12EB93B}" name="Pró soluto" dataDxfId="141"/>
    <tableColumn id="2" xr3:uid="{42A65CA1-B143-4545-9306-D00759DC35F7}" name="PJ CEF" dataDxfId="140"/>
    <tableColumn id="3" xr3:uid="{E4B3ED56-6795-4511-B5F6-1243B11FAA96}" name="Entradas" dataDxfId="139">
      <calculatedColumnFormula>cef[[#This Row],[CEF (obra)]]+cef[[#This Row],[Pró soluto]]+cef[[#This Row],[PJ CEF]]</calculatedColumnFormula>
    </tableColumn>
    <tableColumn id="13" xr3:uid="{F9E80842-B4A0-4309-9A32-21704BFF38C6}" name="Custo obra" dataDxfId="138"/>
    <tableColumn id="14" xr3:uid="{986F11A1-199C-4BC6-BCAB-432FCB4CD3AB}" name="Serviço da dívida PJ CEF" dataDxfId="137"/>
    <tableColumn id="8" xr3:uid="{700ED38E-4B37-411F-AEA4-C8F0B56EAC53}" name="Saídas" dataDxfId="136"/>
    <tableColumn id="7" xr3:uid="{4B3076D5-2543-4D5B-B265-7B9A8407E332}" name="E-S" dataDxfId="135">
      <calculatedColumnFormula>cef[[#This Row],[Entradas]]-cef[[#This Row],[Saídas]]</calculatedColumnFormula>
    </tableColumn>
    <tableColumn id="12" xr3:uid="{309F1BE2-D657-46F1-BDE4-215FB8BB57F2}" name="E-S histórico" dataDxfId="134"/>
    <tableColumn id="10" xr3:uid="{05E28B19-FD7F-4BA7-A121-ACB51352900F}" name="E/S" dataDxfId="133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32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G2" insertRow="1" totalsRowShown="0" headerRowDxfId="131" headerRowBorderDxfId="130" tableBorderDxfId="129">
  <autoFilter ref="A1:G2" xr:uid="{B7F95032-952A-4BEA-A13A-7B5DC72DED48}"/>
  <tableColumns count="7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variavel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28" headerRowBorderDxfId="127" tableBorderDxfId="126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25" dataDxfId="124">
  <autoFilter ref="A1:E2" xr:uid="{E04C97D4-C6EC-4BA2-BDB8-ED5F99D32C7B}"/>
  <tableColumns count="5">
    <tableColumn id="1" xr3:uid="{F8991AC9-B496-4071-88D0-965AA7E56347}" name="id.contr" dataDxfId="123"/>
    <tableColumn id="2" xr3:uid="{848121DC-6D2B-4A17-AB11-1C54A6302ADF}" name="empresa" dataDxfId="122"/>
    <tableColumn id="3" xr3:uid="{996BCA97-A76D-4FF6-9F2B-C2FD653CD03C}" name="contrato" dataDxfId="121"/>
    <tableColumn id="4" xr3:uid="{0BD26A3E-381C-43D9-88DA-1591A2D9509E}" name="contrato.cef" dataDxfId="120"/>
    <tableColumn id="5" xr3:uid="{C3B3C125-1D2F-4D6D-B9A4-2B2A5043EC4D}" name="repassado" dataDxfId="119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18" dataDxfId="117">
  <autoFilter ref="A1:AF2" xr:uid="{E04C97D4-C6EC-4BA2-BDB8-ED5F99D32C7B}"/>
  <tableColumns count="32">
    <tableColumn id="1" xr3:uid="{7591C1E4-333E-46EC-B95F-BF5541B357A4}" name="nucleo" dataDxfId="116"/>
    <tableColumn id="2" xr3:uid="{96E89845-4235-4A02-B7CE-0DF0B7B694DB}" name="nucleo.num" dataDxfId="115"/>
    <tableColumn id="3" xr3:uid="{0F46A9C7-7C83-42D1-A309-7325397F5236}" name="empresa" dataDxfId="114"/>
    <tableColumn id="4" xr3:uid="{F721C566-B42C-4B2C-9946-7DA03969DC90}" name="centro.negocio" dataDxfId="113"/>
    <tableColumn id="5" xr3:uid="{8D9D4173-C28C-4992-A064-F483ADDB0E23}" name="categoria" dataDxfId="112"/>
    <tableColumn id="6" xr3:uid="{81048B38-F467-4E84-8A20-F585D954E066}" name="n.siban" dataDxfId="111"/>
    <tableColumn id="7" xr3:uid="{6CBBA08B-DF25-4369-A82D-8FA8F29EFA80}" name="origem" dataDxfId="110"/>
    <tableColumn id="8" xr3:uid="{7ABB27F8-B8CB-470A-8419-30B67BC51AD4}" name="tipo.entrada" dataDxfId="109"/>
    <tableColumn id="9" xr3:uid="{69DFD527-31D6-4991-B07E-927ACDC7CCA5}" name="documento" dataDxfId="108"/>
    <tableColumn id="10" xr3:uid="{A011B5AE-D821-47F3-A9A6-F73395565959}" name="parcela" dataDxfId="107"/>
    <tableColumn id="11" xr3:uid="{C3536954-73DF-43E9-B074-638C86E811AA}" name="data.vencimento" dataDxfId="106"/>
    <tableColumn id="12" xr3:uid="{F3716B11-9C97-4DB0-8371-CE9B5B6B2835}" name="data.pagamento" dataDxfId="105"/>
    <tableColumn id="13" xr3:uid="{22491C3C-25CC-446A-9E63-A4864D1C0FC9}" name="valor" dataDxfId="104"/>
    <tableColumn id="14" xr3:uid="{9F6A6033-77D1-4985-A84E-8552AC4C5382}" name="a/c" dataDxfId="103"/>
    <tableColumn id="15" xr3:uid="{E076FDFD-C917-4899-BB40-F4499FF592BE}" name="documento.pagto" dataDxfId="102"/>
    <tableColumn id="16" xr3:uid="{75ABA4F4-48E3-4C5F-8173-5ED4DBFA82D8}" name="credor" dataDxfId="101"/>
    <tableColumn id="17" xr3:uid="{8CA2E840-C63A-4531-93C8-123AFA79FB8C}" name="classe" dataDxfId="100"/>
    <tableColumn id="18" xr3:uid="{5752141F-D6C3-4E1A-B10F-5C08983DA09A}" name="assunto.titulo" dataDxfId="99"/>
    <tableColumn id="19" xr3:uid="{4F627380-75D5-43C0-9A09-E48059974E95}" name="grupo.titulo" dataDxfId="98"/>
    <tableColumn id="20" xr3:uid="{58602D9F-504C-4459-831A-2C342BEDC48D}" name="subgrupo.titulo" dataDxfId="97"/>
    <tableColumn id="21" xr3:uid="{327A2116-6BB3-4610-A671-1A4C96BFEC0F}" name="classificacao" dataDxfId="96"/>
    <tableColumn id="22" xr3:uid="{983BAABF-26E4-4519-AA67-4856AFC95801}" name="d/c" dataDxfId="95"/>
    <tableColumn id="23" xr3:uid="{80C8F68F-ECB3-49D4-A74E-D629239E9C92}" name="cod.grupo.nuc" dataDxfId="94"/>
    <tableColumn id="24" xr3:uid="{D442FD0E-1287-4A06-98FC-6B0AEAD7BEC9}" name="grupo.nucleo" dataDxfId="93"/>
    <tableColumn id="25" xr3:uid="{6DFAC642-E786-4831-B43F-F44A89E2D703}" name="cod.grupo.cen" dataDxfId="92"/>
    <tableColumn id="26" xr3:uid="{C2FECD4D-2685-40F5-8A02-E4AF08AA3A80}" name="grupo.centro" dataDxfId="91"/>
    <tableColumn id="27" xr3:uid="{C9A23853-8F7E-4588-B7FD-8D6378266F1E}" name="cod.classe.cen" dataDxfId="90"/>
    <tableColumn id="28" xr3:uid="{F2EB607E-C2EE-4A67-B514-8C0634DDFE5B}" name="classe.centro" dataDxfId="89"/>
    <tableColumn id="29" xr3:uid="{F25F60B2-DE2C-4070-9B2E-8992D19A74E5}" name="arquivo" dataDxfId="88"/>
    <tableColumn id="30" xr3:uid="{BD1F13BE-7F96-454A-BF6E-E5CC7E3E33C5}" name="arquivo.tabela.tipo" dataDxfId="87"/>
    <tableColumn id="31" xr3:uid="{EABBC6B5-0899-4C37-87FE-DAB7CEAB1319}" name="arquivo.tipo" dataDxfId="86"/>
    <tableColumn id="32" xr3:uid="{41C21546-62DD-45A0-8F9F-8E92FA4F8E75}" name="arquivo.fonte" dataDxfId="85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84" dataDxfId="83">
  <autoFilter ref="A1:L2" xr:uid="{E04C97D4-C6EC-4BA2-BDB8-ED5F99D32C7B}"/>
  <tableColumns count="12">
    <tableColumn id="1" xr3:uid="{B5DFC91C-E081-4C3D-92BC-96E63DBDA06E}" name="empresa" dataDxfId="82"/>
    <tableColumn id="2" xr3:uid="{FA8F031D-9B1D-4B80-B82B-8AD3A6BAC081}" name="contrato.cef.5" dataDxfId="81"/>
    <tableColumn id="3" xr3:uid="{AA23661F-0E86-454B-B6FA-A33BA6F0CD1B}" name="repasse.cef.total" dataDxfId="80"/>
    <tableColumn id="4" xr3:uid="{EE24BE11-7DE0-4865-9425-57AA4E53C3E7}" name="repasse.cef.incorrido" dataDxfId="79"/>
    <tableColumn id="5" xr3:uid="{0F4302C0-1CDD-4B4D-A83B-6214CFBCD2EA}" name="repasse.cef.a.incorrer" dataDxfId="78"/>
    <tableColumn id="6" xr3:uid="{9D6ADF16-5B0C-4F1A-AEEF-585B9E5F5755}" name="repasse.cef.fin" dataDxfId="77"/>
    <tableColumn id="7" xr3:uid="{37A1F46E-AFA9-4CD2-A308-F4D6219EF875}" name="repasse.cef.desc.subs" dataDxfId="76"/>
    <tableColumn id="8" xr3:uid="{E6BABD7C-7C5B-4C88-A5BF-AF4E450F389B}" name="repasse.cef.fgts" dataDxfId="75"/>
    <tableColumn id="9" xr3:uid="{A2FE521F-3077-4FE2-BEC6-79AE0FCEB217}" name="repasse.cef.rec.prop" dataDxfId="74"/>
    <tableColumn id="10" xr3:uid="{68CE88C2-EF45-4F98-8368-487AAE13F73A}" name="repasse.cef.terreno.acum" dataDxfId="73"/>
    <tableColumn id="11" xr3:uid="{6013DC4F-C554-47DC-9D7B-BF1FFA36C501}" name="repasse.cef.obra.acum" dataDxfId="72"/>
    <tableColumn id="12" xr3:uid="{2706354C-F402-4E95-A801-2AA598F4077D}" name="arquivo" dataDxfId="71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A1:C177" totalsRowShown="0" dataDxfId="70">
  <autoFilter ref="A1:C177" xr:uid="{27E2832E-9D86-4E52-8328-106E72D685CE}"/>
  <tableColumns count="3">
    <tableColumn id="1" xr3:uid="{3AE39A28-EB41-4ED7-97D1-D22DED57C157}" name="Dia" dataDxfId="69"/>
    <tableColumn id="2" xr3:uid="{AA59BD1A-A3DE-4A20-A620-BE1E4CB729CE}" name="Saldo" dataDxfId="68"/>
    <tableColumn id="3" xr3:uid="{81351FB7-4A64-4DFF-AD43-254BB2AFDDB6}" name="Empresa" dataDxfId="67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0" displayName="tb_caixa0" ref="A1:AJ67" totalsRowShown="0" headerRowDxfId="66" dataDxfId="64" headerRowBorderDxfId="65" tableBorderDxfId="63" totalsRowBorderDxfId="62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61"/>
    <tableColumn id="2" xr3:uid="{64A752C9-74C4-4048-9140-CEC38426067A}" name="Empresa" dataDxfId="60"/>
    <tableColumn id="3" xr3:uid="{F8544715-8191-499D-A7D8-4F3101C4B51E}" name="CNPJ" dataDxfId="59"/>
    <tableColumn id="4" xr3:uid="{776EC783-746F-4292-982C-A10D9F73A377}" name="Banco" dataDxfId="58"/>
    <tableColumn id="5" xr3:uid="{76749C89-A7FF-4098-BF37-9827F217B9E8}" name="AG" dataDxfId="57"/>
    <tableColumn id="6" xr3:uid="{EBCDF0E8-54CD-4D30-9603-AFBE991A8AC8}" name="CC - Cod. Antigo" dataDxfId="56"/>
    <tableColumn id="7" xr3:uid="{349EC0DD-0AD9-423C-997B-263A255E7D8E}" name="CC - Novo Cod." dataDxfId="55"/>
    <tableColumn id="8" xr3:uid="{B644AACC-D932-4A66-9011-7B27C30A19F7}" name="Reduzido" dataDxfId="54"/>
    <tableColumn id="9" xr3:uid="{488D7E1B-A363-4C09-B95D-47FD3E998912}" name="consta conta no sistema ?" dataDxfId="53"/>
    <tableColumn id="10" xr3:uid="{793A083F-373F-4FE4-AAEA-F8BB856340A0}" name="Obs./Anotações" dataDxfId="52"/>
    <tableColumn id="11" xr3:uid="{99837CA4-AC03-4ACA-BB4E-86CF0E47D8DF}" name="01/01/2025" dataDxfId="51"/>
    <tableColumn id="12" xr3:uid="{E5C73C4B-8563-4DEE-8C68-47447C8C2491}" name="31/12/2025" dataDxfId="50"/>
    <tableColumn id="13" xr3:uid="{5A03BA23-EE83-4FEE-BD89-BECE97E63460}" name="01/01/2026" dataDxfId="49"/>
    <tableColumn id="14" xr3:uid="{7DD818D7-51F2-4F0E-B24B-EB447A4D412B}" name="31/01/2026" dataDxfId="48"/>
    <tableColumn id="15" xr3:uid="{B401B26E-BA3C-4762-83EA-85FDA7295624}" name="01/02/2026" dataDxfId="47"/>
    <tableColumn id="16" xr3:uid="{F66CC1B1-3207-4366-BD50-310763516C25}" name="28/02/2026" dataDxfId="46"/>
    <tableColumn id="17" xr3:uid="{4E7DD199-2DF9-4B05-AE6D-812813C02EF5}" name="01/03/2026" dataDxfId="45"/>
    <tableColumn id="18" xr3:uid="{1B94E050-81E8-4D76-AE9C-793C6B4EED19}" name="31/03/2026" dataDxfId="44"/>
    <tableColumn id="19" xr3:uid="{B49D6F44-913F-4244-8288-F1405952786B}" name="01/04/2026" dataDxfId="43"/>
    <tableColumn id="20" xr3:uid="{0542E4AF-E3CF-486F-8543-5904AE2EFC5A}" name="30/04/2026" dataDxfId="42"/>
    <tableColumn id="21" xr3:uid="{5E2A0F4C-8AA7-4BF8-BA83-95E5DDC6B7FA}" name="01/05/2026" dataDxfId="41"/>
    <tableColumn id="22" xr3:uid="{62C4BECC-94CD-4B90-81EC-8D5C4689FC7A}" name="31/05/2026" dataDxfId="40"/>
    <tableColumn id="23" xr3:uid="{90135908-1C0F-40FE-BB50-12B59334BCFD}" name="01/06/2026" dataDxfId="39"/>
    <tableColumn id="24" xr3:uid="{5AFECEA3-CC9C-4333-B091-8AACCC782B89}" name="30/06/2026" dataDxfId="38"/>
    <tableColumn id="25" xr3:uid="{8455A13F-66FE-4AFF-9FC0-E3FEAAD23077}" name="01/07/2026" dataDxfId="37"/>
    <tableColumn id="26" xr3:uid="{E7155ABC-C61B-4275-A0C1-2917B6C2C03A}" name="31/07/2026" dataDxfId="36"/>
    <tableColumn id="27" xr3:uid="{EA1ECFF1-9E44-4212-B0D4-50F01A679F99}" name="01/08/2026" dataDxfId="35"/>
    <tableColumn id="28" xr3:uid="{B7A6C8DE-1002-47DB-A291-601FD4EB993E}" name="31/08/2026" dataDxfId="34"/>
    <tableColumn id="29" xr3:uid="{501C605D-0DA6-454C-A2D3-888C7DB0C15C}" name="01/09/2026" dataDxfId="33"/>
    <tableColumn id="30" xr3:uid="{89ECCE6B-28C1-43EB-8052-F1CA21EDA928}" name="30/09/2026" dataDxfId="32"/>
    <tableColumn id="31" xr3:uid="{8203D335-921F-41BA-99C9-F98BCB32CD8F}" name="01/10/2026" dataDxfId="31"/>
    <tableColumn id="32" xr3:uid="{4DF4BC72-0B23-45DD-AAA3-8EEF2983C1F4}" name="31/10/2026" dataDxfId="30"/>
    <tableColumn id="33" xr3:uid="{C1F1F9EB-B15F-4512-BDC5-8A7B788C913A}" name="01/11/2026" dataDxfId="29"/>
    <tableColumn id="34" xr3:uid="{D56BC414-CE02-4538-8060-59494F2EBA36}" name="30/11/2026" dataDxfId="28"/>
    <tableColumn id="35" xr3:uid="{3BB5AFF2-7434-40D0-82A7-5096E31D897E}" name="01/12/2026" dataDxfId="27"/>
    <tableColumn id="36" xr3:uid="{B927F5B1-A3EA-40F0-BFA0-3B4D33282D24}" name="31/12/2026" dataDxfId="2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3" dT="2026-01-16T14:46:35.94" personId="{42E265A3-45EC-48D4-9B29-0671EDA53BA5}" id="{B97EF171-1111-419D-8615-2A0F4FE5751F}">
    <text>Deveria ser possível separar entre amortização e juros</text>
  </threadedComment>
  <threadedComment ref="M224" dT="2026-02-06T16:34:53.82" personId="{42E265A3-45EC-48D4-9B29-0671EDA53BA5}" id="{36865222-C131-45FD-9980-EEE90DD0E7E9}">
    <text>3M incluído manualmente</text>
  </threadedComment>
  <threadedComment ref="N224" dT="2026-02-06T16:36:34.39" personId="{42E265A3-45EC-48D4-9B29-0671EDA53BA5}" id="{928B6802-F15E-48F8-B189-5913C3914911}">
    <text>4,2M incluído manualmente</text>
  </threadedComment>
  <threadedComment ref="H226" dT="2026-04-16T17:50:55.34" personId="{42E265A3-45EC-48D4-9B29-0671EDA53BA5}" id="{78AE4BA1-A69F-427C-B50A-8E1A5710EAE8}">
    <text>5.405.358,06 incluído manualmente</text>
  </threadedComment>
  <threadedComment ref="J226" dT="2026-04-16T17:54:10.25" personId="{42E265A3-45EC-48D4-9B29-0671EDA53BA5}" id="{3329F516-6554-4797-B4CF-6715A5A419F5}">
    <text>994.999,95 incluído manualmente</text>
  </threadedComment>
  <threadedComment ref="H227" dT="2026-04-16T17:51:54.18" personId="{42E265A3-45EC-48D4-9B29-0671EDA53BA5}" id="{C7B25001-7A33-4034-BA3E-315533988066}">
    <text>4.295.585 incluído manualmente</text>
  </threadedComment>
  <threadedComment ref="J227" dT="2026-04-16T17:55:06.89" personId="{42E265A3-45EC-48D4-9B29-0671EDA53BA5}" id="{87775CC1-3D83-489B-88D0-C88882327DC3}">
    <text>1.855.585 incluído manualmente</text>
  </threadedComment>
  <threadedComment ref="H228" dT="2026-04-16T17:49:49.24" personId="{42E265A3-45EC-48D4-9B29-0671EDA53BA5}" id="{5682EFCA-CB56-4D09-B1CB-A0DF81C058D6}">
    <text>944.552 incluído manualmente</text>
  </threadedComment>
  <threadedComment ref="G230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D6797FB-1F2C-4D60-A422-13E3A10C54E5}">
    <text>4479</text>
  </threadedComment>
  <threadedComment ref="H4" dT="2025-12-16T15:03:04.57" personId="{5938D9F3-D67C-4270-BA01-0A054F741D67}" id="{F49B1282-CFFF-4797-B88C-EC661BCB7A1E}">
    <text>332-0</text>
  </threadedComment>
  <threadedComment ref="I4" dT="2025-12-16T15:04:11.01" personId="{5938D9F3-D67C-4270-BA01-0A054F741D67}" id="{8745D68A-FFEB-447A-B9BD-C5BA0A95234F}">
    <text>302</text>
  </threadedComment>
  <threadedComment ref="J4" dT="2025-09-16T19:34:54.29" personId="{877C9977-A9CC-40F4-8846-D8E647C1A02F}" id="{AE08D9C4-8AEA-4DB0-836A-D06CD627272F}">
    <text>2270</text>
  </threadedComment>
  <threadedComment ref="K4" dT="2025-09-19T13:12:00.88" personId="{5938D9F3-D67C-4270-BA01-0A054F741D67}" id="{A607CEAB-B0D8-47DF-8C4E-6367A734BCFE}">
    <text>Principal atacado</text>
  </threadedComment>
  <threadedComment ref="R4" dT="2025-08-11T12:48:21.63" personId="{877C9977-A9CC-40F4-8846-D8E647C1A02F}" id="{A53CA555-A3F0-4687-8314-F4A0EF4771D2}">
    <text>Conta 8338 CEF Poupança</text>
  </threadedComment>
  <threadedComment ref="H5" dT="2025-09-16T19:38:47.90" personId="{877C9977-A9CC-40F4-8846-D8E647C1A02F}" id="{1C5E15DA-EE06-4E92-BEEE-3D5DE6212873}">
    <text>3068</text>
  </threadedComment>
  <threadedComment ref="I5" dT="2025-09-16T19:39:17.87" personId="{877C9977-A9CC-40F4-8846-D8E647C1A02F}" id="{A4C03B9E-64F2-48A3-911B-68E7281ACF8C}">
    <text>2318</text>
  </threadedComment>
  <threadedComment ref="H6" dT="2025-08-11T12:28:01.66" personId="{877C9977-A9CC-40F4-8846-D8E647C1A02F}" id="{0924D9D5-3BE9-4E1E-913F-2DAEF271007E}">
    <text>Só tem uma conta na CEF</text>
  </threadedComment>
  <threadedComment ref="I8" dT="2025-08-11T13:42:32.10" personId="{877C9977-A9CC-40F4-8846-D8E647C1A02F}" id="{D1A3E12F-ED2F-4223-8554-7CF1A72BC851}">
    <text>Conta 8630 Select Repasse</text>
  </threadedComment>
  <threadedComment ref="H10" dT="2025-09-16T19:28:56.95" personId="{877C9977-A9CC-40F4-8846-D8E647C1A02F}" id="{FC553626-E876-47FB-8F76-1CB7F15F9219}">
    <text>3176</text>
  </threadedComment>
  <threadedComment ref="I10" dT="2025-09-16T19:29:31.34" personId="{877C9977-A9CC-40F4-8846-D8E647C1A02F}" id="{F397D75C-59EB-48DE-BD6F-7C3CDFAB1511}">
    <text>8543</text>
  </threadedComment>
  <threadedComment ref="H11" dT="2025-05-09T00:16:54.94" personId="{5938D9F3-D67C-4270-BA01-0A054F741D67}" id="{2CC9941D-F7CC-4FE2-8857-437F32E7401B}">
    <text>068</text>
  </threadedComment>
  <threadedComment ref="I11" dT="2025-05-09T00:17:17.42" personId="{5938D9F3-D67C-4270-BA01-0A054F741D67}" id="{74A98F84-D787-444E-ABF5-B4835DCDDB2A}">
    <text xml:space="preserve">123 </text>
  </threadedComment>
  <threadedComment ref="I11" dT="2025-10-07T15:26:54.78" personId="{5938D9F3-D67C-4270-BA01-0A054F741D67}" id="{D96515C9-C811-405A-877F-F39997F0920E}" parentId="{74A98F84-D787-444E-ABF5-B4835DCDDB2A}">
    <text>Saldo de 16k é reserva pra pg emprestimo</text>
  </threadedComment>
  <threadedComment ref="H14" dT="2025-08-11T12:41:30.30" personId="{877C9977-A9CC-40F4-8846-D8E647C1A02F}" id="{EF293C0D-AF47-4715-8810-581D7C77D8B4}">
    <text>Só tem uma conta CEF</text>
  </threadedComment>
  <threadedComment ref="H17" dT="2025-08-18T17:00:35.46" personId="{5938D9F3-D67C-4270-BA01-0A054F741D67}" id="{4C5ED188-E6A2-4627-BB95-B2EA863A92C5}">
    <text>Parc fin 2.900 em 25.08</text>
  </threadedComment>
  <threadedComment ref="H18" dT="2025-08-11T12:43:02.08" personId="{877C9977-A9CC-40F4-8846-D8E647C1A02F}" id="{3973F3A1-BCA9-451F-B908-A7E566C5E35B}">
    <text>Só tem uma conta CEF</text>
  </threadedComment>
  <threadedComment ref="H20" dT="2025-08-11T12:43:42.53" personId="{877C9977-A9CC-40F4-8846-D8E647C1A02F}" id="{C6E98E65-661B-4872-91DF-AE983CB3543F}">
    <text>Só tem uma conta CEF</text>
  </threadedComment>
  <threadedComment ref="H21" dT="2025-08-11T12:44:32.75" personId="{877C9977-A9CC-40F4-8846-D8E647C1A02F}" id="{430204B6-153D-4E25-B6E8-2BE247D6C3DE}">
    <text>Só tem uma conta CEF</text>
  </threadedComment>
  <threadedComment ref="E23" dT="2025-09-01T20:03:34.28" personId="{5938D9F3-D67C-4270-BA01-0A054F741D67}" id="{11D23070-4A6E-429E-A5D0-1FE33E2253B5}">
    <text>Conta do Davi - uso particular obras Itu não mencionar nas prestações de contas.</text>
  </threadedComment>
  <threadedComment ref="E23" dT="2025-11-06T14:22:05.58" personId="{5938D9F3-D67C-4270-BA01-0A054F741D67}" id="{470CBEAE-F551-4065-8823-BFCB0E853780}" parentId="{11D23070-4A6E-429E-A5D0-1FE33E2253B5}">
    <text>VAMOS USAR PRA PAGAR EMPRESTIMO FEITO COM CUSTO AMPLA</text>
  </threadedComment>
  <threadedComment ref="H23" dT="2025-12-11T16:15:50.21" personId="{5938D9F3-D67C-4270-BA01-0A054F741D67}" id="{30654A7B-6226-4037-AEBF-D13B9C70190B}">
    <text xml:space="preserve">Cobrou 6.515,54 de juros do cheque especial </text>
  </threadedComment>
  <threadedComment ref="H26" dT="2025-08-12T04:20:00.81" personId="{5938D9F3-D67C-4270-BA01-0A054F741D67}" id="{9B6C81F1-152F-4A8B-A6FC-2690336C0A90}">
    <text>Verificar débitos futuros de garantias - itu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57334E42-F89B-43FA-82D2-1991C53FB53A}">
    <text>4479</text>
  </threadedComment>
  <threadedComment ref="H4" dT="2025-12-16T15:03:04.57" personId="{5938D9F3-D67C-4270-BA01-0A054F741D67}" id="{AE7FC2F7-C330-49D7-828C-C38BA8887848}">
    <text>332-0</text>
  </threadedComment>
  <threadedComment ref="I4" dT="2025-12-16T15:04:11.01" personId="{5938D9F3-D67C-4270-BA01-0A054F741D67}" id="{D3A57B8B-569E-45D0-84A2-9B20FEEC2DBB}">
    <text>302</text>
  </threadedComment>
  <threadedComment ref="J4" dT="2025-09-16T19:34:54.29" personId="{877C9977-A9CC-40F4-8846-D8E647C1A02F}" id="{9944AC9A-3D16-4180-B452-EBCA1881A1F3}">
    <text>2270</text>
  </threadedComment>
  <threadedComment ref="K4" dT="2025-09-19T13:12:00.88" personId="{5938D9F3-D67C-4270-BA01-0A054F741D67}" id="{B25AA0BE-4C2A-4F67-88CA-4A98BA8363FB}">
    <text>Principal atacado</text>
  </threadedComment>
  <threadedComment ref="R4" dT="2025-08-11T12:48:21.63" personId="{877C9977-A9CC-40F4-8846-D8E647C1A02F}" id="{249BF615-37B2-43FE-BBCA-A1F6EF5122D4}">
    <text>Conta 8338 CEF Poupança</text>
  </threadedComment>
  <threadedComment ref="H5" dT="2025-09-16T19:38:47.90" personId="{877C9977-A9CC-40F4-8846-D8E647C1A02F}" id="{769EDCF6-EBE9-4036-ABE4-48A14ECFF9FC}">
    <text>3068</text>
  </threadedComment>
  <threadedComment ref="I5" dT="2025-09-16T19:39:17.87" personId="{877C9977-A9CC-40F4-8846-D8E647C1A02F}" id="{0C418CB0-A8DC-44F1-8DD4-EC114CD735E9}">
    <text>2318</text>
  </threadedComment>
  <threadedComment ref="H6" dT="2025-08-11T12:28:01.66" personId="{877C9977-A9CC-40F4-8846-D8E647C1A02F}" id="{E2611825-C3DE-44BB-A420-E70199A5F7CD}">
    <text>Só tem uma conta na CEF</text>
  </threadedComment>
  <threadedComment ref="I8" dT="2025-08-11T13:42:32.10" personId="{877C9977-A9CC-40F4-8846-D8E647C1A02F}" id="{43522CC1-18E5-4BA3-B5D7-9D14F58645F9}">
    <text>Conta 8630 Select Repasse</text>
  </threadedComment>
  <threadedComment ref="H10" dT="2025-09-16T19:28:56.95" personId="{877C9977-A9CC-40F4-8846-D8E647C1A02F}" id="{F3814DA8-0DEF-4D5F-862D-F81FA1E37CC4}">
    <text>3176</text>
  </threadedComment>
  <threadedComment ref="I10" dT="2025-09-16T19:29:31.34" personId="{877C9977-A9CC-40F4-8846-D8E647C1A02F}" id="{DB3C4969-0FF2-4394-9CDB-89E1476C00CD}">
    <text>8543</text>
  </threadedComment>
  <threadedComment ref="H11" dT="2025-05-09T00:16:54.94" personId="{5938D9F3-D67C-4270-BA01-0A054F741D67}" id="{6867D6C0-4315-49D5-AE07-7DB29BCFAFF3}">
    <text>068</text>
  </threadedComment>
  <threadedComment ref="I11" dT="2025-05-09T00:17:17.42" personId="{5938D9F3-D67C-4270-BA01-0A054F741D67}" id="{9D93792D-6B24-4A2F-A310-1AD3AE42BCDB}">
    <text xml:space="preserve">123 </text>
  </threadedComment>
  <threadedComment ref="I11" dT="2025-10-07T15:26:54.78" personId="{5938D9F3-D67C-4270-BA01-0A054F741D67}" id="{42820D45-4163-44B7-A94A-2CA365F9A2BB}" parentId="{9D93792D-6B24-4A2F-A310-1AD3AE42BCDB}">
    <text>Saldo de 16k é reserva pra pg emprestimo</text>
  </threadedComment>
  <threadedComment ref="H14" dT="2025-08-11T12:41:30.30" personId="{877C9977-A9CC-40F4-8846-D8E647C1A02F}" id="{DEC097CE-9A47-46E9-A50F-71DD2F270CE1}">
    <text>Só tem uma conta CEF</text>
  </threadedComment>
  <threadedComment ref="H17" dT="2025-08-18T17:00:35.46" personId="{5938D9F3-D67C-4270-BA01-0A054F741D67}" id="{D2B8BBFA-1EA7-46E8-8AC0-57FEDC697216}">
    <text>Parc fin 2.900 em 25.08</text>
  </threadedComment>
  <threadedComment ref="H18" dT="2025-08-11T12:43:02.08" personId="{877C9977-A9CC-40F4-8846-D8E647C1A02F}" id="{4D80B779-433F-4E5C-8F77-5A2D72D91F42}">
    <text>Só tem uma conta CEF</text>
  </threadedComment>
  <threadedComment ref="H20" dT="2025-08-11T12:43:42.53" personId="{877C9977-A9CC-40F4-8846-D8E647C1A02F}" id="{B237DD96-941D-43D0-906C-69082D658AD7}">
    <text>Só tem uma conta CEF</text>
  </threadedComment>
  <threadedComment ref="H21" dT="2025-08-11T12:44:32.75" personId="{877C9977-A9CC-40F4-8846-D8E647C1A02F}" id="{1777D9A6-9DB9-4F69-A86C-E68C060E2AFF}">
    <text>Só tem uma conta CEF</text>
  </threadedComment>
  <threadedComment ref="E23" dT="2025-09-01T20:03:34.28" personId="{5938D9F3-D67C-4270-BA01-0A054F741D67}" id="{6C3037C4-B304-4F3A-8C2E-322DB9794131}">
    <text>Conta do Davi - uso particular obras Itu não mencionar nas prestações de contas.</text>
  </threadedComment>
  <threadedComment ref="E23" dT="2025-11-06T14:22:05.58" personId="{5938D9F3-D67C-4270-BA01-0A054F741D67}" id="{A437793D-2896-4D5F-A822-33BD425215D6}" parentId="{6C3037C4-B304-4F3A-8C2E-322DB9794131}">
    <text>VAMOS USAR PRA PAGAR EMPRESTIMO FEITO COM CUSTO AMPLA</text>
  </threadedComment>
  <threadedComment ref="H23" dT="2025-12-11T16:15:50.21" personId="{5938D9F3-D67C-4270-BA01-0A054F741D67}" id="{ADA9A246-4879-4A0D-B4BB-6A9955B8D1C2}">
    <text xml:space="preserve">Cobrou 6.515,54 de juros do cheque especial </text>
  </threadedComment>
  <threadedComment ref="H26" dT="2025-08-12T04:20:00.81" personId="{5938D9F3-D67C-4270-BA01-0A054F741D67}" id="{9AD43AEF-CD30-47E2-8C68-07592FA1145F}">
    <text>Verificar débitos futuros de garantias - itu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1EB2CF12-191E-4BB1-BFC6-19A1A0F6F7EE}">
    <text>4479</text>
  </threadedComment>
  <threadedComment ref="H4" dT="2025-12-16T15:03:04.57" personId="{5938D9F3-D67C-4270-BA01-0A054F741D67}" id="{DAEDD277-3421-4C8E-8D9F-4DFB6A85F1DC}">
    <text>332-0</text>
  </threadedComment>
  <threadedComment ref="I4" dT="2025-12-16T15:04:11.01" personId="{5938D9F3-D67C-4270-BA01-0A054F741D67}" id="{0F43B952-F967-46C5-82D6-48604EB30B83}">
    <text>302</text>
  </threadedComment>
  <threadedComment ref="J4" dT="2025-09-16T19:34:54.29" personId="{877C9977-A9CC-40F4-8846-D8E647C1A02F}" id="{C150B29F-F683-463B-AA68-F858B4B21788}">
    <text>2270</text>
  </threadedComment>
  <threadedComment ref="K4" dT="2025-09-19T13:12:00.88" personId="{5938D9F3-D67C-4270-BA01-0A054F741D67}" id="{AB2B6800-25B7-4F64-B58A-7FEECAE77F13}">
    <text>Principal atacado</text>
  </threadedComment>
  <threadedComment ref="R4" dT="2025-08-11T12:48:21.63" personId="{877C9977-A9CC-40F4-8846-D8E647C1A02F}" id="{A809D390-9236-4AF2-AF4A-F11B114FC565}">
    <text>Conta 8338 CEF Poupança</text>
  </threadedComment>
  <threadedComment ref="U4" dT="2026-03-02T12:15:26.81" personId="{877C9977-A9CC-40F4-8846-D8E647C1A02F}" id="{F8C6B658-1774-4E07-8700-1ACE1FF76CEB}">
    <text>Saldo disponível da conta 332-0 Repasse</text>
  </threadedComment>
  <threadedComment ref="V4" dT="2026-03-02T12:14:07.48" personId="{877C9977-A9CC-40F4-8846-D8E647C1A02F}" id="{09BCF6D9-D823-4701-8944-8067159D777F}">
    <text>Limite da conta 600 ou 227</text>
  </threadedComment>
  <threadedComment ref="H5" dT="2025-09-16T19:38:47.90" personId="{877C9977-A9CC-40F4-8846-D8E647C1A02F}" id="{9B26B724-7689-4A6B-8B52-7982D8C509E2}">
    <text>3068</text>
  </threadedComment>
  <threadedComment ref="I5" dT="2025-09-16T19:39:17.87" personId="{877C9977-A9CC-40F4-8846-D8E647C1A02F}" id="{4C680CFC-4C2D-43B0-B6EE-375C8E4AE26A}">
    <text>2318</text>
  </threadedComment>
  <threadedComment ref="H6" dT="2025-08-11T12:28:01.66" personId="{877C9977-A9CC-40F4-8846-D8E647C1A02F}" id="{6A869996-C9F2-4C69-976B-9A91C3A1E782}">
    <text>Só tem uma conta na CEF</text>
  </threadedComment>
  <threadedComment ref="I8" dT="2025-08-11T13:42:32.10" personId="{877C9977-A9CC-40F4-8846-D8E647C1A02F}" id="{70DD296B-62C8-41FE-982E-2CA54D824056}">
    <text>Conta 8630 Select Repasse</text>
  </threadedComment>
  <threadedComment ref="H10" dT="2025-09-16T19:28:56.95" personId="{877C9977-A9CC-40F4-8846-D8E647C1A02F}" id="{53F277E1-EB5F-46C8-85E4-F5533B56FCAA}">
    <text>3176</text>
  </threadedComment>
  <threadedComment ref="I10" dT="2025-09-16T19:29:31.34" personId="{877C9977-A9CC-40F4-8846-D8E647C1A02F}" id="{E7DC4FAF-C27E-40EC-AF09-B96FEABC0E35}">
    <text>8543</text>
  </threadedComment>
  <threadedComment ref="H11" dT="2025-05-09T00:16:54.94" personId="{5938D9F3-D67C-4270-BA01-0A054F741D67}" id="{DA231A1C-4B30-4D03-BB73-2D3339546831}">
    <text>068</text>
  </threadedComment>
  <threadedComment ref="I11" dT="2025-05-09T00:17:17.42" personId="{5938D9F3-D67C-4270-BA01-0A054F741D67}" id="{D4D0B59F-9AE3-4388-ACB8-CDE3E4478F7C}">
    <text xml:space="preserve">123 </text>
  </threadedComment>
  <threadedComment ref="I11" dT="2025-10-07T15:26:54.78" personId="{5938D9F3-D67C-4270-BA01-0A054F741D67}" id="{68240578-1280-4C4F-AAE5-6EAE1784FB73}" parentId="{D4D0B59F-9AE3-4388-ACB8-CDE3E4478F7C}">
    <text>Saldo de 16k é reserva pra pg emprestimo</text>
  </threadedComment>
  <threadedComment ref="H14" dT="2025-08-11T12:41:30.30" personId="{877C9977-A9CC-40F4-8846-D8E647C1A02F}" id="{DE2F59EE-CD12-485A-BB1D-28E3E2005B2B}">
    <text>Só tem uma conta CEF</text>
  </threadedComment>
  <threadedComment ref="H15" dT="2026-02-04T12:47:54.22" personId="{877C9977-A9CC-40F4-8846-D8E647C1A02F}" id="{AAF27B80-E9C1-4271-8355-CC56CCF9ACC5}">
    <text>Já descontei o valor dos boletos que inclui hoje para pagamento</text>
  </threadedComment>
  <threadedComment ref="H17" dT="2025-08-18T17:00:35.46" personId="{5938D9F3-D67C-4270-BA01-0A054F741D67}" id="{5E038028-6B0B-464A-8727-BDE134C88E62}">
    <text>Parc fin 2.900 em 25.08</text>
  </threadedComment>
  <threadedComment ref="H18" dT="2025-08-11T12:43:02.08" personId="{877C9977-A9CC-40F4-8846-D8E647C1A02F}" id="{7BE83AAF-95AB-4818-8E38-6DFED0C29342}">
    <text>Só tem uma conta CEF</text>
  </threadedComment>
  <threadedComment ref="H20" dT="2025-08-11T12:43:42.53" personId="{877C9977-A9CC-40F4-8846-D8E647C1A02F}" id="{ACEBB7D0-B87B-4B34-926E-ACD48547B33D}">
    <text>Só tem uma conta CEF</text>
  </threadedComment>
  <threadedComment ref="H21" dT="2025-08-11T12:44:32.75" personId="{877C9977-A9CC-40F4-8846-D8E647C1A02F}" id="{57F1FDFE-9AF4-4710-9A1C-A5AFDA47D4F3}">
    <text>Só tem uma conta CEF</text>
  </threadedComment>
  <threadedComment ref="E23" dT="2025-09-01T20:03:34.28" personId="{5938D9F3-D67C-4270-BA01-0A054F741D67}" id="{E062F522-0C6C-47FF-82BB-664590A0A02D}">
    <text>Conta do Davi - uso particular obras Itu não mencionar nas prestações de contas.</text>
  </threadedComment>
  <threadedComment ref="E23" dT="2025-11-06T14:22:05.58" personId="{5938D9F3-D67C-4270-BA01-0A054F741D67}" id="{AB9BA760-356E-4763-B916-9F6E52CB8FB7}" parentId="{E062F522-0C6C-47FF-82BB-664590A0A02D}">
    <text>VAMOS USAR PRA PAGAR EMPRESTIMO FEITO COM CUSTO AMPLA</text>
  </threadedComment>
  <threadedComment ref="H23" dT="2025-12-11T16:15:50.21" personId="{5938D9F3-D67C-4270-BA01-0A054F741D67}" id="{5B71650E-2D55-422B-B823-D697FB24C3AF}">
    <text xml:space="preserve">Cobrou 6.515,54 de juros do cheque especial </text>
  </threadedComment>
  <threadedComment ref="H26" dT="2025-08-12T04:20:00.81" personId="{5938D9F3-D67C-4270-BA01-0A054F741D67}" id="{124A9AA6-2539-41FF-B5B5-0296D0636838}">
    <text>Verificar débitos futuros de garantias - itu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341545BF-9B9E-496C-A5BA-A9716D498B2A}">
    <text>4479</text>
  </threadedComment>
  <threadedComment ref="H4" dT="2025-12-16T15:03:04.57" personId="{5938D9F3-D67C-4270-BA01-0A054F741D67}" id="{2FF35904-CEBC-4168-BEB6-071E41891F9D}">
    <text>332-0</text>
  </threadedComment>
  <threadedComment ref="I4" dT="2025-12-16T15:04:11.01" personId="{5938D9F3-D67C-4270-BA01-0A054F741D67}" id="{5706D3CC-3FE8-46B6-B515-472B4D8D3486}">
    <text>302</text>
  </threadedComment>
  <threadedComment ref="J4" dT="2025-09-16T19:34:54.29" personId="{877C9977-A9CC-40F4-8846-D8E647C1A02F}" id="{922B6EFD-FA3D-4314-B07E-635C8CB1DA67}">
    <text>2270</text>
  </threadedComment>
  <threadedComment ref="K4" dT="2025-09-19T13:12:00.88" personId="{5938D9F3-D67C-4270-BA01-0A054F741D67}" id="{7025E0DD-B7CB-4E46-86FB-ACF33351343D}">
    <text>Principal atacado</text>
  </threadedComment>
  <threadedComment ref="R4" dT="2025-08-11T12:48:21.63" personId="{877C9977-A9CC-40F4-8846-D8E647C1A02F}" id="{60009C06-B22D-44F0-9462-C344915DE92E}">
    <text>Conta 8338 CEF Poupança</text>
  </threadedComment>
  <threadedComment ref="U4" dT="2026-03-02T12:15:26.81" personId="{877C9977-A9CC-40F4-8846-D8E647C1A02F}" id="{157F70F6-071A-4332-8B81-81FECF4396D0}">
    <text>Saldo disponível da conta 332-0 Repasse</text>
  </threadedComment>
  <threadedComment ref="V4" dT="2026-03-02T12:14:07.48" personId="{877C9977-A9CC-40F4-8846-D8E647C1A02F}" id="{84695748-B6BA-4CFC-B537-1391D080F8BB}">
    <text>Limite da conta 600 ou 227</text>
  </threadedComment>
  <threadedComment ref="H5" dT="2025-09-16T19:38:47.90" personId="{877C9977-A9CC-40F4-8846-D8E647C1A02F}" id="{D8F29149-F8A1-4C2D-9CFB-9B34B53C72EE}">
    <text>3068</text>
  </threadedComment>
  <threadedComment ref="I5" dT="2025-09-16T19:39:17.87" personId="{877C9977-A9CC-40F4-8846-D8E647C1A02F}" id="{00261541-3B30-4185-AC6F-7B2957D7145A}">
    <text>2318</text>
  </threadedComment>
  <threadedComment ref="H6" dT="2025-08-11T12:28:01.66" personId="{877C9977-A9CC-40F4-8846-D8E647C1A02F}" id="{C5CC396C-8500-4ABE-B92B-40472FE13B3A}">
    <text>Só tem uma conta na CEF</text>
  </threadedComment>
  <threadedComment ref="I8" dT="2025-08-11T13:42:32.10" personId="{877C9977-A9CC-40F4-8846-D8E647C1A02F}" id="{6A3776FA-C89B-4C37-A232-3BBBFF3B4F14}">
    <text>Conta 8630 Select Repasse</text>
  </threadedComment>
  <threadedComment ref="H10" dT="2025-09-16T19:28:56.95" personId="{877C9977-A9CC-40F4-8846-D8E647C1A02F}" id="{F337FDA5-1679-4CE7-B605-0681440B8854}">
    <text>3176</text>
  </threadedComment>
  <threadedComment ref="I10" dT="2025-09-16T19:29:31.34" personId="{877C9977-A9CC-40F4-8846-D8E647C1A02F}" id="{29B57107-A47F-4691-B9E4-A3D53EACE673}">
    <text>8543</text>
  </threadedComment>
  <threadedComment ref="H13" dT="2025-05-09T00:16:54.94" personId="{5938D9F3-D67C-4270-BA01-0A054F741D67}" id="{22474CA1-154C-4AF9-A56F-0B13D3AC53CF}">
    <text>068</text>
  </threadedComment>
  <threadedComment ref="I13" dT="2025-05-09T00:17:17.42" personId="{5938D9F3-D67C-4270-BA01-0A054F741D67}" id="{9E44ABA9-F86C-47F2-A7BE-137AA33D63BA}">
    <text xml:space="preserve">123 </text>
  </threadedComment>
  <threadedComment ref="I13" dT="2025-10-07T15:26:54.78" personId="{5938D9F3-D67C-4270-BA01-0A054F741D67}" id="{4B46E543-9595-431A-B053-569E16D8A7CB}" parentId="{9E44ABA9-F86C-47F2-A7BE-137AA33D63BA}">
    <text>Saldo de 16k é reserva pra pg emprestimo</text>
  </threadedComment>
  <threadedComment ref="H16" dT="2025-08-11T12:41:30.30" personId="{877C9977-A9CC-40F4-8846-D8E647C1A02F}" id="{C30DCF98-A67F-42C6-8365-736F5AC977DC}">
    <text>Só tem uma conta CEF</text>
  </threadedComment>
  <threadedComment ref="H17" dT="2026-02-04T12:47:54.22" personId="{877C9977-A9CC-40F4-8846-D8E647C1A02F}" id="{DC073A06-867C-4705-A2F5-C1BDD8081F75}">
    <text>Já descontei o valor dos boletos que inclui hoje para pagamento</text>
  </threadedComment>
  <threadedComment ref="H19" dT="2025-08-18T17:00:35.46" personId="{5938D9F3-D67C-4270-BA01-0A054F741D67}" id="{0DAC12A8-D038-4B15-B33A-13459757B17C}">
    <text>Parc fin 2.900 em 25.08</text>
  </threadedComment>
  <threadedComment ref="H20" dT="2025-08-11T12:43:02.08" personId="{877C9977-A9CC-40F4-8846-D8E647C1A02F}" id="{3DCA4356-23DC-4A72-8B6D-D663122508A4}">
    <text>Só tem uma conta CEF</text>
  </threadedComment>
  <threadedComment ref="H22" dT="2025-08-11T12:43:42.53" personId="{877C9977-A9CC-40F4-8846-D8E647C1A02F}" id="{1949085E-D492-479A-A795-EB2EE449B9FB}">
    <text>Só tem uma conta CEF</text>
  </threadedComment>
  <threadedComment ref="H23" dT="2025-08-11T12:44:32.75" personId="{877C9977-A9CC-40F4-8846-D8E647C1A02F}" id="{D7D5EA3E-3699-497E-BAF6-349E29889FFF}">
    <text>Só tem uma conta CEF</text>
  </threadedComment>
  <threadedComment ref="E25" dT="2025-09-01T20:03:34.28" personId="{5938D9F3-D67C-4270-BA01-0A054F741D67}" id="{1DEBBD58-CCDC-4B72-91D2-CD9D929973E4}">
    <text>Conta do Davi - uso particular obras Itu não mencionar nas prestações de contas.</text>
  </threadedComment>
  <threadedComment ref="E25" dT="2025-11-06T14:22:05.58" personId="{5938D9F3-D67C-4270-BA01-0A054F741D67}" id="{5386ABCF-DAE0-4A0C-961A-11B97A98388D}" parentId="{1DEBBD58-CCDC-4B72-91D2-CD9D929973E4}">
    <text>VAMOS USAR PRA PAGAR EMPRESTIMO FEITO COM CUSTO AMPLA</text>
  </threadedComment>
  <threadedComment ref="H25" dT="2025-12-11T16:15:50.21" personId="{5938D9F3-D67C-4270-BA01-0A054F741D67}" id="{F1EEAF54-BC61-4F57-A86E-48231261A73E}">
    <text xml:space="preserve">Cobrou 6.515,54 de juros do cheque especial </text>
  </threadedComment>
  <threadedComment ref="H28" dT="2025-08-12T04:20:00.81" personId="{5938D9F3-D67C-4270-BA01-0A054F741D67}" id="{FFA92D1B-0018-4DFC-B163-0CFBE5E8BE56}">
    <text>Verificar débitos futuros de garantias - itu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0C6B26D0-492F-47E0-A760-2915A547E0F1}">
    <text>4479</text>
  </threadedComment>
  <threadedComment ref="H4" dT="2025-12-16T15:03:04.57" personId="{5938D9F3-D67C-4270-BA01-0A054F741D67}" id="{5F37EB28-C672-4C1D-9CED-15ED92F30DAE}">
    <text>332-0</text>
  </threadedComment>
  <threadedComment ref="I4" dT="2025-12-16T15:04:11.01" personId="{5938D9F3-D67C-4270-BA01-0A054F741D67}" id="{83B6549E-DBD3-4ED2-B4F0-C48704D378AD}">
    <text>302</text>
  </threadedComment>
  <threadedComment ref="J4" dT="2025-09-16T19:34:54.29" personId="{877C9977-A9CC-40F4-8846-D8E647C1A02F}" id="{5D31DDCF-502E-4CF6-B4F5-B34C1739B075}">
    <text>2270</text>
  </threadedComment>
  <threadedComment ref="K4" dT="2025-09-19T13:12:00.88" personId="{5938D9F3-D67C-4270-BA01-0A054F741D67}" id="{2F03DE58-8202-475E-8642-20B5D69F11BA}">
    <text>Principal atacado</text>
  </threadedComment>
  <threadedComment ref="R4" dT="2025-08-11T12:48:21.63" personId="{877C9977-A9CC-40F4-8846-D8E647C1A02F}" id="{CF6C6ADB-2DE2-4438-82F6-D8F62DF1A9D0}">
    <text>Conta 8338 CEF Poupança</text>
  </threadedComment>
  <threadedComment ref="U4" dT="2026-03-02T12:15:26.81" personId="{877C9977-A9CC-40F4-8846-D8E647C1A02F}" id="{E9ED8577-F818-446A-B224-D15DC3854BB9}">
    <text>Saldo disponível da conta 332-0 Repasse</text>
  </threadedComment>
  <threadedComment ref="V4" dT="2026-03-02T12:14:07.48" personId="{877C9977-A9CC-40F4-8846-D8E647C1A02F}" id="{5C362069-027B-4591-8131-1A40EB7F15DA}">
    <text>Limite da conta 600 ou 227</text>
  </threadedComment>
  <threadedComment ref="H5" dT="2025-09-16T19:38:47.90" personId="{877C9977-A9CC-40F4-8846-D8E647C1A02F}" id="{690EEFF4-0F5A-4A43-BD5E-5D7DE5422F2E}">
    <text>3068</text>
  </threadedComment>
  <threadedComment ref="I5" dT="2025-09-16T19:39:17.87" personId="{877C9977-A9CC-40F4-8846-D8E647C1A02F}" id="{45C8F0DC-6E8A-4E7F-8B23-069DC3679269}">
    <text>2318</text>
  </threadedComment>
  <threadedComment ref="H6" dT="2025-08-11T12:28:01.66" personId="{877C9977-A9CC-40F4-8846-D8E647C1A02F}" id="{5D491E68-00D7-4FA5-879D-CC0818610242}">
    <text>Só tem uma conta na CEF</text>
  </threadedComment>
  <threadedComment ref="I8" dT="2025-08-11T13:42:32.10" personId="{877C9977-A9CC-40F4-8846-D8E647C1A02F}" id="{36E0F50B-178A-4315-BD50-E87536374CAE}">
    <text>Conta 8630 Select Repasse</text>
  </threadedComment>
  <threadedComment ref="H10" dT="2025-09-16T19:28:56.95" personId="{877C9977-A9CC-40F4-8846-D8E647C1A02F}" id="{267E1938-D50C-4947-AD3F-168FE617F65E}">
    <text>3176</text>
  </threadedComment>
  <threadedComment ref="I10" dT="2025-09-16T19:29:31.34" personId="{877C9977-A9CC-40F4-8846-D8E647C1A02F}" id="{FB0B49C4-E406-430F-98B9-72DB81A8E368}">
    <text>8543</text>
  </threadedComment>
  <threadedComment ref="H13" dT="2025-05-09T00:16:54.94" personId="{5938D9F3-D67C-4270-BA01-0A054F741D67}" id="{D69AB834-069A-4F24-8860-B1D04F7D1BA6}">
    <text>068</text>
  </threadedComment>
  <threadedComment ref="I13" dT="2025-05-09T00:17:17.42" personId="{5938D9F3-D67C-4270-BA01-0A054F741D67}" id="{718A1605-A877-46C0-8FE0-09322ED0102E}">
    <text xml:space="preserve">123 </text>
  </threadedComment>
  <threadedComment ref="I13" dT="2025-10-07T15:26:54.78" personId="{5938D9F3-D67C-4270-BA01-0A054F741D67}" id="{2C8CA293-A6F3-48BE-990D-951C6F5DA085}" parentId="{718A1605-A877-46C0-8FE0-09322ED0102E}">
    <text>Saldo de 16k é reserva pra pg emprestimo</text>
  </threadedComment>
  <threadedComment ref="H16" dT="2025-08-11T12:41:30.30" personId="{877C9977-A9CC-40F4-8846-D8E647C1A02F}" id="{132F1883-5E5A-4B2A-9D16-24303072B225}">
    <text>Só tem uma conta CEF</text>
  </threadedComment>
  <threadedComment ref="H17" dT="2026-02-04T12:47:54.22" personId="{877C9977-A9CC-40F4-8846-D8E647C1A02F}" id="{7C807417-5B25-4DED-8506-7CB3FB8E1529}">
    <text>Já descontei o valor dos boletos que inclui hoje para pagamento</text>
  </threadedComment>
  <threadedComment ref="H20" dT="2025-08-11T12:43:02.08" personId="{877C9977-A9CC-40F4-8846-D8E647C1A02F}" id="{23EB32F8-43E7-45F3-ABD3-3CF57586A5F7}">
    <text>Só tem uma conta CEF</text>
  </threadedComment>
  <threadedComment ref="H22" dT="2025-08-11T12:43:42.53" personId="{877C9977-A9CC-40F4-8846-D8E647C1A02F}" id="{3FFFE722-5BBD-43EB-8011-2B3867AA4DDC}">
    <text>Só tem uma conta CEF</text>
  </threadedComment>
  <threadedComment ref="H23" dT="2025-08-11T12:44:32.75" personId="{877C9977-A9CC-40F4-8846-D8E647C1A02F}" id="{F73C9EE1-11B7-46CE-B9C5-C4FD153B17CB}">
    <text>Só tem uma conta CEF</text>
  </threadedComment>
  <threadedComment ref="E25" dT="2025-09-01T20:03:34.28" personId="{5938D9F3-D67C-4270-BA01-0A054F741D67}" id="{82722505-3FD3-4E05-BFA3-B962032E1593}">
    <text>Conta do Davi - uso particular obras Itu não mencionar nas prestações de contas.</text>
  </threadedComment>
  <threadedComment ref="E25" dT="2025-11-06T14:22:05.58" personId="{5938D9F3-D67C-4270-BA01-0A054F741D67}" id="{0E9CDF7B-7D98-4554-8292-0BC9879DDD47}" parentId="{82722505-3FD3-4E05-BFA3-B962032E1593}">
    <text>VAMOS USAR PRA PAGAR EMPRESTIMO FEITO COM CUSTO AMPLA</text>
  </threadedComment>
  <threadedComment ref="H25" dT="2025-12-11T16:15:50.21" personId="{5938D9F3-D67C-4270-BA01-0A054F741D67}" id="{49912E14-AC46-45EE-B828-CACAAE820553}">
    <text xml:space="preserve">Cobrou 6.515,54 de juros do cheque especial </text>
  </threadedComment>
  <threadedComment ref="H28" dT="2025-08-12T04:20:00.81" personId="{5938D9F3-D67C-4270-BA01-0A054F741D67}" id="{70C8197B-3DB9-4D7F-9870-F728B4BB9B2D}">
    <text>Verificar débitos futuros de garantias - itu</text>
  </threadedComment>
  <threadedComment ref="J31" dT="2026-04-20T02:12:05.63" personId="{5938D9F3-D67C-4270-BA01-0A054F741D67}" id="{6818A62B-2A1D-4386-9F8C-35911266B39D}">
    <text>Saldos positivos em 19.04 23:11h</text>
  </threadedComment>
  <threadedComment ref="K31" dT="2026-04-17T15:55:33.59" personId="{5938D9F3-D67C-4270-BA01-0A054F741D67}" id="{217F88C9-FF4D-45F5-93DC-3B73AD7C0DC7}">
    <text>Somando limite de cheque especial com os saldos positivos</text>
  </threadedComment>
  <threadedComment ref="K45" dT="2026-04-20T02:15:02.82" personId="{5938D9F3-D67C-4270-BA01-0A054F741D67}" id="{C228A601-C4A4-40DA-969E-4A02CC8DC3F9}">
    <text>Se a conta fosse considerando o limite de cheque disponível hoje 19/04 23:14h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C8B4827F-054D-47AD-ABDA-7CC1F54C31E6}">
    <text>4479</text>
  </threadedComment>
  <threadedComment ref="H4" dT="2025-12-16T15:03:04.57" personId="{5938D9F3-D67C-4270-BA01-0A054F741D67}" id="{DBE9CEBC-D634-413C-8886-7EF0D1BB5B88}">
    <text>332-0</text>
  </threadedComment>
  <threadedComment ref="I4" dT="2025-12-16T15:04:11.01" personId="{5938D9F3-D67C-4270-BA01-0A054F741D67}" id="{7C4EEE6B-F3C6-4807-9D66-F873D5E188A8}">
    <text>302</text>
  </threadedComment>
  <threadedComment ref="J4" dT="2025-09-16T19:34:54.29" personId="{877C9977-A9CC-40F4-8846-D8E647C1A02F}" id="{039C881F-263B-475D-85EB-F9A76B37D4A8}">
    <text>2270</text>
  </threadedComment>
  <threadedComment ref="K4" dT="2025-09-19T13:12:00.88" personId="{5938D9F3-D67C-4270-BA01-0A054F741D67}" id="{D77252FE-656E-4B04-8D26-4C735BB7D662}">
    <text>Principal atacado</text>
  </threadedComment>
  <threadedComment ref="R4" dT="2025-08-11T12:48:21.63" personId="{877C9977-A9CC-40F4-8846-D8E647C1A02F}" id="{1EC095D1-2E0D-4E73-9E61-F98B62ACD2DB}">
    <text>Conta 8338 CEF Poupança</text>
  </threadedComment>
  <threadedComment ref="U4" dT="2026-03-02T12:15:26.81" personId="{877C9977-A9CC-40F4-8846-D8E647C1A02F}" id="{18F3A09D-355B-49E7-81DD-4A0F232F4CC1}">
    <text>Saldo disponível da conta 332-0 Repasse</text>
  </threadedComment>
  <threadedComment ref="V4" dT="2026-03-02T12:14:07.48" personId="{877C9977-A9CC-40F4-8846-D8E647C1A02F}" id="{CC090CD2-0B0B-4A22-9131-E6C149A60D7C}">
    <text>Limite da conta 600 ou 227</text>
  </threadedComment>
  <threadedComment ref="H5" dT="2025-09-16T19:38:47.90" personId="{877C9977-A9CC-40F4-8846-D8E647C1A02F}" id="{A1BDE9A1-7D61-4CF3-A584-EF0B64176CBE}">
    <text>3068</text>
  </threadedComment>
  <threadedComment ref="I5" dT="2025-09-16T19:39:17.87" personId="{877C9977-A9CC-40F4-8846-D8E647C1A02F}" id="{9E912388-B8A2-4305-8789-DB6C9BBA4F4A}">
    <text>2318</text>
  </threadedComment>
  <threadedComment ref="H6" dT="2025-08-11T12:28:01.66" personId="{877C9977-A9CC-40F4-8846-D8E647C1A02F}" id="{6F62F08C-D732-4A9C-B64E-E88FB3992442}">
    <text>Só tem uma conta na CEF</text>
  </threadedComment>
  <threadedComment ref="H10" dT="2025-09-16T19:28:56.95" personId="{877C9977-A9CC-40F4-8846-D8E647C1A02F}" id="{F8E8BB9F-33D7-4C92-BDF2-DAC55F1AFD2D}">
    <text>3176</text>
  </threadedComment>
  <threadedComment ref="I10" dT="2025-09-16T19:29:31.34" personId="{877C9977-A9CC-40F4-8846-D8E647C1A02F}" id="{01B73A89-1A43-4F97-AF1D-18F62317C8C1}">
    <text>8543</text>
  </threadedComment>
  <threadedComment ref="H13" dT="2025-05-09T00:16:54.94" personId="{5938D9F3-D67C-4270-BA01-0A054F741D67}" id="{1EE2D6E8-A454-4886-8945-3DC6248F7C74}">
    <text>068</text>
  </threadedComment>
  <threadedComment ref="H13" dT="2026-05-25T12:59:00.84" personId="{877C9977-A9CC-40F4-8846-D8E647C1A02F}" id="{9EF1EBC1-7043-4835-99B7-67F8571721C0}" parentId="{1EE2D6E8-A454-4886-8945-3DC6248F7C74}">
    <text>Conta não existe mais</text>
  </threadedComment>
  <threadedComment ref="I13" dT="2025-05-09T00:17:17.42" personId="{5938D9F3-D67C-4270-BA01-0A054F741D67}" id="{F5E977CA-2661-44E5-95EC-9672D8668380}">
    <text xml:space="preserve">123 </text>
  </threadedComment>
  <threadedComment ref="I13" dT="2025-10-07T15:26:54.78" personId="{5938D9F3-D67C-4270-BA01-0A054F741D67}" id="{C0790181-0E5C-44CA-B324-BD9D669F27A2}" parentId="{F5E977CA-2661-44E5-95EC-9672D8668380}">
    <text>Saldo de 16k é reserva pra pg emprestimo</text>
  </threadedComment>
  <threadedComment ref="H16" dT="2025-08-11T12:41:30.30" personId="{877C9977-A9CC-40F4-8846-D8E647C1A02F}" id="{CC10D2F2-435D-41C8-9E78-089D09FA96BB}">
    <text>Só tem uma conta CEF</text>
  </threadedComment>
  <threadedComment ref="H17" dT="2026-02-04T12:47:54.22" personId="{877C9977-A9CC-40F4-8846-D8E647C1A02F}" id="{F91058DD-7AB6-40D0-9BB8-E83527C1B488}">
    <text>Já descontei o valor dos boletos que inclui hoje para pagamento</text>
  </threadedComment>
  <threadedComment ref="H20" dT="2025-08-11T12:43:02.08" personId="{877C9977-A9CC-40F4-8846-D8E647C1A02F}" id="{D53DB9B2-2045-41A1-A29E-049280132F9A}">
    <text>Só tem uma conta CEF</text>
  </threadedComment>
  <threadedComment ref="H22" dT="2025-08-11T12:43:42.53" personId="{877C9977-A9CC-40F4-8846-D8E647C1A02F}" id="{6FEFEF55-FFB3-4218-827B-055543162247}">
    <text>Só tem uma conta CEF</text>
  </threadedComment>
  <threadedComment ref="H23" dT="2025-08-11T12:44:32.75" personId="{877C9977-A9CC-40F4-8846-D8E647C1A02F}" id="{246B724A-D777-4991-8138-E967A63FDB45}">
    <text>Só tem uma conta CEF</text>
  </threadedComment>
  <threadedComment ref="E25" dT="2025-09-01T20:03:34.28" personId="{5938D9F3-D67C-4270-BA01-0A054F741D67}" id="{8226E653-CEE3-40E7-9EC3-AC032AF04F68}">
    <text>Conta do Davi - uso particular obras Itu não mencionar nas prestações de contas.</text>
  </threadedComment>
  <threadedComment ref="E25" dT="2025-11-06T14:22:05.58" personId="{5938D9F3-D67C-4270-BA01-0A054F741D67}" id="{81DA0683-C68B-48AF-A85B-4807FC761E8D}" parentId="{8226E653-CEE3-40E7-9EC3-AC032AF04F68}">
    <text>VAMOS USAR PRA PAGAR EMPRESTIMO FEITO COM CUSTO AMPLA</text>
  </threadedComment>
  <threadedComment ref="H25" dT="2025-12-11T16:15:50.21" personId="{5938D9F3-D67C-4270-BA01-0A054F741D67}" id="{28569061-5D65-4B9B-AA93-F88DAF8A5BB9}">
    <text xml:space="preserve">Cobrou 6.515,54 de juros do cheque especial </text>
  </threadedComment>
  <threadedComment ref="H28" dT="2025-08-12T04:20:00.81" personId="{5938D9F3-D67C-4270-BA01-0A054F741D67}" id="{FE5A1164-F7BC-4EDC-8433-BA5FCE94EB53}">
    <text>Verificar débitos futuros de garantias - itu</text>
  </threadedComment>
  <threadedComment ref="J31" dT="2026-04-20T02:12:05.63" personId="{5938D9F3-D67C-4270-BA01-0A054F741D67}" id="{565C16F4-D5D0-4167-8652-EAF00C3C7CE0}">
    <text>Saldos positivos em 19.04 23:11h</text>
  </threadedComment>
  <threadedComment ref="K31" dT="2026-04-17T15:55:33.59" personId="{5938D9F3-D67C-4270-BA01-0A054F741D67}" id="{037E06FF-C9F3-4C4B-A32E-E306A652C270}">
    <text>Somando limite de cheque especial com os saldos positivos</text>
  </threadedComment>
  <threadedComment ref="K45" dT="2026-04-20T02:15:02.82" personId="{5938D9F3-D67C-4270-BA01-0A054F741D67}" id="{00B1745F-9D4B-415D-BBFB-07141410E3DD}">
    <text>Se a conta fosse considerando o limite de cheque disponível hoje 19/04 23:14h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4C3E47C-4359-4E1D-AAEA-7E9B0998151F}">
    <text>4479</text>
  </threadedComment>
  <threadedComment ref="H4" dT="2025-12-16T15:03:04.57" personId="{5938D9F3-D67C-4270-BA01-0A054F741D67}" id="{E11A6F23-4041-48D5-B36F-C764667153CF}">
    <text>332-0</text>
  </threadedComment>
  <threadedComment ref="I4" dT="2025-12-16T15:04:11.01" personId="{5938D9F3-D67C-4270-BA01-0A054F741D67}" id="{8464F155-8736-436F-98AD-8FEB96EDFAC0}">
    <text>302</text>
  </threadedComment>
  <threadedComment ref="J4" dT="2025-09-16T19:34:54.29" personId="{877C9977-A9CC-40F4-8846-D8E647C1A02F}" id="{4B9CE8E7-5FFE-464D-88AD-F8F838CBA4A9}">
    <text>2270</text>
  </threadedComment>
  <threadedComment ref="K4" dT="2025-09-19T13:12:00.88" personId="{5938D9F3-D67C-4270-BA01-0A054F741D67}" id="{476B5206-1A8A-496C-8654-53EFA1C9DA4F}">
    <text>Principal atacado</text>
  </threadedComment>
  <threadedComment ref="R4" dT="2025-08-11T12:48:21.63" personId="{877C9977-A9CC-40F4-8846-D8E647C1A02F}" id="{2AE47426-25CE-4AB6-B8EF-03F167462B4B}">
    <text>Conta 8338 CEF Poupança</text>
  </threadedComment>
  <threadedComment ref="U4" dT="2026-03-02T12:15:26.81" personId="{877C9977-A9CC-40F4-8846-D8E647C1A02F}" id="{BA6F7ED4-25CC-4358-8EA9-1763EE18054F}">
    <text>Saldo disponível da conta 332-0 Repasse</text>
  </threadedComment>
  <threadedComment ref="V4" dT="2026-03-02T12:14:07.48" personId="{877C9977-A9CC-40F4-8846-D8E647C1A02F}" id="{C6072601-0FDD-46AF-9531-B4A8EE13B724}">
    <text>Limite da conta 600 ou 227</text>
  </threadedComment>
  <threadedComment ref="H5" dT="2025-09-16T19:38:47.90" personId="{877C9977-A9CC-40F4-8846-D8E647C1A02F}" id="{31783964-FF15-48B8-9D39-A392563DCBF0}">
    <text>3068</text>
  </threadedComment>
  <threadedComment ref="I5" dT="2025-09-16T19:39:17.87" personId="{877C9977-A9CC-40F4-8846-D8E647C1A02F}" id="{C971279B-F891-4202-BAF2-AF899BC9D24D}">
    <text>2318</text>
  </threadedComment>
  <threadedComment ref="H6" dT="2025-08-11T12:28:01.66" personId="{877C9977-A9CC-40F4-8846-D8E647C1A02F}" id="{147C4759-F67B-430A-A557-AC29A2CCAC6B}">
    <text>Só tem uma conta na CEF</text>
  </threadedComment>
  <threadedComment ref="I6" dT="2026-06-10T12:10:40.43" personId="{F2AEDC59-6B4C-4A1B-A4B0-C96C62CDC16C}" id="{C4C9A7CF-53C2-49C7-B2DC-4D7A5DDBA25E}">
    <text xml:space="preserve">108-7
</text>
  </threadedComment>
  <threadedComment ref="S6" dT="2026-06-10T12:10:40.43" personId="{F2AEDC59-6B4C-4A1B-A4B0-C96C62CDC16C}" id="{8DE43C11-32B6-47F0-B763-87C315502CE8}">
    <text xml:space="preserve">108-7
</text>
  </threadedComment>
  <threadedComment ref="H10" dT="2025-09-16T19:28:56.95" personId="{877C9977-A9CC-40F4-8846-D8E647C1A02F}" id="{FCDBD589-F388-4C2A-86F2-E0E44C23512B}">
    <text>3176</text>
  </threadedComment>
  <threadedComment ref="I10" dT="2025-09-16T19:29:31.34" personId="{877C9977-A9CC-40F4-8846-D8E647C1A02F}" id="{30A00531-95A5-4C4A-8931-DFDD502D257E}">
    <text>8543</text>
  </threadedComment>
  <threadedComment ref="S10" dT="2025-09-16T19:29:31.34" personId="{877C9977-A9CC-40F4-8846-D8E647C1A02F}" id="{4FD2F64F-1B51-4CEE-8302-B5D6BB9C27D6}">
    <text>8543</text>
  </threadedComment>
  <threadedComment ref="H13" dT="2025-05-09T00:16:54.94" personId="{5938D9F3-D67C-4270-BA01-0A054F741D67}" id="{AA08B21D-8BDD-4DDF-932D-DD417C3E9FFA}">
    <text>068</text>
  </threadedComment>
  <threadedComment ref="H13" dT="2026-05-25T12:59:00.84" personId="{877C9977-A9CC-40F4-8846-D8E647C1A02F}" id="{E157F1A1-E227-4197-BE09-6FF9C1BE650F}" parentId="{AA08B21D-8BDD-4DDF-932D-DD417C3E9FFA}">
    <text>Conta não existe mais</text>
  </threadedComment>
  <threadedComment ref="I13" dT="2025-05-09T00:17:17.42" personId="{5938D9F3-D67C-4270-BA01-0A054F741D67}" id="{9C2FD9BB-D9B7-4DA1-9AC4-07A9579ECE9B}">
    <text xml:space="preserve">123 </text>
  </threadedComment>
  <threadedComment ref="I13" dT="2025-10-07T15:26:54.78" personId="{5938D9F3-D67C-4270-BA01-0A054F741D67}" id="{326A3AB9-DA25-433D-883A-73E2B12E94FE}" parentId="{9C2FD9BB-D9B7-4DA1-9AC4-07A9579ECE9B}">
    <text>Saldo de 16k é reserva pra pg emprestimo</text>
  </threadedComment>
  <threadedComment ref="H16" dT="2025-08-11T12:41:30.30" personId="{877C9977-A9CC-40F4-8846-D8E647C1A02F}" id="{EDC75BC1-2CE1-465B-AA5D-65DCD88BE18B}">
    <text>Só tem uma conta CEF</text>
  </threadedComment>
  <threadedComment ref="H20" dT="2025-08-11T12:43:02.08" personId="{877C9977-A9CC-40F4-8846-D8E647C1A02F}" id="{08EB8DFC-F4A3-4F25-8389-A6730A3981D2}">
    <text>Só tem uma conta CEF</text>
  </threadedComment>
  <threadedComment ref="H22" dT="2025-08-11T12:43:42.53" personId="{877C9977-A9CC-40F4-8846-D8E647C1A02F}" id="{3AA40146-F5FE-472D-954D-631609A91CA3}">
    <text>Só tem uma conta CEF</text>
  </threadedComment>
  <threadedComment ref="H23" dT="2025-08-11T12:44:32.75" personId="{877C9977-A9CC-40F4-8846-D8E647C1A02F}" id="{4E8C2539-503F-4DE8-9613-7C3BDE1757CD}">
    <text>Só tem uma conta CEF</text>
  </threadedComment>
  <threadedComment ref="E25" dT="2025-09-01T20:03:34.28" personId="{5938D9F3-D67C-4270-BA01-0A054F741D67}" id="{26B7A948-DF79-465A-8225-33B75B46F6BB}">
    <text>Conta do Davi - uso particular obras Itu não mencionar nas prestações de contas.</text>
  </threadedComment>
  <threadedComment ref="E25" dT="2025-11-06T14:22:05.58" personId="{5938D9F3-D67C-4270-BA01-0A054F741D67}" id="{CAC520A6-A3B1-4461-8401-C0003A5C92FF}" parentId="{26B7A948-DF79-465A-8225-33B75B46F6BB}">
    <text>VAMOS USAR PRA PAGAR EMPRESTIMO FEITO COM CUSTO AMPLA</text>
  </threadedComment>
  <threadedComment ref="H25" dT="2025-12-11T16:15:50.21" personId="{5938D9F3-D67C-4270-BA01-0A054F741D67}" id="{C78CECA5-7F79-49EA-9993-13F1920761D9}">
    <text xml:space="preserve">Cobrou 6.515,54 de juros do cheque especial </text>
  </threadedComment>
  <threadedComment ref="H28" dT="2025-08-12T04:20:00.81" personId="{5938D9F3-D67C-4270-BA01-0A054F741D67}" id="{75CD8026-93F0-4552-AAD1-28725C5AD6B8}">
    <text>Verificar débitos futuros de garantias - itu</text>
  </threadedComment>
  <threadedComment ref="J31" dT="2026-04-20T02:12:05.63" personId="{5938D9F3-D67C-4270-BA01-0A054F741D67}" id="{B018AA06-DD42-4441-B218-46CF0F791E47}">
    <text>Saldos positivos em 19.04 23:11h</text>
  </threadedComment>
  <threadedComment ref="K31" dT="2026-04-17T15:55:33.59" personId="{5938D9F3-D67C-4270-BA01-0A054F741D67}" id="{A335CF05-E28A-4B20-8925-228D60D82507}">
    <text>Somando limite de cheque especial com os saldos positivos</text>
  </threadedComment>
  <threadedComment ref="K45" dT="2026-04-20T02:15:02.82" personId="{5938D9F3-D67C-4270-BA01-0A054F741D67}" id="{332B4AD0-4C8E-49E3-BFAF-8964A011624F}">
    <text>Se a conta fosse considerando o limite de cheque disponível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7.x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3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2.xm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19"/>
  <sheetViews>
    <sheetView showGridLines="0" zoomScale="70" zoomScaleNormal="7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U312" sqref="U312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3" t="s">
        <v>498</v>
      </c>
      <c r="B1" s="173" t="s">
        <v>499</v>
      </c>
      <c r="C1" s="173" t="s">
        <v>500</v>
      </c>
      <c r="D1" s="174">
        <v>45658</v>
      </c>
      <c r="E1" s="174">
        <v>45689</v>
      </c>
      <c r="F1" s="174">
        <v>45717</v>
      </c>
      <c r="G1" s="174">
        <v>45748</v>
      </c>
      <c r="H1" s="174">
        <v>45778</v>
      </c>
      <c r="I1" s="174">
        <v>45809</v>
      </c>
      <c r="J1" s="174">
        <v>45839</v>
      </c>
      <c r="K1" s="174">
        <v>45870</v>
      </c>
      <c r="L1" s="174">
        <v>45901</v>
      </c>
      <c r="M1" s="174">
        <v>45931</v>
      </c>
      <c r="N1" s="174">
        <v>45962</v>
      </c>
      <c r="O1" s="174">
        <v>45992</v>
      </c>
      <c r="P1" s="174">
        <v>46023</v>
      </c>
      <c r="Q1" s="174">
        <v>46054</v>
      </c>
      <c r="R1" s="174">
        <v>46082</v>
      </c>
      <c r="S1" s="174">
        <v>46113</v>
      </c>
      <c r="T1" s="174">
        <v>46143</v>
      </c>
      <c r="U1" s="174">
        <v>46174</v>
      </c>
      <c r="V1" s="174">
        <v>46204</v>
      </c>
      <c r="W1" s="174">
        <v>46235</v>
      </c>
      <c r="X1" s="174">
        <v>46266</v>
      </c>
      <c r="Y1" s="174">
        <v>46296</v>
      </c>
      <c r="Z1" s="174">
        <v>46327</v>
      </c>
      <c r="AA1" s="174">
        <v>46357</v>
      </c>
      <c r="AB1" s="276"/>
      <c r="AC1" s="285" t="s">
        <v>23</v>
      </c>
      <c r="AD1" s="276"/>
      <c r="AE1" s="285" t="s">
        <v>25</v>
      </c>
      <c r="AG1" s="158" t="s">
        <v>501</v>
      </c>
    </row>
    <row r="2" spans="1:33" x14ac:dyDescent="0.25">
      <c r="A2" s="175" t="s">
        <v>502</v>
      </c>
      <c r="B2" s="175" t="s">
        <v>503</v>
      </c>
      <c r="C2" s="176"/>
      <c r="D2" s="177">
        <f t="shared" ref="D2:AA2" ca="1" si="0">D$3+D$32</f>
        <v>66315.199999999997</v>
      </c>
      <c r="E2" s="177">
        <f t="shared" ca="1" si="0"/>
        <v>102314.88</v>
      </c>
      <c r="F2" s="177">
        <f t="shared" ca="1" si="0"/>
        <v>247260.96</v>
      </c>
      <c r="G2" s="177">
        <f t="shared" ca="1" si="0"/>
        <v>361891.51999999996</v>
      </c>
      <c r="H2" s="177">
        <f t="shared" ca="1" si="0"/>
        <v>806203.36</v>
      </c>
      <c r="I2" s="177">
        <f t="shared" ca="1" si="0"/>
        <v>770203.68</v>
      </c>
      <c r="J2" s="177">
        <f t="shared" ca="1" si="0"/>
        <v>1031675.04</v>
      </c>
      <c r="K2" s="177">
        <f t="shared" ca="1" si="0"/>
        <v>400733.28</v>
      </c>
      <c r="L2" s="177">
        <f t="shared" ca="1" si="0"/>
        <v>345786.39999999997</v>
      </c>
      <c r="M2" s="177">
        <f t="shared" ca="1" si="0"/>
        <v>622415.52</v>
      </c>
      <c r="N2" s="177">
        <f t="shared" ca="1" si="0"/>
        <v>378944</v>
      </c>
      <c r="O2" s="177">
        <f t="shared" ca="1" si="0"/>
        <v>324944.48000000004</v>
      </c>
      <c r="P2" s="177">
        <f t="shared" ca="1" si="0"/>
        <v>179998.4</v>
      </c>
      <c r="Q2" s="177">
        <f t="shared" ca="1" si="0"/>
        <v>272839.67999999999</v>
      </c>
      <c r="R2" s="177">
        <f t="shared" ca="1" si="0"/>
        <v>640415.36</v>
      </c>
      <c r="S2" s="177">
        <f t="shared" ca="1" si="0"/>
        <v>389364.96</v>
      </c>
      <c r="T2" s="177">
        <f t="shared" ca="1" si="0"/>
        <v>566521.28</v>
      </c>
      <c r="U2" s="177">
        <f t="shared" ca="1" si="0"/>
        <v>390312.32</v>
      </c>
      <c r="V2" s="177">
        <f t="shared" ca="1" si="0"/>
        <v>0</v>
      </c>
      <c r="W2" s="177">
        <f t="shared" ca="1" si="0"/>
        <v>0</v>
      </c>
      <c r="X2" s="177">
        <f t="shared" ca="1" si="0"/>
        <v>0</v>
      </c>
      <c r="Y2" s="177">
        <f t="shared" ca="1" si="0"/>
        <v>0</v>
      </c>
      <c r="Z2" s="177">
        <f t="shared" ca="1" si="0"/>
        <v>0</v>
      </c>
      <c r="AA2" s="177">
        <f t="shared" ca="1" si="0"/>
        <v>0</v>
      </c>
      <c r="AC2" s="278">
        <f ca="1">SUM(D2:U2)</f>
        <v>7898140.3200000012</v>
      </c>
      <c r="AE2" s="278">
        <f t="shared" ref="AE2:AE73" ca="1" si="1">SUM(D2:AA2)</f>
        <v>7898140.3200000012</v>
      </c>
      <c r="AG2" s="159" t="s">
        <v>504</v>
      </c>
    </row>
    <row r="3" spans="1:33" x14ac:dyDescent="0.25">
      <c r="A3" s="179" t="s">
        <v>505</v>
      </c>
      <c r="B3" s="179" t="s">
        <v>506</v>
      </c>
      <c r="C3" s="180"/>
      <c r="D3" s="181">
        <f t="shared" ref="D3:AA3" ca="1" si="2">SUM(D$4,D$10,D$24,D$22)</f>
        <v>66315.199999999997</v>
      </c>
      <c r="E3" s="181">
        <f t="shared" ca="1" si="2"/>
        <v>102314.88</v>
      </c>
      <c r="F3" s="181">
        <f t="shared" ca="1" si="2"/>
        <v>247260.96</v>
      </c>
      <c r="G3" s="181">
        <f t="shared" ca="1" si="2"/>
        <v>361891.51999999996</v>
      </c>
      <c r="H3" s="181">
        <f t="shared" ca="1" si="2"/>
        <v>806203.36</v>
      </c>
      <c r="I3" s="181">
        <f t="shared" ca="1" si="2"/>
        <v>770203.68</v>
      </c>
      <c r="J3" s="181">
        <f t="shared" ca="1" si="2"/>
        <v>1031675.04</v>
      </c>
      <c r="K3" s="181">
        <f t="shared" ca="1" si="2"/>
        <v>400733.28</v>
      </c>
      <c r="L3" s="181">
        <f t="shared" ca="1" si="2"/>
        <v>345786.39999999997</v>
      </c>
      <c r="M3" s="181">
        <f t="shared" ca="1" si="2"/>
        <v>622415.52</v>
      </c>
      <c r="N3" s="181">
        <f t="shared" ca="1" si="2"/>
        <v>378944</v>
      </c>
      <c r="O3" s="181">
        <f t="shared" ca="1" si="2"/>
        <v>324944.48000000004</v>
      </c>
      <c r="P3" s="181">
        <f t="shared" ca="1" si="2"/>
        <v>179998.4</v>
      </c>
      <c r="Q3" s="181">
        <f t="shared" ca="1" si="2"/>
        <v>272839.67999999999</v>
      </c>
      <c r="R3" s="181">
        <f t="shared" ca="1" si="2"/>
        <v>640415.36</v>
      </c>
      <c r="S3" s="181">
        <f t="shared" ca="1" si="2"/>
        <v>389364.96</v>
      </c>
      <c r="T3" s="181">
        <f t="shared" ca="1" si="2"/>
        <v>566521.28</v>
      </c>
      <c r="U3" s="181">
        <f t="shared" ca="1" si="2"/>
        <v>390312.32</v>
      </c>
      <c r="V3" s="181">
        <f t="shared" ca="1" si="2"/>
        <v>0</v>
      </c>
      <c r="W3" s="181">
        <f t="shared" ca="1" si="2"/>
        <v>0</v>
      </c>
      <c r="X3" s="181">
        <f t="shared" ca="1" si="2"/>
        <v>0</v>
      </c>
      <c r="Y3" s="181">
        <f t="shared" ca="1" si="2"/>
        <v>0</v>
      </c>
      <c r="Z3" s="181">
        <f t="shared" ca="1" si="2"/>
        <v>0</v>
      </c>
      <c r="AA3" s="181">
        <f t="shared" ca="1" si="2"/>
        <v>0</v>
      </c>
      <c r="AC3" s="279">
        <f t="shared" ref="AC3:AC66" ca="1" si="3">SUM(D3:U3)</f>
        <v>7898140.3200000012</v>
      </c>
      <c r="AE3" s="279">
        <f t="shared" ca="1" si="1"/>
        <v>7898140.3200000012</v>
      </c>
    </row>
    <row r="4" spans="1:33" hidden="1" outlineLevel="1" x14ac:dyDescent="0.25">
      <c r="A4" s="182" t="s">
        <v>507</v>
      </c>
      <c r="B4" s="182" t="s">
        <v>508</v>
      </c>
      <c r="C4" s="183" t="s">
        <v>474</v>
      </c>
      <c r="D4" s="184">
        <f ca="1">SUM(D$5:D$9)</f>
        <v>0</v>
      </c>
      <c r="E4" s="184">
        <f t="shared" ref="E4:AA4" ca="1" si="4">SUM(E$5:E$9)</f>
        <v>0</v>
      </c>
      <c r="F4" s="184">
        <f t="shared" ca="1" si="4"/>
        <v>0</v>
      </c>
      <c r="G4" s="184">
        <f t="shared" ca="1" si="4"/>
        <v>0</v>
      </c>
      <c r="H4" s="184">
        <f t="shared" ca="1" si="4"/>
        <v>0</v>
      </c>
      <c r="I4" s="184">
        <f t="shared" ca="1" si="4"/>
        <v>0</v>
      </c>
      <c r="J4" s="184">
        <f t="shared" ca="1" si="4"/>
        <v>0</v>
      </c>
      <c r="K4" s="184">
        <f t="shared" ca="1" si="4"/>
        <v>0</v>
      </c>
      <c r="L4" s="184">
        <f t="shared" ca="1" si="4"/>
        <v>0</v>
      </c>
      <c r="M4" s="184">
        <f t="shared" ca="1" si="4"/>
        <v>0</v>
      </c>
      <c r="N4" s="184">
        <f t="shared" ca="1" si="4"/>
        <v>0</v>
      </c>
      <c r="O4" s="184">
        <f t="shared" ca="1" si="4"/>
        <v>0</v>
      </c>
      <c r="P4" s="184">
        <f t="shared" ca="1" si="4"/>
        <v>0</v>
      </c>
      <c r="Q4" s="184">
        <f t="shared" ca="1" si="4"/>
        <v>0</v>
      </c>
      <c r="R4" s="184">
        <f t="shared" ca="1" si="4"/>
        <v>0</v>
      </c>
      <c r="S4" s="184">
        <f t="shared" ca="1" si="4"/>
        <v>0</v>
      </c>
      <c r="T4" s="184">
        <f t="shared" ca="1" si="4"/>
        <v>0</v>
      </c>
      <c r="U4" s="184">
        <f t="shared" ca="1" si="4"/>
        <v>0</v>
      </c>
      <c r="V4" s="184">
        <f t="shared" ca="1" si="4"/>
        <v>0</v>
      </c>
      <c r="W4" s="184">
        <f t="shared" ca="1" si="4"/>
        <v>0</v>
      </c>
      <c r="X4" s="184">
        <f t="shared" ca="1" si="4"/>
        <v>0</v>
      </c>
      <c r="Y4" s="184">
        <f t="shared" ca="1" si="4"/>
        <v>0</v>
      </c>
      <c r="Z4" s="184">
        <f t="shared" ca="1" si="4"/>
        <v>0</v>
      </c>
      <c r="AA4" s="184">
        <f t="shared" ca="1" si="4"/>
        <v>0</v>
      </c>
      <c r="AC4" s="280">
        <f t="shared" ca="1" si="3"/>
        <v>0</v>
      </c>
      <c r="AE4" s="280">
        <f t="shared" ca="1" si="1"/>
        <v>0</v>
      </c>
    </row>
    <row r="5" spans="1:33" hidden="1" outlineLevel="2" x14ac:dyDescent="0.25">
      <c r="A5" s="185" t="s">
        <v>509</v>
      </c>
      <c r="B5" s="185" t="s">
        <v>12</v>
      </c>
      <c r="C5" s="138" t="s">
        <v>474</v>
      </c>
      <c r="D5" s="186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6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6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6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6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6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6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6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6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6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6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6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6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6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6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6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6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6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6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6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6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6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6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6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8">
        <f t="shared" ca="1" si="3"/>
        <v>0</v>
      </c>
      <c r="AE5" s="178">
        <f ca="1">SUM(D5:AA5)</f>
        <v>0</v>
      </c>
    </row>
    <row r="6" spans="1:33" hidden="1" outlineLevel="2" x14ac:dyDescent="0.25">
      <c r="A6" s="185" t="s">
        <v>510</v>
      </c>
      <c r="B6" s="185" t="s">
        <v>9</v>
      </c>
      <c r="C6" s="138" t="s">
        <v>474</v>
      </c>
      <c r="D6" s="186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6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6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6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6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6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6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6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6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6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6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6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6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6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6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6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6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6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6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6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6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6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6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6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8">
        <f t="shared" ca="1" si="3"/>
        <v>0</v>
      </c>
      <c r="AE6" s="178">
        <f t="shared" ca="1" si="1"/>
        <v>0</v>
      </c>
    </row>
    <row r="7" spans="1:33" hidden="1" outlineLevel="2" x14ac:dyDescent="0.25">
      <c r="A7" s="185" t="s">
        <v>511</v>
      </c>
      <c r="B7" s="185" t="s">
        <v>7</v>
      </c>
      <c r="C7" s="138" t="s">
        <v>474</v>
      </c>
      <c r="D7" s="186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6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6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6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6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6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6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6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6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6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6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6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6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6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6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6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6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6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6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6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6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6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6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6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8">
        <f t="shared" ca="1" si="3"/>
        <v>0</v>
      </c>
      <c r="AE7" s="178">
        <f t="shared" ca="1" si="1"/>
        <v>0</v>
      </c>
    </row>
    <row r="8" spans="1:33" hidden="1" outlineLevel="2" x14ac:dyDescent="0.25">
      <c r="A8" s="185" t="s">
        <v>665</v>
      </c>
      <c r="B8" s="185" t="s">
        <v>10</v>
      </c>
      <c r="C8" s="138" t="s">
        <v>474</v>
      </c>
      <c r="D8" s="186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6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6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6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6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6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6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6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6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6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6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6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6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6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6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6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6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6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6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6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6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6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6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6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8">
        <f t="shared" ca="1" si="3"/>
        <v>0</v>
      </c>
      <c r="AE8" s="178">
        <f t="shared" ca="1" si="1"/>
        <v>0</v>
      </c>
    </row>
    <row r="9" spans="1:33" hidden="1" outlineLevel="2" x14ac:dyDescent="0.25">
      <c r="A9" s="185" t="s">
        <v>512</v>
      </c>
      <c r="B9" s="185" t="s">
        <v>8</v>
      </c>
      <c r="C9" s="138" t="s">
        <v>474</v>
      </c>
      <c r="D9" s="186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6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6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6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6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6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6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6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6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6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6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6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6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6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6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6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6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6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6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6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6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6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6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6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8">
        <f t="shared" ca="1" si="3"/>
        <v>0</v>
      </c>
      <c r="AE9" s="178">
        <f t="shared" ca="1" si="1"/>
        <v>0</v>
      </c>
    </row>
    <row r="10" spans="1:33" hidden="1" outlineLevel="1" x14ac:dyDescent="0.25">
      <c r="A10" s="182" t="s">
        <v>513</v>
      </c>
      <c r="B10" s="182" t="s">
        <v>16</v>
      </c>
      <c r="C10" s="183" t="s">
        <v>514</v>
      </c>
      <c r="D10" s="184">
        <f t="shared" ref="D10:AA10" ca="1" si="5">SUM(D$11:D$21)</f>
        <v>0</v>
      </c>
      <c r="E10" s="184">
        <f t="shared" ca="1" si="5"/>
        <v>0</v>
      </c>
      <c r="F10" s="184">
        <f t="shared" ca="1" si="5"/>
        <v>0</v>
      </c>
      <c r="G10" s="184">
        <f t="shared" ca="1" si="5"/>
        <v>0</v>
      </c>
      <c r="H10" s="184">
        <f t="shared" ca="1" si="5"/>
        <v>0</v>
      </c>
      <c r="I10" s="184">
        <f t="shared" ca="1" si="5"/>
        <v>0</v>
      </c>
      <c r="J10" s="184">
        <f t="shared" ca="1" si="5"/>
        <v>0</v>
      </c>
      <c r="K10" s="184">
        <f t="shared" ca="1" si="5"/>
        <v>0</v>
      </c>
      <c r="L10" s="184">
        <f t="shared" ca="1" si="5"/>
        <v>0</v>
      </c>
      <c r="M10" s="184">
        <f t="shared" ca="1" si="5"/>
        <v>0</v>
      </c>
      <c r="N10" s="184">
        <f t="shared" ca="1" si="5"/>
        <v>0</v>
      </c>
      <c r="O10" s="184">
        <f t="shared" ca="1" si="5"/>
        <v>0</v>
      </c>
      <c r="P10" s="184">
        <f t="shared" ca="1" si="5"/>
        <v>0</v>
      </c>
      <c r="Q10" s="184">
        <f t="shared" ca="1" si="5"/>
        <v>0</v>
      </c>
      <c r="R10" s="184">
        <f t="shared" ca="1" si="5"/>
        <v>0</v>
      </c>
      <c r="S10" s="184">
        <f t="shared" ca="1" si="5"/>
        <v>0</v>
      </c>
      <c r="T10" s="184">
        <f t="shared" ca="1" si="5"/>
        <v>0</v>
      </c>
      <c r="U10" s="184">
        <f t="shared" ca="1" si="5"/>
        <v>0</v>
      </c>
      <c r="V10" s="184">
        <f t="shared" ca="1" si="5"/>
        <v>0</v>
      </c>
      <c r="W10" s="184">
        <f t="shared" ca="1" si="5"/>
        <v>0</v>
      </c>
      <c r="X10" s="184">
        <f t="shared" ca="1" si="5"/>
        <v>0</v>
      </c>
      <c r="Y10" s="184">
        <f t="shared" ca="1" si="5"/>
        <v>0</v>
      </c>
      <c r="Z10" s="184">
        <f t="shared" ca="1" si="5"/>
        <v>0</v>
      </c>
      <c r="AA10" s="184">
        <f t="shared" ca="1" si="5"/>
        <v>0</v>
      </c>
      <c r="AC10" s="280">
        <f t="shared" ca="1" si="3"/>
        <v>0</v>
      </c>
      <c r="AE10" s="280">
        <f t="shared" ca="1" si="1"/>
        <v>0</v>
      </c>
    </row>
    <row r="11" spans="1:33" hidden="1" outlineLevel="2" x14ac:dyDescent="0.25">
      <c r="A11" s="185" t="s">
        <v>672</v>
      </c>
      <c r="B11" s="185" t="s">
        <v>673</v>
      </c>
      <c r="C11" s="138" t="s">
        <v>514</v>
      </c>
      <c r="D11" s="186">
        <f ca="1">SUMIFS(tb_rec_uni[2025-01-01],
INDIRECT("tb_rec_uni[natureza]"),"pro.soluto",
INDIRECT("tb_rec_uni[empresa]"),$B11)</f>
        <v>0</v>
      </c>
      <c r="E11" s="186">
        <f ca="1">SUMIFS(tb_rec_uni[2025-02-01],
INDIRECT("tb_rec_uni[natureza]"),"pro.soluto",
INDIRECT("tb_rec_uni[empresa]"),$B11)</f>
        <v>0</v>
      </c>
      <c r="F11" s="186">
        <f ca="1">SUMIFS(tb_rec_uni[2025-03-01],
INDIRECT("tb_rec_uni[natureza]"),"pro.soluto",
INDIRECT("tb_rec_uni[empresa]"),$B11)</f>
        <v>0</v>
      </c>
      <c r="G11" s="186">
        <f ca="1">SUMIFS(tb_rec_uni[2025-04-01],
INDIRECT("tb_rec_uni[natureza]"),"pro.soluto",
INDIRECT("tb_rec_uni[empresa]"),$B11)</f>
        <v>0</v>
      </c>
      <c r="H11" s="186">
        <f ca="1">SUMIFS(tb_rec_uni[2025-05-01],
INDIRECT("tb_rec_uni[natureza]"),"pro.soluto",
INDIRECT("tb_rec_uni[empresa]"),$B11)</f>
        <v>0</v>
      </c>
      <c r="I11" s="186">
        <f ca="1">SUMIFS(tb_rec_uni[2025-06-01],
INDIRECT("tb_rec_uni[natureza]"),"pro.soluto",
INDIRECT("tb_rec_uni[empresa]"),$B11)</f>
        <v>0</v>
      </c>
      <c r="J11" s="186">
        <f ca="1">SUMIFS(tb_rec_uni[2025-07-01],
INDIRECT("tb_rec_uni[natureza]"),"pro.soluto",
INDIRECT("tb_rec_uni[empresa]"),$B11)</f>
        <v>0</v>
      </c>
      <c r="K11" s="186">
        <f ca="1">SUMIFS(tb_rec_uni[2025-08-01],
INDIRECT("tb_rec_uni[natureza]"),"pro.soluto",
INDIRECT("tb_rec_uni[empresa]"),$B11)</f>
        <v>0</v>
      </c>
      <c r="L11" s="186">
        <f ca="1">SUMIFS(tb_rec_uni[2025-09-01],
INDIRECT("tb_rec_uni[natureza]"),"pro.soluto",
INDIRECT("tb_rec_uni[empresa]"),$B11)</f>
        <v>0</v>
      </c>
      <c r="M11" s="186">
        <f ca="1">SUMIFS(tb_rec_uni[2025-10-01],
INDIRECT("tb_rec_uni[natureza]"),"pro.soluto",
INDIRECT("tb_rec_uni[empresa]"),$B11)</f>
        <v>0</v>
      </c>
      <c r="N11" s="186">
        <f ca="1">SUMIFS(tb_rec_uni[2025-11-01],
INDIRECT("tb_rec_uni[natureza]"),"pro.soluto",
INDIRECT("tb_rec_uni[empresa]"),$B11)</f>
        <v>0</v>
      </c>
      <c r="O11" s="186">
        <f ca="1">SUMIFS(tb_rec_uni[2025-12-01],
INDIRECT("tb_rec_uni[natureza]"),"pro.soluto",
INDIRECT("tb_rec_uni[empresa]"),$B11)</f>
        <v>0</v>
      </c>
      <c r="P11" s="186">
        <f ca="1">SUMIFS(tb_rec_uni[2026-01-01],
INDIRECT("tb_rec_uni[natureza]"),"pro.soluto",
INDIRECT("tb_rec_uni[empresa]"),$B11)</f>
        <v>0</v>
      </c>
      <c r="Q11" s="186">
        <f ca="1">SUMIFS(tb_rec_uni[2026-02-01],
INDIRECT("tb_rec_uni[natureza]"),"pro.soluto",
INDIRECT("tb_rec_uni[empresa]"),$B11)</f>
        <v>0</v>
      </c>
      <c r="R11" s="186">
        <f ca="1">SUMIFS(tb_rec_uni[2026-03-01],
INDIRECT("tb_rec_uni[natureza]"),"pro.soluto",
INDIRECT("tb_rec_uni[empresa]"),$B11)</f>
        <v>0</v>
      </c>
      <c r="S11" s="186">
        <f ca="1">SUMIFS(tb_rec_uni[2026-04-01],
INDIRECT("tb_rec_uni[natureza]"),"pro.soluto",
INDIRECT("tb_rec_uni[empresa]"),$B11)</f>
        <v>0</v>
      </c>
      <c r="T11" s="186">
        <f ca="1">SUMIFS(tb_rec_uni[2026-05-01],
INDIRECT("tb_rec_uni[natureza]"),"pro.soluto",
INDIRECT("tb_rec_uni[empresa]"),$B11)</f>
        <v>0</v>
      </c>
      <c r="U11" s="186">
        <f ca="1">SUMIFS(tb_rec_uni[2026-06-01],
INDIRECT("tb_rec_uni[natureza]"),"pro.soluto",
INDIRECT("tb_rec_uni[empresa]"),$B11)</f>
        <v>0</v>
      </c>
      <c r="V11" s="186">
        <f ca="1">SUMIFS(tb_rec_uni[2026-07-01],
INDIRECT("tb_rec_uni[natureza]"),"pro.soluto",
INDIRECT("tb_rec_uni[empresa]"),$B11)</f>
        <v>0</v>
      </c>
      <c r="W11" s="186">
        <f ca="1">SUMIFS(tb_rec_uni[2026-08-01],
INDIRECT("tb_rec_uni[natureza]"),"pro.soluto",
INDIRECT("tb_rec_uni[empresa]"),$B11)</f>
        <v>0</v>
      </c>
      <c r="X11" s="186">
        <f ca="1">SUMIFS(tb_rec_uni[2026-09-01],
INDIRECT("tb_rec_uni[natureza]"),"pro.soluto",
INDIRECT("tb_rec_uni[empresa]"),$B11)</f>
        <v>0</v>
      </c>
      <c r="Y11" s="186">
        <f ca="1">SUMIFS(tb_rec_uni[2026-10-01],
INDIRECT("tb_rec_uni[natureza]"),"pro.soluto",
INDIRECT("tb_rec_uni[empresa]"),$B11)</f>
        <v>0</v>
      </c>
      <c r="Z11" s="186">
        <f ca="1">SUMIFS(tb_rec_uni[2026-11-01],
INDIRECT("tb_rec_uni[natureza]"),"pro.soluto",
INDIRECT("tb_rec_uni[empresa]"),$B11)</f>
        <v>0</v>
      </c>
      <c r="AA11" s="186">
        <f ca="1">SUMIFS(tb_rec_uni[2026-12-01],
INDIRECT("tb_rec_uni[natureza]"),"pro.soluto",
INDIRECT("tb_rec_uni[empresa]"),$B11)</f>
        <v>0</v>
      </c>
      <c r="AC11" s="178">
        <f t="shared" ca="1" si="3"/>
        <v>0</v>
      </c>
      <c r="AE11" s="178">
        <f t="shared" ca="1" si="1"/>
        <v>0</v>
      </c>
    </row>
    <row r="12" spans="1:33" hidden="1" outlineLevel="2" x14ac:dyDescent="0.25">
      <c r="A12" s="185" t="s">
        <v>515</v>
      </c>
      <c r="B12" s="185" t="s">
        <v>12</v>
      </c>
      <c r="C12" s="138" t="s">
        <v>514</v>
      </c>
      <c r="D12" s="186">
        <f ca="1">SUMIFS(tb_rec_uni[2025-01-01],
INDIRECT("tb_rec_uni[natureza]"),"pro.soluto",
INDIRECT("tb_rec_uni[empresa]"),$B12)</f>
        <v>0</v>
      </c>
      <c r="E12" s="186">
        <f ca="1">SUMIFS(tb_rec_uni[2025-02-01],
INDIRECT("tb_rec_uni[natureza]"),"pro.soluto",
INDIRECT("tb_rec_uni[empresa]"),$B12)</f>
        <v>0</v>
      </c>
      <c r="F12" s="186">
        <f ca="1">SUMIFS(tb_rec_uni[2025-03-01],
INDIRECT("tb_rec_uni[natureza]"),"pro.soluto",
INDIRECT("tb_rec_uni[empresa]"),$B12)</f>
        <v>0</v>
      </c>
      <c r="G12" s="186">
        <f ca="1">SUMIFS(tb_rec_uni[2025-04-01],
INDIRECT("tb_rec_uni[natureza]"),"pro.soluto",
INDIRECT("tb_rec_uni[empresa]"),$B12)</f>
        <v>0</v>
      </c>
      <c r="H12" s="186">
        <f ca="1">SUMIFS(tb_rec_uni[2025-05-01],
INDIRECT("tb_rec_uni[natureza]"),"pro.soluto",
INDIRECT("tb_rec_uni[empresa]"),$B12)</f>
        <v>0</v>
      </c>
      <c r="I12" s="186">
        <f ca="1">SUMIFS(tb_rec_uni[2025-06-01],
INDIRECT("tb_rec_uni[natureza]"),"pro.soluto",
INDIRECT("tb_rec_uni[empresa]"),$B12)</f>
        <v>0</v>
      </c>
      <c r="J12" s="186">
        <f ca="1">SUMIFS(tb_rec_uni[2025-07-01],
INDIRECT("tb_rec_uni[natureza]"),"pro.soluto",
INDIRECT("tb_rec_uni[empresa]"),$B12)</f>
        <v>0</v>
      </c>
      <c r="K12" s="186">
        <f ca="1">SUMIFS(tb_rec_uni[2025-08-01],
INDIRECT("tb_rec_uni[natureza]"),"pro.soluto",
INDIRECT("tb_rec_uni[empresa]"),$B12)</f>
        <v>0</v>
      </c>
      <c r="L12" s="186">
        <f ca="1">SUMIFS(tb_rec_uni[2025-09-01],
INDIRECT("tb_rec_uni[natureza]"),"pro.soluto",
INDIRECT("tb_rec_uni[empresa]"),$B12)</f>
        <v>0</v>
      </c>
      <c r="M12" s="186">
        <f ca="1">SUMIFS(tb_rec_uni[2025-10-01],
INDIRECT("tb_rec_uni[natureza]"),"pro.soluto",
INDIRECT("tb_rec_uni[empresa]"),$B12)</f>
        <v>0</v>
      </c>
      <c r="N12" s="186">
        <f ca="1">SUMIFS(tb_rec_uni[2025-11-01],
INDIRECT("tb_rec_uni[natureza]"),"pro.soluto",
INDIRECT("tb_rec_uni[empresa]"),$B12)</f>
        <v>0</v>
      </c>
      <c r="O12" s="186">
        <f ca="1">SUMIFS(tb_rec_uni[2025-12-01],
INDIRECT("tb_rec_uni[natureza]"),"pro.soluto",
INDIRECT("tb_rec_uni[empresa]"),$B12)</f>
        <v>0</v>
      </c>
      <c r="P12" s="186">
        <f ca="1">SUMIFS(tb_rec_uni[2026-01-01],
INDIRECT("tb_rec_uni[natureza]"),"pro.soluto",
INDIRECT("tb_rec_uni[empresa]"),$B12)</f>
        <v>0</v>
      </c>
      <c r="Q12" s="186">
        <f ca="1">SUMIFS(tb_rec_uni[2026-02-01],
INDIRECT("tb_rec_uni[natureza]"),"pro.soluto",
INDIRECT("tb_rec_uni[empresa]"),$B12)</f>
        <v>0</v>
      </c>
      <c r="R12" s="186">
        <f ca="1">SUMIFS(tb_rec_uni[2026-03-01],
INDIRECT("tb_rec_uni[natureza]"),"pro.soluto",
INDIRECT("tb_rec_uni[empresa]"),$B12)</f>
        <v>0</v>
      </c>
      <c r="S12" s="186">
        <f ca="1">SUMIFS(tb_rec_uni[2026-04-01],
INDIRECT("tb_rec_uni[natureza]"),"pro.soluto",
INDIRECT("tb_rec_uni[empresa]"),$B12)</f>
        <v>0</v>
      </c>
      <c r="T12" s="186">
        <f ca="1">SUMIFS(tb_rec_uni[2026-05-01],
INDIRECT("tb_rec_uni[natureza]"),"pro.soluto",
INDIRECT("tb_rec_uni[empresa]"),$B12)</f>
        <v>0</v>
      </c>
      <c r="U12" s="186">
        <f ca="1">SUMIFS(tb_rec_uni[2026-06-01],
INDIRECT("tb_rec_uni[natureza]"),"pro.soluto",
INDIRECT("tb_rec_uni[empresa]"),$B12)</f>
        <v>0</v>
      </c>
      <c r="V12" s="186">
        <f ca="1">SUMIFS(tb_rec_uni[2026-07-01],
INDIRECT("tb_rec_uni[natureza]"),"pro.soluto",
INDIRECT("tb_rec_uni[empresa]"),$B12)</f>
        <v>0</v>
      </c>
      <c r="W12" s="186">
        <f ca="1">SUMIFS(tb_rec_uni[2026-08-01],
INDIRECT("tb_rec_uni[natureza]"),"pro.soluto",
INDIRECT("tb_rec_uni[empresa]"),$B12)</f>
        <v>0</v>
      </c>
      <c r="X12" s="186">
        <f ca="1">SUMIFS(tb_rec_uni[2026-09-01],
INDIRECT("tb_rec_uni[natureza]"),"pro.soluto",
INDIRECT("tb_rec_uni[empresa]"),$B12)</f>
        <v>0</v>
      </c>
      <c r="Y12" s="186">
        <f ca="1">SUMIFS(tb_rec_uni[2026-10-01],
INDIRECT("tb_rec_uni[natureza]"),"pro.soluto",
INDIRECT("tb_rec_uni[empresa]"),$B12)</f>
        <v>0</v>
      </c>
      <c r="Z12" s="186">
        <f ca="1">SUMIFS(tb_rec_uni[2026-11-01],
INDIRECT("tb_rec_uni[natureza]"),"pro.soluto",
INDIRECT("tb_rec_uni[empresa]"),$B12)</f>
        <v>0</v>
      </c>
      <c r="AA12" s="186">
        <f ca="1">SUMIFS(tb_rec_uni[2026-12-01],
INDIRECT("tb_rec_uni[natureza]"),"pro.soluto",
INDIRECT("tb_rec_uni[empresa]"),$B12)</f>
        <v>0</v>
      </c>
      <c r="AC12" s="178">
        <f t="shared" ca="1" si="3"/>
        <v>0</v>
      </c>
      <c r="AE12" s="178">
        <f t="shared" ca="1" si="1"/>
        <v>0</v>
      </c>
    </row>
    <row r="13" spans="1:33" hidden="1" outlineLevel="2" x14ac:dyDescent="0.25">
      <c r="A13" s="185" t="s">
        <v>516</v>
      </c>
      <c r="B13" s="185" t="s">
        <v>13</v>
      </c>
      <c r="C13" s="138" t="s">
        <v>514</v>
      </c>
      <c r="D13" s="186">
        <f ca="1">SUMIFS(tb_rec_uni[2025-01-01],
INDIRECT("tb_rec_uni[natureza]"),"pro.soluto",
INDIRECT("tb_rec_uni[empresa]"),$B13)</f>
        <v>0</v>
      </c>
      <c r="E13" s="186">
        <f ca="1">SUMIFS(tb_rec_uni[2025-02-01],
INDIRECT("tb_rec_uni[natureza]"),"pro.soluto",
INDIRECT("tb_rec_uni[empresa]"),$B13)</f>
        <v>0</v>
      </c>
      <c r="F13" s="186">
        <f ca="1">SUMIFS(tb_rec_uni[2025-03-01],
INDIRECT("tb_rec_uni[natureza]"),"pro.soluto",
INDIRECT("tb_rec_uni[empresa]"),$B13)</f>
        <v>0</v>
      </c>
      <c r="G13" s="186">
        <f ca="1">SUMIFS(tb_rec_uni[2025-04-01],
INDIRECT("tb_rec_uni[natureza]"),"pro.soluto",
INDIRECT("tb_rec_uni[empresa]"),$B13)</f>
        <v>0</v>
      </c>
      <c r="H13" s="186">
        <f ca="1">SUMIFS(tb_rec_uni[2025-05-01],
INDIRECT("tb_rec_uni[natureza]"),"pro.soluto",
INDIRECT("tb_rec_uni[empresa]"),$B13)</f>
        <v>0</v>
      </c>
      <c r="I13" s="186">
        <f ca="1">SUMIFS(tb_rec_uni[2025-06-01],
INDIRECT("tb_rec_uni[natureza]"),"pro.soluto",
INDIRECT("tb_rec_uni[empresa]"),$B13)</f>
        <v>0</v>
      </c>
      <c r="J13" s="186">
        <f ca="1">SUMIFS(tb_rec_uni[2025-07-01],
INDIRECT("tb_rec_uni[natureza]"),"pro.soluto",
INDIRECT("tb_rec_uni[empresa]"),$B13)</f>
        <v>0</v>
      </c>
      <c r="K13" s="186">
        <f ca="1">SUMIFS(tb_rec_uni[2025-08-01],
INDIRECT("tb_rec_uni[natureza]"),"pro.soluto",
INDIRECT("tb_rec_uni[empresa]"),$B13)</f>
        <v>0</v>
      </c>
      <c r="L13" s="186">
        <f ca="1">SUMIFS(tb_rec_uni[2025-09-01],
INDIRECT("tb_rec_uni[natureza]"),"pro.soluto",
INDIRECT("tb_rec_uni[empresa]"),$B13)</f>
        <v>0</v>
      </c>
      <c r="M13" s="186">
        <f ca="1">SUMIFS(tb_rec_uni[2025-10-01],
INDIRECT("tb_rec_uni[natureza]"),"pro.soluto",
INDIRECT("tb_rec_uni[empresa]"),$B13)</f>
        <v>0</v>
      </c>
      <c r="N13" s="186">
        <f ca="1">SUMIFS(tb_rec_uni[2025-11-01],
INDIRECT("tb_rec_uni[natureza]"),"pro.soluto",
INDIRECT("tb_rec_uni[empresa]"),$B13)</f>
        <v>0</v>
      </c>
      <c r="O13" s="186">
        <f ca="1">SUMIFS(tb_rec_uni[2025-12-01],
INDIRECT("tb_rec_uni[natureza]"),"pro.soluto",
INDIRECT("tb_rec_uni[empresa]"),$B13)</f>
        <v>0</v>
      </c>
      <c r="P13" s="186">
        <f ca="1">SUMIFS(tb_rec_uni[2026-01-01],
INDIRECT("tb_rec_uni[natureza]"),"pro.soluto",
INDIRECT("tb_rec_uni[empresa]"),$B13)</f>
        <v>0</v>
      </c>
      <c r="Q13" s="186">
        <f ca="1">SUMIFS(tb_rec_uni[2026-02-01],
INDIRECT("tb_rec_uni[natureza]"),"pro.soluto",
INDIRECT("tb_rec_uni[empresa]"),$B13)</f>
        <v>0</v>
      </c>
      <c r="R13" s="186">
        <f ca="1">SUMIFS(tb_rec_uni[2026-03-01],
INDIRECT("tb_rec_uni[natureza]"),"pro.soluto",
INDIRECT("tb_rec_uni[empresa]"),$B13)</f>
        <v>0</v>
      </c>
      <c r="S13" s="186">
        <f ca="1">SUMIFS(tb_rec_uni[2026-04-01],
INDIRECT("tb_rec_uni[natureza]"),"pro.soluto",
INDIRECT("tb_rec_uni[empresa]"),$B13)</f>
        <v>0</v>
      </c>
      <c r="T13" s="186">
        <f ca="1">SUMIFS(tb_rec_uni[2026-05-01],
INDIRECT("tb_rec_uni[natureza]"),"pro.soluto",
INDIRECT("tb_rec_uni[empresa]"),$B13)</f>
        <v>0</v>
      </c>
      <c r="U13" s="186">
        <f ca="1">SUMIFS(tb_rec_uni[2026-06-01],
INDIRECT("tb_rec_uni[natureza]"),"pro.soluto",
INDIRECT("tb_rec_uni[empresa]"),$B13)</f>
        <v>0</v>
      </c>
      <c r="V13" s="186">
        <f ca="1">SUMIFS(tb_rec_uni[2026-07-01],
INDIRECT("tb_rec_uni[natureza]"),"pro.soluto",
INDIRECT("tb_rec_uni[empresa]"),$B13)</f>
        <v>0</v>
      </c>
      <c r="W13" s="186">
        <f ca="1">SUMIFS(tb_rec_uni[2026-08-01],
INDIRECT("tb_rec_uni[natureza]"),"pro.soluto",
INDIRECT("tb_rec_uni[empresa]"),$B13)</f>
        <v>0</v>
      </c>
      <c r="X13" s="186">
        <f ca="1">SUMIFS(tb_rec_uni[2026-09-01],
INDIRECT("tb_rec_uni[natureza]"),"pro.soluto",
INDIRECT("tb_rec_uni[empresa]"),$B13)</f>
        <v>0</v>
      </c>
      <c r="Y13" s="186">
        <f ca="1">SUMIFS(tb_rec_uni[2026-10-01],
INDIRECT("tb_rec_uni[natureza]"),"pro.soluto",
INDIRECT("tb_rec_uni[empresa]"),$B13)</f>
        <v>0</v>
      </c>
      <c r="Z13" s="186">
        <f ca="1">SUMIFS(tb_rec_uni[2026-11-01],
INDIRECT("tb_rec_uni[natureza]"),"pro.soluto",
INDIRECT("tb_rec_uni[empresa]"),$B13)</f>
        <v>0</v>
      </c>
      <c r="AA13" s="186">
        <f ca="1">SUMIFS(tb_rec_uni[2026-12-01],
INDIRECT("tb_rec_uni[natureza]"),"pro.soluto",
INDIRECT("tb_rec_uni[empresa]"),$B13)</f>
        <v>0</v>
      </c>
      <c r="AC13" s="178">
        <f t="shared" ca="1" si="3"/>
        <v>0</v>
      </c>
      <c r="AE13" s="178">
        <f t="shared" ca="1" si="1"/>
        <v>0</v>
      </c>
    </row>
    <row r="14" spans="1:33" hidden="1" outlineLevel="2" x14ac:dyDescent="0.25">
      <c r="A14" s="185" t="s">
        <v>517</v>
      </c>
      <c r="B14" s="185" t="s">
        <v>9</v>
      </c>
      <c r="C14" s="138" t="s">
        <v>514</v>
      </c>
      <c r="D14" s="186">
        <f ca="1">SUMIFS(tb_rec_uni[2025-01-01],
INDIRECT("tb_rec_uni[natureza]"),"pro.soluto",
INDIRECT("tb_rec_uni[empresa]"),$B14)</f>
        <v>0</v>
      </c>
      <c r="E14" s="186">
        <f ca="1">SUMIFS(tb_rec_uni[2025-02-01],
INDIRECT("tb_rec_uni[natureza]"),"pro.soluto",
INDIRECT("tb_rec_uni[empresa]"),$B14)</f>
        <v>0</v>
      </c>
      <c r="F14" s="186">
        <f ca="1">SUMIFS(tb_rec_uni[2025-03-01],
INDIRECT("tb_rec_uni[natureza]"),"pro.soluto",
INDIRECT("tb_rec_uni[empresa]"),$B14)</f>
        <v>0</v>
      </c>
      <c r="G14" s="186">
        <f ca="1">SUMIFS(tb_rec_uni[2025-04-01],
INDIRECT("tb_rec_uni[natureza]"),"pro.soluto",
INDIRECT("tb_rec_uni[empresa]"),$B14)</f>
        <v>0</v>
      </c>
      <c r="H14" s="186">
        <f ca="1">SUMIFS(tb_rec_uni[2025-05-01],
INDIRECT("tb_rec_uni[natureza]"),"pro.soluto",
INDIRECT("tb_rec_uni[empresa]"),$B14)</f>
        <v>0</v>
      </c>
      <c r="I14" s="186">
        <f ca="1">SUMIFS(tb_rec_uni[2025-06-01],
INDIRECT("tb_rec_uni[natureza]"),"pro.soluto",
INDIRECT("tb_rec_uni[empresa]"),$B14)</f>
        <v>0</v>
      </c>
      <c r="J14" s="186">
        <f ca="1">SUMIFS(tb_rec_uni[2025-07-01],
INDIRECT("tb_rec_uni[natureza]"),"pro.soluto",
INDIRECT("tb_rec_uni[empresa]"),$B14)</f>
        <v>0</v>
      </c>
      <c r="K14" s="186">
        <f ca="1">SUMIFS(tb_rec_uni[2025-08-01],
INDIRECT("tb_rec_uni[natureza]"),"pro.soluto",
INDIRECT("tb_rec_uni[empresa]"),$B14)</f>
        <v>0</v>
      </c>
      <c r="L14" s="186">
        <f ca="1">SUMIFS(tb_rec_uni[2025-09-01],
INDIRECT("tb_rec_uni[natureza]"),"pro.soluto",
INDIRECT("tb_rec_uni[empresa]"),$B14)</f>
        <v>0</v>
      </c>
      <c r="M14" s="186">
        <f ca="1">SUMIFS(tb_rec_uni[2025-10-01],
INDIRECT("tb_rec_uni[natureza]"),"pro.soluto",
INDIRECT("tb_rec_uni[empresa]"),$B14)</f>
        <v>0</v>
      </c>
      <c r="N14" s="186">
        <f ca="1">SUMIFS(tb_rec_uni[2025-11-01],
INDIRECT("tb_rec_uni[natureza]"),"pro.soluto",
INDIRECT("tb_rec_uni[empresa]"),$B14)</f>
        <v>0</v>
      </c>
      <c r="O14" s="186">
        <f ca="1">SUMIFS(tb_rec_uni[2025-12-01],
INDIRECT("tb_rec_uni[natureza]"),"pro.soluto",
INDIRECT("tb_rec_uni[empresa]"),$B14)</f>
        <v>0</v>
      </c>
      <c r="P14" s="186">
        <f ca="1">SUMIFS(tb_rec_uni[2026-01-01],
INDIRECT("tb_rec_uni[natureza]"),"pro.soluto",
INDIRECT("tb_rec_uni[empresa]"),$B14)</f>
        <v>0</v>
      </c>
      <c r="Q14" s="186">
        <f ca="1">SUMIFS(tb_rec_uni[2026-02-01],
INDIRECT("tb_rec_uni[natureza]"),"pro.soluto",
INDIRECT("tb_rec_uni[empresa]"),$B14)</f>
        <v>0</v>
      </c>
      <c r="R14" s="186">
        <f ca="1">SUMIFS(tb_rec_uni[2026-03-01],
INDIRECT("tb_rec_uni[natureza]"),"pro.soluto",
INDIRECT("tb_rec_uni[empresa]"),$B14)</f>
        <v>0</v>
      </c>
      <c r="S14" s="186">
        <f ca="1">SUMIFS(tb_rec_uni[2026-04-01],
INDIRECT("tb_rec_uni[natureza]"),"pro.soluto",
INDIRECT("tb_rec_uni[empresa]"),$B14)</f>
        <v>0</v>
      </c>
      <c r="T14" s="186">
        <f ca="1">SUMIFS(tb_rec_uni[2026-05-01],
INDIRECT("tb_rec_uni[natureza]"),"pro.soluto",
INDIRECT("tb_rec_uni[empresa]"),$B14)</f>
        <v>0</v>
      </c>
      <c r="U14" s="186">
        <f ca="1">SUMIFS(tb_rec_uni[2026-06-01],
INDIRECT("tb_rec_uni[natureza]"),"pro.soluto",
INDIRECT("tb_rec_uni[empresa]"),$B14)</f>
        <v>0</v>
      </c>
      <c r="V14" s="186">
        <f ca="1">SUMIFS(tb_rec_uni[2026-07-01],
INDIRECT("tb_rec_uni[natureza]"),"pro.soluto",
INDIRECT("tb_rec_uni[empresa]"),$B14)</f>
        <v>0</v>
      </c>
      <c r="W14" s="186">
        <f ca="1">SUMIFS(tb_rec_uni[2026-08-01],
INDIRECT("tb_rec_uni[natureza]"),"pro.soluto",
INDIRECT("tb_rec_uni[empresa]"),$B14)</f>
        <v>0</v>
      </c>
      <c r="X14" s="186">
        <f ca="1">SUMIFS(tb_rec_uni[2026-09-01],
INDIRECT("tb_rec_uni[natureza]"),"pro.soluto",
INDIRECT("tb_rec_uni[empresa]"),$B14)</f>
        <v>0</v>
      </c>
      <c r="Y14" s="186">
        <f ca="1">SUMIFS(tb_rec_uni[2026-10-01],
INDIRECT("tb_rec_uni[natureza]"),"pro.soluto",
INDIRECT("tb_rec_uni[empresa]"),$B14)</f>
        <v>0</v>
      </c>
      <c r="Z14" s="186">
        <f ca="1">SUMIFS(tb_rec_uni[2026-11-01],
INDIRECT("tb_rec_uni[natureza]"),"pro.soluto",
INDIRECT("tb_rec_uni[empresa]"),$B14)</f>
        <v>0</v>
      </c>
      <c r="AA14" s="186">
        <f ca="1">SUMIFS(tb_rec_uni[2026-12-01],
INDIRECT("tb_rec_uni[natureza]"),"pro.soluto",
INDIRECT("tb_rec_uni[empresa]"),$B14)</f>
        <v>0</v>
      </c>
      <c r="AC14" s="178">
        <f t="shared" ca="1" si="3"/>
        <v>0</v>
      </c>
      <c r="AE14" s="178">
        <f t="shared" ca="1" si="1"/>
        <v>0</v>
      </c>
    </row>
    <row r="15" spans="1:33" hidden="1" outlineLevel="2" x14ac:dyDescent="0.25">
      <c r="A15" s="185" t="s">
        <v>518</v>
      </c>
      <c r="B15" s="185" t="s">
        <v>7</v>
      </c>
      <c r="C15" s="138" t="s">
        <v>514</v>
      </c>
      <c r="D15" s="186">
        <f ca="1">SUMIFS(tb_rec_uni[2025-01-01],
INDIRECT("tb_rec_uni[natureza]"),"pro.soluto",
INDIRECT("tb_rec_uni[empresa]"),$B15)</f>
        <v>0</v>
      </c>
      <c r="E15" s="186">
        <f ca="1">SUMIFS(tb_rec_uni[2025-02-01],
INDIRECT("tb_rec_uni[natureza]"),"pro.soluto",
INDIRECT("tb_rec_uni[empresa]"),$B15)</f>
        <v>0</v>
      </c>
      <c r="F15" s="186">
        <f ca="1">SUMIFS(tb_rec_uni[2025-03-01],
INDIRECT("tb_rec_uni[natureza]"),"pro.soluto",
INDIRECT("tb_rec_uni[empresa]"),$B15)</f>
        <v>0</v>
      </c>
      <c r="G15" s="186">
        <f ca="1">SUMIFS(tb_rec_uni[2025-04-01],
INDIRECT("tb_rec_uni[natureza]"),"pro.soluto",
INDIRECT("tb_rec_uni[empresa]"),$B15)</f>
        <v>0</v>
      </c>
      <c r="H15" s="186">
        <f ca="1">SUMIFS(tb_rec_uni[2025-05-01],
INDIRECT("tb_rec_uni[natureza]"),"pro.soluto",
INDIRECT("tb_rec_uni[empresa]"),$B15)</f>
        <v>0</v>
      </c>
      <c r="I15" s="186">
        <f ca="1">SUMIFS(tb_rec_uni[2025-06-01],
INDIRECT("tb_rec_uni[natureza]"),"pro.soluto",
INDIRECT("tb_rec_uni[empresa]"),$B15)</f>
        <v>0</v>
      </c>
      <c r="J15" s="186">
        <f ca="1">SUMIFS(tb_rec_uni[2025-07-01],
INDIRECT("tb_rec_uni[natureza]"),"pro.soluto",
INDIRECT("tb_rec_uni[empresa]"),$B15)</f>
        <v>0</v>
      </c>
      <c r="K15" s="186">
        <f ca="1">SUMIFS(tb_rec_uni[2025-08-01],
INDIRECT("tb_rec_uni[natureza]"),"pro.soluto",
INDIRECT("tb_rec_uni[empresa]"),$B15)</f>
        <v>0</v>
      </c>
      <c r="L15" s="186">
        <f ca="1">SUMIFS(tb_rec_uni[2025-09-01],
INDIRECT("tb_rec_uni[natureza]"),"pro.soluto",
INDIRECT("tb_rec_uni[empresa]"),$B15)</f>
        <v>0</v>
      </c>
      <c r="M15" s="186">
        <f ca="1">SUMIFS(tb_rec_uni[2025-10-01],
INDIRECT("tb_rec_uni[natureza]"),"pro.soluto",
INDIRECT("tb_rec_uni[empresa]"),$B15)</f>
        <v>0</v>
      </c>
      <c r="N15" s="186">
        <f ca="1">SUMIFS(tb_rec_uni[2025-11-01],
INDIRECT("tb_rec_uni[natureza]"),"pro.soluto",
INDIRECT("tb_rec_uni[empresa]"),$B15)</f>
        <v>0</v>
      </c>
      <c r="O15" s="186">
        <f ca="1">SUMIFS(tb_rec_uni[2025-12-01],
INDIRECT("tb_rec_uni[natureza]"),"pro.soluto",
INDIRECT("tb_rec_uni[empresa]"),$B15)</f>
        <v>0</v>
      </c>
      <c r="P15" s="186">
        <f ca="1">SUMIFS(tb_rec_uni[2026-01-01],
INDIRECT("tb_rec_uni[natureza]"),"pro.soluto",
INDIRECT("tb_rec_uni[empresa]"),$B15)</f>
        <v>0</v>
      </c>
      <c r="Q15" s="186">
        <f ca="1">SUMIFS(tb_rec_uni[2026-02-01],
INDIRECT("tb_rec_uni[natureza]"),"pro.soluto",
INDIRECT("tb_rec_uni[empresa]"),$B15)</f>
        <v>0</v>
      </c>
      <c r="R15" s="186">
        <f ca="1">SUMIFS(tb_rec_uni[2026-03-01],
INDIRECT("tb_rec_uni[natureza]"),"pro.soluto",
INDIRECT("tb_rec_uni[empresa]"),$B15)</f>
        <v>0</v>
      </c>
      <c r="S15" s="186">
        <f ca="1">SUMIFS(tb_rec_uni[2026-04-01],
INDIRECT("tb_rec_uni[natureza]"),"pro.soluto",
INDIRECT("tb_rec_uni[empresa]"),$B15)</f>
        <v>0</v>
      </c>
      <c r="T15" s="186">
        <f ca="1">SUMIFS(tb_rec_uni[2026-05-01],
INDIRECT("tb_rec_uni[natureza]"),"pro.soluto",
INDIRECT("tb_rec_uni[empresa]"),$B15)</f>
        <v>0</v>
      </c>
      <c r="U15" s="186">
        <f ca="1">SUMIFS(tb_rec_uni[2026-06-01],
INDIRECT("tb_rec_uni[natureza]"),"pro.soluto",
INDIRECT("tb_rec_uni[empresa]"),$B15)</f>
        <v>0</v>
      </c>
      <c r="V15" s="186">
        <f ca="1">SUMIFS(tb_rec_uni[2026-07-01],
INDIRECT("tb_rec_uni[natureza]"),"pro.soluto",
INDIRECT("tb_rec_uni[empresa]"),$B15)</f>
        <v>0</v>
      </c>
      <c r="W15" s="186">
        <f ca="1">SUMIFS(tb_rec_uni[2026-08-01],
INDIRECT("tb_rec_uni[natureza]"),"pro.soluto",
INDIRECT("tb_rec_uni[empresa]"),$B15)</f>
        <v>0</v>
      </c>
      <c r="X15" s="186">
        <f ca="1">SUMIFS(tb_rec_uni[2026-09-01],
INDIRECT("tb_rec_uni[natureza]"),"pro.soluto",
INDIRECT("tb_rec_uni[empresa]"),$B15)</f>
        <v>0</v>
      </c>
      <c r="Y15" s="186">
        <f ca="1">SUMIFS(tb_rec_uni[2026-10-01],
INDIRECT("tb_rec_uni[natureza]"),"pro.soluto",
INDIRECT("tb_rec_uni[empresa]"),$B15)</f>
        <v>0</v>
      </c>
      <c r="Z15" s="186">
        <f ca="1">SUMIFS(tb_rec_uni[2026-11-01],
INDIRECT("tb_rec_uni[natureza]"),"pro.soluto",
INDIRECT("tb_rec_uni[empresa]"),$B15)</f>
        <v>0</v>
      </c>
      <c r="AA15" s="186">
        <f ca="1">SUMIFS(tb_rec_uni[2026-12-01],
INDIRECT("tb_rec_uni[natureza]"),"pro.soluto",
INDIRECT("tb_rec_uni[empresa]"),$B15)</f>
        <v>0</v>
      </c>
      <c r="AC15" s="178">
        <f t="shared" ca="1" si="3"/>
        <v>0</v>
      </c>
      <c r="AE15" s="178">
        <f t="shared" ca="1" si="1"/>
        <v>0</v>
      </c>
    </row>
    <row r="16" spans="1:33" hidden="1" outlineLevel="2" x14ac:dyDescent="0.25">
      <c r="A16" s="185" t="s">
        <v>519</v>
      </c>
      <c r="B16" s="185" t="s">
        <v>11</v>
      </c>
      <c r="C16" s="138" t="s">
        <v>514</v>
      </c>
      <c r="D16" s="186">
        <f ca="1">SUMIFS(tb_rec_uni[2025-01-01],
INDIRECT("tb_rec_uni[natureza]"),"pro.soluto",
INDIRECT("tb_rec_uni[empresa]"),$B16)</f>
        <v>0</v>
      </c>
      <c r="E16" s="186">
        <f ca="1">SUMIFS(tb_rec_uni[2025-02-01],
INDIRECT("tb_rec_uni[natureza]"),"pro.soluto",
INDIRECT("tb_rec_uni[empresa]"),$B16)</f>
        <v>0</v>
      </c>
      <c r="F16" s="186">
        <f ca="1">SUMIFS(tb_rec_uni[2025-03-01],
INDIRECT("tb_rec_uni[natureza]"),"pro.soluto",
INDIRECT("tb_rec_uni[empresa]"),$B16)</f>
        <v>0</v>
      </c>
      <c r="G16" s="186">
        <f ca="1">SUMIFS(tb_rec_uni[2025-04-01],
INDIRECT("tb_rec_uni[natureza]"),"pro.soluto",
INDIRECT("tb_rec_uni[empresa]"),$B16)</f>
        <v>0</v>
      </c>
      <c r="H16" s="186">
        <f ca="1">SUMIFS(tb_rec_uni[2025-05-01],
INDIRECT("tb_rec_uni[natureza]"),"pro.soluto",
INDIRECT("tb_rec_uni[empresa]"),$B16)</f>
        <v>0</v>
      </c>
      <c r="I16" s="186">
        <f ca="1">SUMIFS(tb_rec_uni[2025-06-01],
INDIRECT("tb_rec_uni[natureza]"),"pro.soluto",
INDIRECT("tb_rec_uni[empresa]"),$B16)</f>
        <v>0</v>
      </c>
      <c r="J16" s="186">
        <f ca="1">SUMIFS(tb_rec_uni[2025-07-01],
INDIRECT("tb_rec_uni[natureza]"),"pro.soluto",
INDIRECT("tb_rec_uni[empresa]"),$B16)</f>
        <v>0</v>
      </c>
      <c r="K16" s="186">
        <f ca="1">SUMIFS(tb_rec_uni[2025-08-01],
INDIRECT("tb_rec_uni[natureza]"),"pro.soluto",
INDIRECT("tb_rec_uni[empresa]"),$B16)</f>
        <v>0</v>
      </c>
      <c r="L16" s="186">
        <f ca="1">SUMIFS(tb_rec_uni[2025-09-01],
INDIRECT("tb_rec_uni[natureza]"),"pro.soluto",
INDIRECT("tb_rec_uni[empresa]"),$B16)</f>
        <v>0</v>
      </c>
      <c r="M16" s="186">
        <f ca="1">SUMIFS(tb_rec_uni[2025-10-01],
INDIRECT("tb_rec_uni[natureza]"),"pro.soluto",
INDIRECT("tb_rec_uni[empresa]"),$B16)</f>
        <v>0</v>
      </c>
      <c r="N16" s="186">
        <f ca="1">SUMIFS(tb_rec_uni[2025-11-01],
INDIRECT("tb_rec_uni[natureza]"),"pro.soluto",
INDIRECT("tb_rec_uni[empresa]"),$B16)</f>
        <v>0</v>
      </c>
      <c r="O16" s="186">
        <f ca="1">SUMIFS(tb_rec_uni[2025-12-01],
INDIRECT("tb_rec_uni[natureza]"),"pro.soluto",
INDIRECT("tb_rec_uni[empresa]"),$B16)</f>
        <v>0</v>
      </c>
      <c r="P16" s="186">
        <f ca="1">SUMIFS(tb_rec_uni[2026-01-01],
INDIRECT("tb_rec_uni[natureza]"),"pro.soluto",
INDIRECT("tb_rec_uni[empresa]"),$B16)</f>
        <v>0</v>
      </c>
      <c r="Q16" s="186">
        <f ca="1">SUMIFS(tb_rec_uni[2026-02-01],
INDIRECT("tb_rec_uni[natureza]"),"pro.soluto",
INDIRECT("tb_rec_uni[empresa]"),$B16)</f>
        <v>0</v>
      </c>
      <c r="R16" s="186">
        <f ca="1">SUMIFS(tb_rec_uni[2026-03-01],
INDIRECT("tb_rec_uni[natureza]"),"pro.soluto",
INDIRECT("tb_rec_uni[empresa]"),$B16)</f>
        <v>0</v>
      </c>
      <c r="S16" s="186">
        <f ca="1">SUMIFS(tb_rec_uni[2026-04-01],
INDIRECT("tb_rec_uni[natureza]"),"pro.soluto",
INDIRECT("tb_rec_uni[empresa]"),$B16)</f>
        <v>0</v>
      </c>
      <c r="T16" s="186">
        <f ca="1">SUMIFS(tb_rec_uni[2026-05-01],
INDIRECT("tb_rec_uni[natureza]"),"pro.soluto",
INDIRECT("tb_rec_uni[empresa]"),$B16)</f>
        <v>0</v>
      </c>
      <c r="U16" s="186">
        <f ca="1">SUMIFS(tb_rec_uni[2026-06-01],
INDIRECT("tb_rec_uni[natureza]"),"pro.soluto",
INDIRECT("tb_rec_uni[empresa]"),$B16)</f>
        <v>0</v>
      </c>
      <c r="V16" s="186">
        <f ca="1">SUMIFS(tb_rec_uni[2026-07-01],
INDIRECT("tb_rec_uni[natureza]"),"pro.soluto",
INDIRECT("tb_rec_uni[empresa]"),$B16)</f>
        <v>0</v>
      </c>
      <c r="W16" s="186">
        <f ca="1">SUMIFS(tb_rec_uni[2026-08-01],
INDIRECT("tb_rec_uni[natureza]"),"pro.soluto",
INDIRECT("tb_rec_uni[empresa]"),$B16)</f>
        <v>0</v>
      </c>
      <c r="X16" s="186">
        <f ca="1">SUMIFS(tb_rec_uni[2026-09-01],
INDIRECT("tb_rec_uni[natureza]"),"pro.soluto",
INDIRECT("tb_rec_uni[empresa]"),$B16)</f>
        <v>0</v>
      </c>
      <c r="Y16" s="186">
        <f ca="1">SUMIFS(tb_rec_uni[2026-10-01],
INDIRECT("tb_rec_uni[natureza]"),"pro.soluto",
INDIRECT("tb_rec_uni[empresa]"),$B16)</f>
        <v>0</v>
      </c>
      <c r="Z16" s="186">
        <f ca="1">SUMIFS(tb_rec_uni[2026-11-01],
INDIRECT("tb_rec_uni[natureza]"),"pro.soluto",
INDIRECT("tb_rec_uni[empresa]"),$B16)</f>
        <v>0</v>
      </c>
      <c r="AA16" s="186">
        <f ca="1">SUMIFS(tb_rec_uni[2026-12-01],
INDIRECT("tb_rec_uni[natureza]"),"pro.soluto",
INDIRECT("tb_rec_uni[empresa]"),$B16)</f>
        <v>0</v>
      </c>
      <c r="AC16" s="178">
        <f t="shared" ca="1" si="3"/>
        <v>0</v>
      </c>
      <c r="AE16" s="178">
        <f t="shared" ca="1" si="1"/>
        <v>0</v>
      </c>
    </row>
    <row r="17" spans="1:31" hidden="1" outlineLevel="2" x14ac:dyDescent="0.25">
      <c r="A17" s="185" t="s">
        <v>521</v>
      </c>
      <c r="B17" s="185" t="s">
        <v>8</v>
      </c>
      <c r="C17" s="138" t="s">
        <v>514</v>
      </c>
      <c r="D17" s="186">
        <f ca="1">SUMIFS(tb_rec_uni[2025-01-01],
INDIRECT("tb_rec_uni[natureza]"),"pro.soluto",
INDIRECT("tb_rec_uni[empresa]"),$B17)</f>
        <v>0</v>
      </c>
      <c r="E17" s="186">
        <f ca="1">SUMIFS(tb_rec_uni[2025-02-01],
INDIRECT("tb_rec_uni[natureza]"),"pro.soluto",
INDIRECT("tb_rec_uni[empresa]"),$B17)</f>
        <v>0</v>
      </c>
      <c r="F17" s="186">
        <f ca="1">SUMIFS(tb_rec_uni[2025-03-01],
INDIRECT("tb_rec_uni[natureza]"),"pro.soluto",
INDIRECT("tb_rec_uni[empresa]"),$B17)</f>
        <v>0</v>
      </c>
      <c r="G17" s="186">
        <f ca="1">SUMIFS(tb_rec_uni[2025-04-01],
INDIRECT("tb_rec_uni[natureza]"),"pro.soluto",
INDIRECT("tb_rec_uni[empresa]"),$B17)</f>
        <v>0</v>
      </c>
      <c r="H17" s="186">
        <f ca="1">SUMIFS(tb_rec_uni[2025-05-01],
INDIRECT("tb_rec_uni[natureza]"),"pro.soluto",
INDIRECT("tb_rec_uni[empresa]"),$B17)</f>
        <v>0</v>
      </c>
      <c r="I17" s="186">
        <f ca="1">SUMIFS(tb_rec_uni[2025-06-01],
INDIRECT("tb_rec_uni[natureza]"),"pro.soluto",
INDIRECT("tb_rec_uni[empresa]"),$B17)</f>
        <v>0</v>
      </c>
      <c r="J17" s="186">
        <f ca="1">SUMIFS(tb_rec_uni[2025-07-01],
INDIRECT("tb_rec_uni[natureza]"),"pro.soluto",
INDIRECT("tb_rec_uni[empresa]"),$B17)</f>
        <v>0</v>
      </c>
      <c r="K17" s="186">
        <f ca="1">SUMIFS(tb_rec_uni[2025-08-01],
INDIRECT("tb_rec_uni[natureza]"),"pro.soluto",
INDIRECT("tb_rec_uni[empresa]"),$B17)</f>
        <v>0</v>
      </c>
      <c r="L17" s="186">
        <f ca="1">SUMIFS(tb_rec_uni[2025-09-01],
INDIRECT("tb_rec_uni[natureza]"),"pro.soluto",
INDIRECT("tb_rec_uni[empresa]"),$B17)</f>
        <v>0</v>
      </c>
      <c r="M17" s="186">
        <f ca="1">SUMIFS(tb_rec_uni[2025-10-01],
INDIRECT("tb_rec_uni[natureza]"),"pro.soluto",
INDIRECT("tb_rec_uni[empresa]"),$B17)</f>
        <v>0</v>
      </c>
      <c r="N17" s="186">
        <f ca="1">SUMIFS(tb_rec_uni[2025-11-01],
INDIRECT("tb_rec_uni[natureza]"),"pro.soluto",
INDIRECT("tb_rec_uni[empresa]"),$B17)</f>
        <v>0</v>
      </c>
      <c r="O17" s="186">
        <f ca="1">SUMIFS(tb_rec_uni[2025-12-01],
INDIRECT("tb_rec_uni[natureza]"),"pro.soluto",
INDIRECT("tb_rec_uni[empresa]"),$B17)</f>
        <v>0</v>
      </c>
      <c r="P17" s="186">
        <f ca="1">SUMIFS(tb_rec_uni[2026-01-01],
INDIRECT("tb_rec_uni[natureza]"),"pro.soluto",
INDIRECT("tb_rec_uni[empresa]"),$B17)</f>
        <v>0</v>
      </c>
      <c r="Q17" s="186">
        <f ca="1">SUMIFS(tb_rec_uni[2026-02-01],
INDIRECT("tb_rec_uni[natureza]"),"pro.soluto",
INDIRECT("tb_rec_uni[empresa]"),$B17)</f>
        <v>0</v>
      </c>
      <c r="R17" s="186">
        <f ca="1">SUMIFS(tb_rec_uni[2026-03-01],
INDIRECT("tb_rec_uni[natureza]"),"pro.soluto",
INDIRECT("tb_rec_uni[empresa]"),$B17)</f>
        <v>0</v>
      </c>
      <c r="S17" s="186">
        <f ca="1">SUMIFS(tb_rec_uni[2026-04-01],
INDIRECT("tb_rec_uni[natureza]"),"pro.soluto",
INDIRECT("tb_rec_uni[empresa]"),$B17)</f>
        <v>0</v>
      </c>
      <c r="T17" s="186">
        <f ca="1">SUMIFS(tb_rec_uni[2026-05-01],
INDIRECT("tb_rec_uni[natureza]"),"pro.soluto",
INDIRECT("tb_rec_uni[empresa]"),$B17)</f>
        <v>0</v>
      </c>
      <c r="U17" s="186">
        <f ca="1">SUMIFS(tb_rec_uni[2026-06-01],
INDIRECT("tb_rec_uni[natureza]"),"pro.soluto",
INDIRECT("tb_rec_uni[empresa]"),$B17)</f>
        <v>0</v>
      </c>
      <c r="V17" s="186">
        <f ca="1">SUMIFS(tb_rec_uni[2026-07-01],
INDIRECT("tb_rec_uni[natureza]"),"pro.soluto",
INDIRECT("tb_rec_uni[empresa]"),$B17)</f>
        <v>0</v>
      </c>
      <c r="W17" s="186">
        <f ca="1">SUMIFS(tb_rec_uni[2026-08-01],
INDIRECT("tb_rec_uni[natureza]"),"pro.soluto",
INDIRECT("tb_rec_uni[empresa]"),$B17)</f>
        <v>0</v>
      </c>
      <c r="X17" s="186">
        <f ca="1">SUMIFS(tb_rec_uni[2026-09-01],
INDIRECT("tb_rec_uni[natureza]"),"pro.soluto",
INDIRECT("tb_rec_uni[empresa]"),$B17)</f>
        <v>0</v>
      </c>
      <c r="Y17" s="186">
        <f ca="1">SUMIFS(tb_rec_uni[2026-10-01],
INDIRECT("tb_rec_uni[natureza]"),"pro.soluto",
INDIRECT("tb_rec_uni[empresa]"),$B17)</f>
        <v>0</v>
      </c>
      <c r="Z17" s="186">
        <f ca="1">SUMIFS(tb_rec_uni[2026-11-01],
INDIRECT("tb_rec_uni[natureza]"),"pro.soluto",
INDIRECT("tb_rec_uni[empresa]"),$B17)</f>
        <v>0</v>
      </c>
      <c r="AA17" s="186">
        <f ca="1">SUMIFS(tb_rec_uni[2026-12-01],
INDIRECT("tb_rec_uni[natureza]"),"pro.soluto",
INDIRECT("tb_rec_uni[empresa]"),$B17)</f>
        <v>0</v>
      </c>
      <c r="AC17" s="178">
        <f ca="1">SUM(D17:U17)</f>
        <v>0</v>
      </c>
      <c r="AE17" s="178">
        <f ca="1">SUM(D17:AA17)</f>
        <v>0</v>
      </c>
    </row>
    <row r="18" spans="1:31" hidden="1" outlineLevel="2" x14ac:dyDescent="0.25">
      <c r="A18" s="185" t="s">
        <v>520</v>
      </c>
      <c r="B18" s="185" t="s">
        <v>10</v>
      </c>
      <c r="C18" s="138" t="s">
        <v>514</v>
      </c>
      <c r="D18" s="186">
        <f ca="1">SUMIFS(tb_rec_uni[2025-01-01],
INDIRECT("tb_rec_uni[natureza]"),"pro.soluto",
INDIRECT("tb_rec_uni[empresa]"),$B18)</f>
        <v>0</v>
      </c>
      <c r="E18" s="186">
        <f ca="1">SUMIFS(tb_rec_uni[2025-02-01],
INDIRECT("tb_rec_uni[natureza]"),"pro.soluto",
INDIRECT("tb_rec_uni[empresa]"),$B18)</f>
        <v>0</v>
      </c>
      <c r="F18" s="186">
        <f ca="1">SUMIFS(tb_rec_uni[2025-03-01],
INDIRECT("tb_rec_uni[natureza]"),"pro.soluto",
INDIRECT("tb_rec_uni[empresa]"),$B18)</f>
        <v>0</v>
      </c>
      <c r="G18" s="186">
        <f ca="1">SUMIFS(tb_rec_uni[2025-04-01],
INDIRECT("tb_rec_uni[natureza]"),"pro.soluto",
INDIRECT("tb_rec_uni[empresa]"),$B18)</f>
        <v>0</v>
      </c>
      <c r="H18" s="186">
        <f ca="1">SUMIFS(tb_rec_uni[2025-05-01],
INDIRECT("tb_rec_uni[natureza]"),"pro.soluto",
INDIRECT("tb_rec_uni[empresa]"),$B18)</f>
        <v>0</v>
      </c>
      <c r="I18" s="186">
        <f ca="1">SUMIFS(tb_rec_uni[2025-06-01],
INDIRECT("tb_rec_uni[natureza]"),"pro.soluto",
INDIRECT("tb_rec_uni[empresa]"),$B18)</f>
        <v>0</v>
      </c>
      <c r="J18" s="186">
        <f ca="1">SUMIFS(tb_rec_uni[2025-07-01],
INDIRECT("tb_rec_uni[natureza]"),"pro.soluto",
INDIRECT("tb_rec_uni[empresa]"),$B18)</f>
        <v>0</v>
      </c>
      <c r="K18" s="186">
        <f ca="1">SUMIFS(tb_rec_uni[2025-08-01],
INDIRECT("tb_rec_uni[natureza]"),"pro.soluto",
INDIRECT("tb_rec_uni[empresa]"),$B18)</f>
        <v>0</v>
      </c>
      <c r="L18" s="186">
        <f ca="1">SUMIFS(tb_rec_uni[2025-09-01],
INDIRECT("tb_rec_uni[natureza]"),"pro.soluto",
INDIRECT("tb_rec_uni[empresa]"),$B18)</f>
        <v>0</v>
      </c>
      <c r="M18" s="186">
        <f ca="1">SUMIFS(tb_rec_uni[2025-10-01],
INDIRECT("tb_rec_uni[natureza]"),"pro.soluto",
INDIRECT("tb_rec_uni[empresa]"),$B18)</f>
        <v>0</v>
      </c>
      <c r="N18" s="186">
        <f ca="1">SUMIFS(tb_rec_uni[2025-11-01],
INDIRECT("tb_rec_uni[natureza]"),"pro.soluto",
INDIRECT("tb_rec_uni[empresa]"),$B18)</f>
        <v>0</v>
      </c>
      <c r="O18" s="186">
        <f ca="1">SUMIFS(tb_rec_uni[2025-12-01],
INDIRECT("tb_rec_uni[natureza]"),"pro.soluto",
INDIRECT("tb_rec_uni[empresa]"),$B18)</f>
        <v>0</v>
      </c>
      <c r="P18" s="186">
        <f ca="1">SUMIFS(tb_rec_uni[2026-01-01],
INDIRECT("tb_rec_uni[natureza]"),"pro.soluto",
INDIRECT("tb_rec_uni[empresa]"),$B18)</f>
        <v>0</v>
      </c>
      <c r="Q18" s="186">
        <f ca="1">SUMIFS(tb_rec_uni[2026-02-01],
INDIRECT("tb_rec_uni[natureza]"),"pro.soluto",
INDIRECT("tb_rec_uni[empresa]"),$B18)</f>
        <v>0</v>
      </c>
      <c r="R18" s="186">
        <f ca="1">SUMIFS(tb_rec_uni[2026-03-01],
INDIRECT("tb_rec_uni[natureza]"),"pro.soluto",
INDIRECT("tb_rec_uni[empresa]"),$B18)</f>
        <v>0</v>
      </c>
      <c r="S18" s="186">
        <f ca="1">SUMIFS(tb_rec_uni[2026-04-01],
INDIRECT("tb_rec_uni[natureza]"),"pro.soluto",
INDIRECT("tb_rec_uni[empresa]"),$B18)</f>
        <v>0</v>
      </c>
      <c r="T18" s="186">
        <f ca="1">SUMIFS(tb_rec_uni[2026-05-01],
INDIRECT("tb_rec_uni[natureza]"),"pro.soluto",
INDIRECT("tb_rec_uni[empresa]"),$B18)</f>
        <v>0</v>
      </c>
      <c r="U18" s="186">
        <f ca="1">SUMIFS(tb_rec_uni[2026-06-01],
INDIRECT("tb_rec_uni[natureza]"),"pro.soluto",
INDIRECT("tb_rec_uni[empresa]"),$B18)</f>
        <v>0</v>
      </c>
      <c r="V18" s="186">
        <f ca="1">SUMIFS(tb_rec_uni[2026-07-01],
INDIRECT("tb_rec_uni[natureza]"),"pro.soluto",
INDIRECT("tb_rec_uni[empresa]"),$B18)</f>
        <v>0</v>
      </c>
      <c r="W18" s="186">
        <f ca="1">SUMIFS(tb_rec_uni[2026-08-01],
INDIRECT("tb_rec_uni[natureza]"),"pro.soluto",
INDIRECT("tb_rec_uni[empresa]"),$B18)</f>
        <v>0</v>
      </c>
      <c r="X18" s="186">
        <f ca="1">SUMIFS(tb_rec_uni[2026-09-01],
INDIRECT("tb_rec_uni[natureza]"),"pro.soluto",
INDIRECT("tb_rec_uni[empresa]"),$B18)</f>
        <v>0</v>
      </c>
      <c r="Y18" s="186">
        <f ca="1">SUMIFS(tb_rec_uni[2026-10-01],
INDIRECT("tb_rec_uni[natureza]"),"pro.soluto",
INDIRECT("tb_rec_uni[empresa]"),$B18)</f>
        <v>0</v>
      </c>
      <c r="Z18" s="186">
        <f ca="1">SUMIFS(tb_rec_uni[2026-11-01],
INDIRECT("tb_rec_uni[natureza]"),"pro.soluto",
INDIRECT("tb_rec_uni[empresa]"),$B18)</f>
        <v>0</v>
      </c>
      <c r="AA18" s="186">
        <f ca="1">SUMIFS(tb_rec_uni[2026-12-01],
INDIRECT("tb_rec_uni[natureza]"),"pro.soluto",
INDIRECT("tb_rec_uni[empresa]"),$B18)</f>
        <v>0</v>
      </c>
      <c r="AC18" s="178">
        <f t="shared" ca="1" si="3"/>
        <v>0</v>
      </c>
      <c r="AE18" s="178">
        <f t="shared" ca="1" si="1"/>
        <v>0</v>
      </c>
    </row>
    <row r="19" spans="1:31" hidden="1" outlineLevel="2" x14ac:dyDescent="0.25">
      <c r="A19" s="185" t="s">
        <v>667</v>
      </c>
      <c r="B19" s="185" t="s">
        <v>465</v>
      </c>
      <c r="C19" s="138" t="s">
        <v>514</v>
      </c>
      <c r="D19" s="186">
        <f ca="1">SUMIFS(tb_rec_uni[2025-01-01],
INDIRECT("tb_rec_uni[natureza]"),"pro.soluto",
INDIRECT("tb_rec_uni[empresa]"),$B19)</f>
        <v>0</v>
      </c>
      <c r="E19" s="186">
        <f ca="1">SUMIFS(tb_rec_uni[2025-02-01],
INDIRECT("tb_rec_uni[natureza]"),"pro.soluto",
INDIRECT("tb_rec_uni[empresa]"),$B19)</f>
        <v>0</v>
      </c>
      <c r="F19" s="186">
        <f ca="1">SUMIFS(tb_rec_uni[2025-03-01],
INDIRECT("tb_rec_uni[natureza]"),"pro.soluto",
INDIRECT("tb_rec_uni[empresa]"),$B19)</f>
        <v>0</v>
      </c>
      <c r="G19" s="186">
        <f ca="1">SUMIFS(tb_rec_uni[2025-04-01],
INDIRECT("tb_rec_uni[natureza]"),"pro.soluto",
INDIRECT("tb_rec_uni[empresa]"),$B19)</f>
        <v>0</v>
      </c>
      <c r="H19" s="186">
        <f ca="1">SUMIFS(tb_rec_uni[2025-05-01],
INDIRECT("tb_rec_uni[natureza]"),"pro.soluto",
INDIRECT("tb_rec_uni[empresa]"),$B19)</f>
        <v>0</v>
      </c>
      <c r="I19" s="186">
        <f ca="1">SUMIFS(tb_rec_uni[2025-06-01],
INDIRECT("tb_rec_uni[natureza]"),"pro.soluto",
INDIRECT("tb_rec_uni[empresa]"),$B19)</f>
        <v>0</v>
      </c>
      <c r="J19" s="186">
        <f ca="1">SUMIFS(tb_rec_uni[2025-07-01],
INDIRECT("tb_rec_uni[natureza]"),"pro.soluto",
INDIRECT("tb_rec_uni[empresa]"),$B19)</f>
        <v>0</v>
      </c>
      <c r="K19" s="186">
        <f ca="1">SUMIFS(tb_rec_uni[2025-08-01],
INDIRECT("tb_rec_uni[natureza]"),"pro.soluto",
INDIRECT("tb_rec_uni[empresa]"),$B19)</f>
        <v>0</v>
      </c>
      <c r="L19" s="186">
        <f ca="1">SUMIFS(tb_rec_uni[2025-09-01],
INDIRECT("tb_rec_uni[natureza]"),"pro.soluto",
INDIRECT("tb_rec_uni[empresa]"),$B19)</f>
        <v>0</v>
      </c>
      <c r="M19" s="186">
        <f ca="1">SUMIFS(tb_rec_uni[2025-10-01],
INDIRECT("tb_rec_uni[natureza]"),"pro.soluto",
INDIRECT("tb_rec_uni[empresa]"),$B19)</f>
        <v>0</v>
      </c>
      <c r="N19" s="186">
        <f ca="1">SUMIFS(tb_rec_uni[2025-11-01],
INDIRECT("tb_rec_uni[natureza]"),"pro.soluto",
INDIRECT("tb_rec_uni[empresa]"),$B19)</f>
        <v>0</v>
      </c>
      <c r="O19" s="186">
        <f ca="1">SUMIFS(tb_rec_uni[2025-12-01],
INDIRECT("tb_rec_uni[natureza]"),"pro.soluto",
INDIRECT("tb_rec_uni[empresa]"),$B19)</f>
        <v>0</v>
      </c>
      <c r="P19" s="186">
        <f ca="1">SUMIFS(tb_rec_uni[2026-01-01],
INDIRECT("tb_rec_uni[natureza]"),"pro.soluto",
INDIRECT("tb_rec_uni[empresa]"),$B19)</f>
        <v>0</v>
      </c>
      <c r="Q19" s="186">
        <f ca="1">SUMIFS(tb_rec_uni[2026-02-01],
INDIRECT("tb_rec_uni[natureza]"),"pro.soluto",
INDIRECT("tb_rec_uni[empresa]"),$B19)</f>
        <v>0</v>
      </c>
      <c r="R19" s="186">
        <f ca="1">SUMIFS(tb_rec_uni[2026-03-01],
INDIRECT("tb_rec_uni[natureza]"),"pro.soluto",
INDIRECT("tb_rec_uni[empresa]"),$B19)</f>
        <v>0</v>
      </c>
      <c r="S19" s="186">
        <f ca="1">SUMIFS(tb_rec_uni[2026-04-01],
INDIRECT("tb_rec_uni[natureza]"),"pro.soluto",
INDIRECT("tb_rec_uni[empresa]"),$B19)</f>
        <v>0</v>
      </c>
      <c r="T19" s="186">
        <f ca="1">SUMIFS(tb_rec_uni[2026-05-01],
INDIRECT("tb_rec_uni[natureza]"),"pro.soluto",
INDIRECT("tb_rec_uni[empresa]"),$B19)</f>
        <v>0</v>
      </c>
      <c r="U19" s="186">
        <f ca="1">SUMIFS(tb_rec_uni[2026-06-01],
INDIRECT("tb_rec_uni[natureza]"),"pro.soluto",
INDIRECT("tb_rec_uni[empresa]"),$B19)</f>
        <v>0</v>
      </c>
      <c r="V19" s="186">
        <f ca="1">SUMIFS(tb_rec_uni[2026-07-01],
INDIRECT("tb_rec_uni[natureza]"),"pro.soluto",
INDIRECT("tb_rec_uni[empresa]"),$B19)</f>
        <v>0</v>
      </c>
      <c r="W19" s="186">
        <f ca="1">SUMIFS(tb_rec_uni[2026-08-01],
INDIRECT("tb_rec_uni[natureza]"),"pro.soluto",
INDIRECT("tb_rec_uni[empresa]"),$B19)</f>
        <v>0</v>
      </c>
      <c r="X19" s="186">
        <f ca="1">SUMIFS(tb_rec_uni[2026-09-01],
INDIRECT("tb_rec_uni[natureza]"),"pro.soluto",
INDIRECT("tb_rec_uni[empresa]"),$B19)</f>
        <v>0</v>
      </c>
      <c r="Y19" s="186">
        <f ca="1">SUMIFS(tb_rec_uni[2026-10-01],
INDIRECT("tb_rec_uni[natureza]"),"pro.soluto",
INDIRECT("tb_rec_uni[empresa]"),$B19)</f>
        <v>0</v>
      </c>
      <c r="Z19" s="186">
        <f ca="1">SUMIFS(tb_rec_uni[2026-11-01],
INDIRECT("tb_rec_uni[natureza]"),"pro.soluto",
INDIRECT("tb_rec_uni[empresa]"),$B19)</f>
        <v>0</v>
      </c>
      <c r="AA19" s="186">
        <f ca="1">SUMIFS(tb_rec_uni[2026-12-01],
INDIRECT("tb_rec_uni[natureza]"),"pro.soluto",
INDIRECT("tb_rec_uni[empresa]"),$B19)</f>
        <v>0</v>
      </c>
      <c r="AC19" s="178">
        <f t="shared" ca="1" si="3"/>
        <v>0</v>
      </c>
      <c r="AE19" s="178">
        <f ca="1">SUM(D19:AA19)</f>
        <v>0</v>
      </c>
    </row>
    <row r="20" spans="1:31" hidden="1" outlineLevel="2" x14ac:dyDescent="0.25">
      <c r="A20" s="185" t="s">
        <v>668</v>
      </c>
      <c r="B20" s="185" t="s">
        <v>670</v>
      </c>
      <c r="C20" s="138" t="s">
        <v>514</v>
      </c>
      <c r="D20" s="186">
        <f ca="1">SUMIFS(tb_rec_uni[2025-01-01],
INDIRECT("tb_rec_uni[natureza]"),"pro.soluto",
INDIRECT("tb_rec_uni[empresa]"),$B20)</f>
        <v>0</v>
      </c>
      <c r="E20" s="186">
        <f ca="1">SUMIFS(tb_rec_uni[2025-02-01],
INDIRECT("tb_rec_uni[natureza]"),"pro.soluto",
INDIRECT("tb_rec_uni[empresa]"),$B20)</f>
        <v>0</v>
      </c>
      <c r="F20" s="186">
        <f ca="1">SUMIFS(tb_rec_uni[2025-03-01],
INDIRECT("tb_rec_uni[natureza]"),"pro.soluto",
INDIRECT("tb_rec_uni[empresa]"),$B20)</f>
        <v>0</v>
      </c>
      <c r="G20" s="186">
        <f ca="1">SUMIFS(tb_rec_uni[2025-04-01],
INDIRECT("tb_rec_uni[natureza]"),"pro.soluto",
INDIRECT("tb_rec_uni[empresa]"),$B20)</f>
        <v>0</v>
      </c>
      <c r="H20" s="186">
        <f ca="1">SUMIFS(tb_rec_uni[2025-05-01],
INDIRECT("tb_rec_uni[natureza]"),"pro.soluto",
INDIRECT("tb_rec_uni[empresa]"),$B20)</f>
        <v>0</v>
      </c>
      <c r="I20" s="186">
        <f ca="1">SUMIFS(tb_rec_uni[2025-06-01],
INDIRECT("tb_rec_uni[natureza]"),"pro.soluto",
INDIRECT("tb_rec_uni[empresa]"),$B20)</f>
        <v>0</v>
      </c>
      <c r="J20" s="186">
        <f ca="1">SUMIFS(tb_rec_uni[2025-07-01],
INDIRECT("tb_rec_uni[natureza]"),"pro.soluto",
INDIRECT("tb_rec_uni[empresa]"),$B20)</f>
        <v>0</v>
      </c>
      <c r="K20" s="186">
        <f ca="1">SUMIFS(tb_rec_uni[2025-08-01],
INDIRECT("tb_rec_uni[natureza]"),"pro.soluto",
INDIRECT("tb_rec_uni[empresa]"),$B20)</f>
        <v>0</v>
      </c>
      <c r="L20" s="186">
        <f ca="1">SUMIFS(tb_rec_uni[2025-09-01],
INDIRECT("tb_rec_uni[natureza]"),"pro.soluto",
INDIRECT("tb_rec_uni[empresa]"),$B20)</f>
        <v>0</v>
      </c>
      <c r="M20" s="186">
        <f ca="1">SUMIFS(tb_rec_uni[2025-10-01],
INDIRECT("tb_rec_uni[natureza]"),"pro.soluto",
INDIRECT("tb_rec_uni[empresa]"),$B20)</f>
        <v>0</v>
      </c>
      <c r="N20" s="186">
        <f ca="1">SUMIFS(tb_rec_uni[2025-11-01],
INDIRECT("tb_rec_uni[natureza]"),"pro.soluto",
INDIRECT("tb_rec_uni[empresa]"),$B20)</f>
        <v>0</v>
      </c>
      <c r="O20" s="186">
        <f ca="1">SUMIFS(tb_rec_uni[2025-12-01],
INDIRECT("tb_rec_uni[natureza]"),"pro.soluto",
INDIRECT("tb_rec_uni[empresa]"),$B20)</f>
        <v>0</v>
      </c>
      <c r="P20" s="186">
        <f ca="1">SUMIFS(tb_rec_uni[2026-01-01],
INDIRECT("tb_rec_uni[natureza]"),"pro.soluto",
INDIRECT("tb_rec_uni[empresa]"),$B20)</f>
        <v>0</v>
      </c>
      <c r="Q20" s="186">
        <f ca="1">SUMIFS(tb_rec_uni[2026-02-01],
INDIRECT("tb_rec_uni[natureza]"),"pro.soluto",
INDIRECT("tb_rec_uni[empresa]"),$B20)</f>
        <v>0</v>
      </c>
      <c r="R20" s="186">
        <f ca="1">SUMIFS(tb_rec_uni[2026-03-01],
INDIRECT("tb_rec_uni[natureza]"),"pro.soluto",
INDIRECT("tb_rec_uni[empresa]"),$B20)</f>
        <v>0</v>
      </c>
      <c r="S20" s="186">
        <f ca="1">SUMIFS(tb_rec_uni[2026-04-01],
INDIRECT("tb_rec_uni[natureza]"),"pro.soluto",
INDIRECT("tb_rec_uni[empresa]"),$B20)</f>
        <v>0</v>
      </c>
      <c r="T20" s="186">
        <f ca="1">SUMIFS(tb_rec_uni[2026-05-01],
INDIRECT("tb_rec_uni[natureza]"),"pro.soluto",
INDIRECT("tb_rec_uni[empresa]"),$B20)</f>
        <v>0</v>
      </c>
      <c r="U20" s="186">
        <f ca="1">SUMIFS(tb_rec_uni[2026-06-01],
INDIRECT("tb_rec_uni[natureza]"),"pro.soluto",
INDIRECT("tb_rec_uni[empresa]"),$B20)</f>
        <v>0</v>
      </c>
      <c r="V20" s="186">
        <f ca="1">SUMIFS(tb_rec_uni[2026-07-01],
INDIRECT("tb_rec_uni[natureza]"),"pro.soluto",
INDIRECT("tb_rec_uni[empresa]"),$B20)</f>
        <v>0</v>
      </c>
      <c r="W20" s="186">
        <f ca="1">SUMIFS(tb_rec_uni[2026-08-01],
INDIRECT("tb_rec_uni[natureza]"),"pro.soluto",
INDIRECT("tb_rec_uni[empresa]"),$B20)</f>
        <v>0</v>
      </c>
      <c r="X20" s="186">
        <f ca="1">SUMIFS(tb_rec_uni[2026-09-01],
INDIRECT("tb_rec_uni[natureza]"),"pro.soluto",
INDIRECT("tb_rec_uni[empresa]"),$B20)</f>
        <v>0</v>
      </c>
      <c r="Y20" s="186">
        <f ca="1">SUMIFS(tb_rec_uni[2026-10-01],
INDIRECT("tb_rec_uni[natureza]"),"pro.soluto",
INDIRECT("tb_rec_uni[empresa]"),$B20)</f>
        <v>0</v>
      </c>
      <c r="Z20" s="186">
        <f ca="1">SUMIFS(tb_rec_uni[2026-11-01],
INDIRECT("tb_rec_uni[natureza]"),"pro.soluto",
INDIRECT("tb_rec_uni[empresa]"),$B20)</f>
        <v>0</v>
      </c>
      <c r="AA20" s="186">
        <f ca="1">SUMIFS(tb_rec_uni[2026-12-01],
INDIRECT("tb_rec_uni[natureza]"),"pro.soluto",
INDIRECT("tb_rec_uni[empresa]"),$B20)</f>
        <v>0</v>
      </c>
      <c r="AC20" s="178">
        <f t="shared" ca="1" si="3"/>
        <v>0</v>
      </c>
      <c r="AE20" s="178">
        <f t="shared" ca="1" si="1"/>
        <v>0</v>
      </c>
    </row>
    <row r="21" spans="1:31" hidden="1" outlineLevel="2" x14ac:dyDescent="0.25">
      <c r="A21" s="185" t="s">
        <v>669</v>
      </c>
      <c r="B21" s="185" t="s">
        <v>671</v>
      </c>
      <c r="C21" s="138" t="s">
        <v>514</v>
      </c>
      <c r="D21" s="186">
        <f ca="1">SUMIFS(tb_rec_uni[2025-01-01],
INDIRECT("tb_rec_uni[natureza]"),"pro.soluto",
INDIRECT("tb_rec_uni[empresa]"),$B21)</f>
        <v>0</v>
      </c>
      <c r="E21" s="186">
        <f ca="1">SUMIFS(tb_rec_uni[2025-02-01],
INDIRECT("tb_rec_uni[natureza]"),"pro.soluto",
INDIRECT("tb_rec_uni[empresa]"),$B21)</f>
        <v>0</v>
      </c>
      <c r="F21" s="186">
        <f ca="1">SUMIFS(tb_rec_uni[2025-03-01],
INDIRECT("tb_rec_uni[natureza]"),"pro.soluto",
INDIRECT("tb_rec_uni[empresa]"),$B21)</f>
        <v>0</v>
      </c>
      <c r="G21" s="186">
        <f ca="1">SUMIFS(tb_rec_uni[2025-04-01],
INDIRECT("tb_rec_uni[natureza]"),"pro.soluto",
INDIRECT("tb_rec_uni[empresa]"),$B21)</f>
        <v>0</v>
      </c>
      <c r="H21" s="186">
        <f ca="1">SUMIFS(tb_rec_uni[2025-05-01],
INDIRECT("tb_rec_uni[natureza]"),"pro.soluto",
INDIRECT("tb_rec_uni[empresa]"),$B21)</f>
        <v>0</v>
      </c>
      <c r="I21" s="186">
        <f ca="1">SUMIFS(tb_rec_uni[2025-06-01],
INDIRECT("tb_rec_uni[natureza]"),"pro.soluto",
INDIRECT("tb_rec_uni[empresa]"),$B21)</f>
        <v>0</v>
      </c>
      <c r="J21" s="186">
        <f ca="1">SUMIFS(tb_rec_uni[2025-07-01],
INDIRECT("tb_rec_uni[natureza]"),"pro.soluto",
INDIRECT("tb_rec_uni[empresa]"),$B21)</f>
        <v>0</v>
      </c>
      <c r="K21" s="186">
        <f ca="1">SUMIFS(tb_rec_uni[2025-08-01],
INDIRECT("tb_rec_uni[natureza]"),"pro.soluto",
INDIRECT("tb_rec_uni[empresa]"),$B21)</f>
        <v>0</v>
      </c>
      <c r="L21" s="186">
        <f ca="1">SUMIFS(tb_rec_uni[2025-09-01],
INDIRECT("tb_rec_uni[natureza]"),"pro.soluto",
INDIRECT("tb_rec_uni[empresa]"),$B21)</f>
        <v>0</v>
      </c>
      <c r="M21" s="186">
        <f ca="1">SUMIFS(tb_rec_uni[2025-10-01],
INDIRECT("tb_rec_uni[natureza]"),"pro.soluto",
INDIRECT("tb_rec_uni[empresa]"),$B21)</f>
        <v>0</v>
      </c>
      <c r="N21" s="186">
        <f ca="1">SUMIFS(tb_rec_uni[2025-11-01],
INDIRECT("tb_rec_uni[natureza]"),"pro.soluto",
INDIRECT("tb_rec_uni[empresa]"),$B21)</f>
        <v>0</v>
      </c>
      <c r="O21" s="186">
        <f ca="1">SUMIFS(tb_rec_uni[2025-12-01],
INDIRECT("tb_rec_uni[natureza]"),"pro.soluto",
INDIRECT("tb_rec_uni[empresa]"),$B21)</f>
        <v>0</v>
      </c>
      <c r="P21" s="186">
        <f ca="1">SUMIFS(tb_rec_uni[2026-01-01],
INDIRECT("tb_rec_uni[natureza]"),"pro.soluto",
INDIRECT("tb_rec_uni[empresa]"),$B21)</f>
        <v>0</v>
      </c>
      <c r="Q21" s="186">
        <f ca="1">SUMIFS(tb_rec_uni[2026-02-01],
INDIRECT("tb_rec_uni[natureza]"),"pro.soluto",
INDIRECT("tb_rec_uni[empresa]"),$B21)</f>
        <v>0</v>
      </c>
      <c r="R21" s="186">
        <f ca="1">SUMIFS(tb_rec_uni[2026-03-01],
INDIRECT("tb_rec_uni[natureza]"),"pro.soluto",
INDIRECT("tb_rec_uni[empresa]"),$B21)</f>
        <v>0</v>
      </c>
      <c r="S21" s="186">
        <f ca="1">SUMIFS(tb_rec_uni[2026-04-01],
INDIRECT("tb_rec_uni[natureza]"),"pro.soluto",
INDIRECT("tb_rec_uni[empresa]"),$B21)</f>
        <v>0</v>
      </c>
      <c r="T21" s="186">
        <f ca="1">SUMIFS(tb_rec_uni[2026-05-01],
INDIRECT("tb_rec_uni[natureza]"),"pro.soluto",
INDIRECT("tb_rec_uni[empresa]"),$B21)</f>
        <v>0</v>
      </c>
      <c r="U21" s="186">
        <f ca="1">SUMIFS(tb_rec_uni[2026-06-01],
INDIRECT("tb_rec_uni[natureza]"),"pro.soluto",
INDIRECT("tb_rec_uni[empresa]"),$B21)</f>
        <v>0</v>
      </c>
      <c r="V21" s="186">
        <f ca="1">SUMIFS(tb_rec_uni[2026-07-01],
INDIRECT("tb_rec_uni[natureza]"),"pro.soluto",
INDIRECT("tb_rec_uni[empresa]"),$B21)</f>
        <v>0</v>
      </c>
      <c r="W21" s="186">
        <f ca="1">SUMIFS(tb_rec_uni[2026-08-01],
INDIRECT("tb_rec_uni[natureza]"),"pro.soluto",
INDIRECT("tb_rec_uni[empresa]"),$B21)</f>
        <v>0</v>
      </c>
      <c r="X21" s="186">
        <f ca="1">SUMIFS(tb_rec_uni[2026-09-01],
INDIRECT("tb_rec_uni[natureza]"),"pro.soluto",
INDIRECT("tb_rec_uni[empresa]"),$B21)</f>
        <v>0</v>
      </c>
      <c r="Y21" s="186">
        <f ca="1">SUMIFS(tb_rec_uni[2026-10-01],
INDIRECT("tb_rec_uni[natureza]"),"pro.soluto",
INDIRECT("tb_rec_uni[empresa]"),$B21)</f>
        <v>0</v>
      </c>
      <c r="Z21" s="186">
        <f ca="1">SUMIFS(tb_rec_uni[2026-11-01],
INDIRECT("tb_rec_uni[natureza]"),"pro.soluto",
INDIRECT("tb_rec_uni[empresa]"),$B21)</f>
        <v>0</v>
      </c>
      <c r="AA21" s="186">
        <f ca="1">SUMIFS(tb_rec_uni[2026-12-01],
INDIRECT("tb_rec_uni[natureza]"),"pro.soluto",
INDIRECT("tb_rec_uni[empresa]"),$B21)</f>
        <v>0</v>
      </c>
      <c r="AC21" s="178">
        <f t="shared" ca="1" si="3"/>
        <v>0</v>
      </c>
      <c r="AE21" s="178">
        <f t="shared" ca="1" si="1"/>
        <v>0</v>
      </c>
    </row>
    <row r="22" spans="1:31" hidden="1" outlineLevel="1" x14ac:dyDescent="0.25">
      <c r="A22" s="182" t="s">
        <v>522</v>
      </c>
      <c r="B22" s="187" t="s">
        <v>526</v>
      </c>
      <c r="C22" s="183" t="s">
        <v>22</v>
      </c>
      <c r="D22" s="184">
        <f t="shared" ref="D22:AA22" si="6">SUM(D$23)</f>
        <v>66315.199999999997</v>
      </c>
      <c r="E22" s="184">
        <f t="shared" si="6"/>
        <v>102314.88</v>
      </c>
      <c r="F22" s="184">
        <f t="shared" si="6"/>
        <v>247260.96</v>
      </c>
      <c r="G22" s="184">
        <f t="shared" si="6"/>
        <v>361891.51999999996</v>
      </c>
      <c r="H22" s="184">
        <f t="shared" si="6"/>
        <v>806203.36</v>
      </c>
      <c r="I22" s="184">
        <f t="shared" si="6"/>
        <v>770203.68</v>
      </c>
      <c r="J22" s="184">
        <f t="shared" si="6"/>
        <v>1031675.04</v>
      </c>
      <c r="K22" s="184">
        <f t="shared" si="6"/>
        <v>400733.28</v>
      </c>
      <c r="L22" s="184">
        <f t="shared" si="6"/>
        <v>345786.39999999997</v>
      </c>
      <c r="M22" s="184">
        <f t="shared" si="6"/>
        <v>622415.52</v>
      </c>
      <c r="N22" s="184">
        <f t="shared" si="6"/>
        <v>378944</v>
      </c>
      <c r="O22" s="184">
        <f t="shared" si="6"/>
        <v>324944.48000000004</v>
      </c>
      <c r="P22" s="184">
        <f t="shared" si="6"/>
        <v>179998.4</v>
      </c>
      <c r="Q22" s="184">
        <f t="shared" si="6"/>
        <v>272839.67999999999</v>
      </c>
      <c r="R22" s="184">
        <f t="shared" si="6"/>
        <v>640415.36</v>
      </c>
      <c r="S22" s="184">
        <f t="shared" si="6"/>
        <v>389364.96</v>
      </c>
      <c r="T22" s="184">
        <f t="shared" si="6"/>
        <v>566521.28</v>
      </c>
      <c r="U22" s="184">
        <f t="shared" si="6"/>
        <v>390312.32</v>
      </c>
      <c r="V22" s="184">
        <f t="shared" si="6"/>
        <v>0</v>
      </c>
      <c r="W22" s="184">
        <f t="shared" si="6"/>
        <v>0</v>
      </c>
      <c r="X22" s="184">
        <f t="shared" si="6"/>
        <v>0</v>
      </c>
      <c r="Y22" s="184">
        <f t="shared" si="6"/>
        <v>0</v>
      </c>
      <c r="Z22" s="184">
        <f t="shared" si="6"/>
        <v>0</v>
      </c>
      <c r="AA22" s="184">
        <f t="shared" si="6"/>
        <v>0</v>
      </c>
      <c r="AC22" s="280">
        <f t="shared" si="3"/>
        <v>7898140.3200000012</v>
      </c>
      <c r="AE22" s="280">
        <f t="shared" si="1"/>
        <v>7898140.3200000012</v>
      </c>
    </row>
    <row r="23" spans="1:31" hidden="1" outlineLevel="2" x14ac:dyDescent="0.25">
      <c r="A23" s="185" t="s">
        <v>707</v>
      </c>
      <c r="B23" s="185" t="s">
        <v>11</v>
      </c>
      <c r="C23" s="138" t="s">
        <v>22</v>
      </c>
      <c r="D23" s="186" cm="1">
        <f t="array" ref="D23:U23">TRANSPOSE(_xlfn._xlws.FILTER(inputs!$BJ$51:$BJ$74,inputs!$BJ$51:$BJ$74&lt;&gt;""))</f>
        <v>66315.199999999997</v>
      </c>
      <c r="E23" s="186">
        <v>102314.88</v>
      </c>
      <c r="F23" s="186">
        <v>247260.96</v>
      </c>
      <c r="G23" s="186">
        <v>361891.51999999996</v>
      </c>
      <c r="H23" s="186">
        <v>806203.36</v>
      </c>
      <c r="I23" s="186">
        <v>770203.68</v>
      </c>
      <c r="J23" s="186">
        <v>1031675.04</v>
      </c>
      <c r="K23" s="186">
        <v>400733.28</v>
      </c>
      <c r="L23" s="186">
        <v>345786.39999999997</v>
      </c>
      <c r="M23" s="186">
        <v>622415.52</v>
      </c>
      <c r="N23" s="186">
        <v>378944</v>
      </c>
      <c r="O23" s="186">
        <v>324944.48000000004</v>
      </c>
      <c r="P23" s="186">
        <v>179998.4</v>
      </c>
      <c r="Q23" s="186">
        <v>272839.67999999999</v>
      </c>
      <c r="R23" s="186">
        <v>640415.36</v>
      </c>
      <c r="S23" s="186">
        <v>389364.96</v>
      </c>
      <c r="T23" s="186">
        <v>566521.28</v>
      </c>
      <c r="U23" s="186">
        <v>390312.32</v>
      </c>
      <c r="V23" s="186"/>
      <c r="W23" s="186"/>
      <c r="X23" s="186"/>
      <c r="Y23" s="186"/>
      <c r="Z23" s="186"/>
      <c r="AA23" s="186"/>
      <c r="AC23" s="178">
        <f t="shared" si="3"/>
        <v>7898140.3200000012</v>
      </c>
      <c r="AE23" s="178">
        <f t="shared" si="1"/>
        <v>7898140.3200000012</v>
      </c>
    </row>
    <row r="24" spans="1:31" hidden="1" outlineLevel="1" x14ac:dyDescent="0.25">
      <c r="A24" s="182" t="s">
        <v>525</v>
      </c>
      <c r="B24" s="182" t="s">
        <v>523</v>
      </c>
      <c r="C24" s="183" t="s">
        <v>514</v>
      </c>
      <c r="D24" s="184">
        <f t="shared" ref="D24:AA24" ca="1" si="7">SUM(D$25:D$31)</f>
        <v>0</v>
      </c>
      <c r="E24" s="184">
        <f t="shared" ca="1" si="7"/>
        <v>0</v>
      </c>
      <c r="F24" s="184">
        <f t="shared" ca="1" si="7"/>
        <v>0</v>
      </c>
      <c r="G24" s="184">
        <f t="shared" ca="1" si="7"/>
        <v>0</v>
      </c>
      <c r="H24" s="184">
        <f t="shared" ca="1" si="7"/>
        <v>0</v>
      </c>
      <c r="I24" s="184">
        <f t="shared" ca="1" si="7"/>
        <v>0</v>
      </c>
      <c r="J24" s="184">
        <f t="shared" ca="1" si="7"/>
        <v>0</v>
      </c>
      <c r="K24" s="184">
        <f t="shared" ca="1" si="7"/>
        <v>0</v>
      </c>
      <c r="L24" s="184">
        <f t="shared" ca="1" si="7"/>
        <v>0</v>
      </c>
      <c r="M24" s="184">
        <f t="shared" ca="1" si="7"/>
        <v>0</v>
      </c>
      <c r="N24" s="184">
        <f t="shared" ca="1" si="7"/>
        <v>0</v>
      </c>
      <c r="O24" s="184">
        <f t="shared" ca="1" si="7"/>
        <v>0</v>
      </c>
      <c r="P24" s="184">
        <f t="shared" ca="1" si="7"/>
        <v>0</v>
      </c>
      <c r="Q24" s="184">
        <f t="shared" ca="1" si="7"/>
        <v>0</v>
      </c>
      <c r="R24" s="184">
        <f t="shared" ca="1" si="7"/>
        <v>0</v>
      </c>
      <c r="S24" s="184">
        <f t="shared" ca="1" si="7"/>
        <v>0</v>
      </c>
      <c r="T24" s="184">
        <f t="shared" ca="1" si="7"/>
        <v>0</v>
      </c>
      <c r="U24" s="184">
        <f t="shared" ca="1" si="7"/>
        <v>0</v>
      </c>
      <c r="V24" s="184">
        <f t="shared" ca="1" si="7"/>
        <v>0</v>
      </c>
      <c r="W24" s="184">
        <f t="shared" ca="1" si="7"/>
        <v>0</v>
      </c>
      <c r="X24" s="184">
        <f t="shared" ca="1" si="7"/>
        <v>0</v>
      </c>
      <c r="Y24" s="184">
        <f t="shared" ca="1" si="7"/>
        <v>0</v>
      </c>
      <c r="Z24" s="184">
        <f t="shared" ca="1" si="7"/>
        <v>0</v>
      </c>
      <c r="AA24" s="184">
        <f t="shared" ca="1" si="7"/>
        <v>0</v>
      </c>
      <c r="AC24" s="280">
        <f t="shared" ca="1" si="3"/>
        <v>0</v>
      </c>
      <c r="AE24" s="280">
        <f t="shared" ca="1" si="1"/>
        <v>0</v>
      </c>
    </row>
    <row r="25" spans="1:31" hidden="1" outlineLevel="2" x14ac:dyDescent="0.25">
      <c r="A25" s="185" t="s">
        <v>708</v>
      </c>
      <c r="B25" s="185" t="s">
        <v>12</v>
      </c>
      <c r="C25" s="138" t="s">
        <v>524</v>
      </c>
      <c r="D25" s="186">
        <f ca="1">SUMIFS(tb_rec_uni[2025-01-01],
INDIRECT("tb_rec_uni[natureza]"),"taxa.extra",
INDIRECT("tb_rec_uni[empresa]"),$B25)</f>
        <v>0</v>
      </c>
      <c r="E25" s="186">
        <f ca="1">SUMIFS(tb_rec_uni[2025-02-01],
INDIRECT("tb_rec_uni[natureza]"),"taxa.extra",
INDIRECT("tb_rec_uni[empresa]"),$B25)</f>
        <v>0</v>
      </c>
      <c r="F25" s="186">
        <f ca="1">SUMIFS(tb_rec_uni[2025-03-01],
INDIRECT("tb_rec_uni[natureza]"),"taxa.extra",
INDIRECT("tb_rec_uni[empresa]"),$B25)</f>
        <v>0</v>
      </c>
      <c r="G25" s="186">
        <f ca="1">SUMIFS(tb_rec_uni[2025-04-01],
INDIRECT("tb_rec_uni[natureza]"),"taxa.extra",
INDIRECT("tb_rec_uni[empresa]"),$B25)</f>
        <v>0</v>
      </c>
      <c r="H25" s="186">
        <f ca="1">SUMIFS(tb_rec_uni[2025-05-01],
INDIRECT("tb_rec_uni[natureza]"),"taxa.extra",
INDIRECT("tb_rec_uni[empresa]"),$B25)</f>
        <v>0</v>
      </c>
      <c r="I25" s="186">
        <f ca="1">SUMIFS(tb_rec_uni[2025-06-01],
INDIRECT("tb_rec_uni[natureza]"),"taxa.extra",
INDIRECT("tb_rec_uni[empresa]"),$B25)</f>
        <v>0</v>
      </c>
      <c r="J25" s="186">
        <f ca="1">SUMIFS(tb_rec_uni[2025-07-01],
INDIRECT("tb_rec_uni[natureza]"),"taxa.extra",
INDIRECT("tb_rec_uni[empresa]"),$B25)</f>
        <v>0</v>
      </c>
      <c r="K25" s="186">
        <f ca="1">SUMIFS(tb_rec_uni[2025-08-01],
INDIRECT("tb_rec_uni[natureza]"),"taxa.extra",
INDIRECT("tb_rec_uni[empresa]"),$B25)</f>
        <v>0</v>
      </c>
      <c r="L25" s="186">
        <f ca="1">SUMIFS(tb_rec_uni[2025-09-01],
INDIRECT("tb_rec_uni[natureza]"),"taxa.extra",
INDIRECT("tb_rec_uni[empresa]"),$B25)</f>
        <v>0</v>
      </c>
      <c r="M25" s="186">
        <f ca="1">SUMIFS(tb_rec_uni[2025-10-01],
INDIRECT("tb_rec_uni[natureza]"),"taxa.extra",
INDIRECT("tb_rec_uni[empresa]"),$B25)</f>
        <v>0</v>
      </c>
      <c r="N25" s="186">
        <f ca="1">SUMIFS(tb_rec_uni[2025-11-01],
INDIRECT("tb_rec_uni[natureza]"),"taxa.extra",
INDIRECT("tb_rec_uni[empresa]"),$B25)</f>
        <v>0</v>
      </c>
      <c r="O25" s="186">
        <f ca="1">SUMIFS(tb_rec_uni[2025-12-01],
INDIRECT("tb_rec_uni[natureza]"),"taxa.extra",
INDIRECT("tb_rec_uni[empresa]"),$B25)</f>
        <v>0</v>
      </c>
      <c r="P25" s="186">
        <f ca="1">SUMIFS(tb_rec_uni[2026-01-01],
INDIRECT("tb_rec_uni[natureza]"),"taxa.extra",
INDIRECT("tb_rec_uni[empresa]"),$B25)</f>
        <v>0</v>
      </c>
      <c r="Q25" s="186">
        <f ca="1">SUMIFS(tb_rec_uni[2026-02-01],
INDIRECT("tb_rec_uni[natureza]"),"taxa.extra",
INDIRECT("tb_rec_uni[empresa]"),$B25)</f>
        <v>0</v>
      </c>
      <c r="R25" s="186">
        <f ca="1">SUMIFS(tb_rec_uni[2026-03-01],
INDIRECT("tb_rec_uni[natureza]"),"taxa.extra",
INDIRECT("tb_rec_uni[empresa]"),$B25)</f>
        <v>0</v>
      </c>
      <c r="S25" s="186">
        <f ca="1">SUMIFS(tb_rec_uni[2026-04-01],
INDIRECT("tb_rec_uni[natureza]"),"taxa.extra",
INDIRECT("tb_rec_uni[empresa]"),$B25)</f>
        <v>0</v>
      </c>
      <c r="T25" s="186">
        <f ca="1">SUMIFS(tb_rec_uni[2026-05-01],
INDIRECT("tb_rec_uni[natureza]"),"taxa.extra",
INDIRECT("tb_rec_uni[empresa]"),$B25)</f>
        <v>0</v>
      </c>
      <c r="U25" s="186">
        <f ca="1">SUMIFS(tb_rec_uni[2026-06-01],
INDIRECT("tb_rec_uni[natureza]"),"taxa.extra",
INDIRECT("tb_rec_uni[empresa]"),$B25)</f>
        <v>0</v>
      </c>
      <c r="V25" s="186">
        <f ca="1">SUMIFS(tb_rec_uni[2026-07-01],
INDIRECT("tb_rec_uni[natureza]"),"taxa.extra",
INDIRECT("tb_rec_uni[empresa]"),$B25)</f>
        <v>0</v>
      </c>
      <c r="W25" s="186">
        <f ca="1">SUMIFS(tb_rec_uni[2026-08-01],
INDIRECT("tb_rec_uni[natureza]"),"taxa.extra",
INDIRECT("tb_rec_uni[empresa]"),$B25)</f>
        <v>0</v>
      </c>
      <c r="X25" s="186">
        <f ca="1">SUMIFS(tb_rec_uni[2026-09-01],
INDIRECT("tb_rec_uni[natureza]"),"taxa.extra",
INDIRECT("tb_rec_uni[empresa]"),$B25)</f>
        <v>0</v>
      </c>
      <c r="Y25" s="186">
        <f ca="1">SUMIFS(tb_rec_uni[2026-10-01],
INDIRECT("tb_rec_uni[natureza]"),"taxa.extra",
INDIRECT("tb_rec_uni[empresa]"),$B25)</f>
        <v>0</v>
      </c>
      <c r="Z25" s="186">
        <f ca="1">SUMIFS(tb_rec_uni[2026-11-01],
INDIRECT("tb_rec_uni[natureza]"),"taxa.extra",
INDIRECT("tb_rec_uni[empresa]"),$B25)</f>
        <v>0</v>
      </c>
      <c r="AA25" s="186">
        <f ca="1">SUMIFS(tb_rec_uni[2026-12-01],
INDIRECT("tb_rec_uni[natureza]"),"taxa.extra",
INDIRECT("tb_rec_uni[empresa]"),$B25)</f>
        <v>0</v>
      </c>
      <c r="AC25" s="178">
        <f t="shared" ca="1" si="3"/>
        <v>0</v>
      </c>
      <c r="AE25" s="178">
        <f t="shared" ca="1" si="1"/>
        <v>0</v>
      </c>
    </row>
    <row r="26" spans="1:31" hidden="1" outlineLevel="2" x14ac:dyDescent="0.25">
      <c r="A26" s="185" t="s">
        <v>709</v>
      </c>
      <c r="B26" s="185" t="s">
        <v>9</v>
      </c>
      <c r="C26" s="138" t="s">
        <v>524</v>
      </c>
      <c r="D26" s="186">
        <f ca="1">SUMIFS(tb_rec_uni[2025-01-01],
INDIRECT("tb_rec_uni[natureza]"),"taxa.extra",
INDIRECT("tb_rec_uni[empresa]"),$B26)</f>
        <v>0</v>
      </c>
      <c r="E26" s="186">
        <f ca="1">SUMIFS(tb_rec_uni[2025-02-01],
INDIRECT("tb_rec_uni[natureza]"),"taxa.extra",
INDIRECT("tb_rec_uni[empresa]"),$B26)</f>
        <v>0</v>
      </c>
      <c r="F26" s="186">
        <f ca="1">SUMIFS(tb_rec_uni[2025-03-01],
INDIRECT("tb_rec_uni[natureza]"),"taxa.extra",
INDIRECT("tb_rec_uni[empresa]"),$B26)</f>
        <v>0</v>
      </c>
      <c r="G26" s="186">
        <f ca="1">SUMIFS(tb_rec_uni[2025-04-01],
INDIRECT("tb_rec_uni[natureza]"),"taxa.extra",
INDIRECT("tb_rec_uni[empresa]"),$B26)</f>
        <v>0</v>
      </c>
      <c r="H26" s="186">
        <f ca="1">SUMIFS(tb_rec_uni[2025-05-01],
INDIRECT("tb_rec_uni[natureza]"),"taxa.extra",
INDIRECT("tb_rec_uni[empresa]"),$B26)</f>
        <v>0</v>
      </c>
      <c r="I26" s="186">
        <f ca="1">SUMIFS(tb_rec_uni[2025-06-01],
INDIRECT("tb_rec_uni[natureza]"),"taxa.extra",
INDIRECT("tb_rec_uni[empresa]"),$B26)</f>
        <v>0</v>
      </c>
      <c r="J26" s="186">
        <f ca="1">SUMIFS(tb_rec_uni[2025-07-01],
INDIRECT("tb_rec_uni[natureza]"),"taxa.extra",
INDIRECT("tb_rec_uni[empresa]"),$B26)</f>
        <v>0</v>
      </c>
      <c r="K26" s="186">
        <f ca="1">SUMIFS(tb_rec_uni[2025-08-01],
INDIRECT("tb_rec_uni[natureza]"),"taxa.extra",
INDIRECT("tb_rec_uni[empresa]"),$B26)</f>
        <v>0</v>
      </c>
      <c r="L26" s="186">
        <f ca="1">SUMIFS(tb_rec_uni[2025-09-01],
INDIRECT("tb_rec_uni[natureza]"),"taxa.extra",
INDIRECT("tb_rec_uni[empresa]"),$B26)</f>
        <v>0</v>
      </c>
      <c r="M26" s="186">
        <f ca="1">SUMIFS(tb_rec_uni[2025-10-01],
INDIRECT("tb_rec_uni[natureza]"),"taxa.extra",
INDIRECT("tb_rec_uni[empresa]"),$B26)</f>
        <v>0</v>
      </c>
      <c r="N26" s="186">
        <f ca="1">SUMIFS(tb_rec_uni[2025-11-01],
INDIRECT("tb_rec_uni[natureza]"),"taxa.extra",
INDIRECT("tb_rec_uni[empresa]"),$B26)</f>
        <v>0</v>
      </c>
      <c r="O26" s="186">
        <f ca="1">SUMIFS(tb_rec_uni[2025-12-01],
INDIRECT("tb_rec_uni[natureza]"),"taxa.extra",
INDIRECT("tb_rec_uni[empresa]"),$B26)</f>
        <v>0</v>
      </c>
      <c r="P26" s="186">
        <f ca="1">SUMIFS(tb_rec_uni[2026-01-01],
INDIRECT("tb_rec_uni[natureza]"),"taxa.extra",
INDIRECT("tb_rec_uni[empresa]"),$B26)</f>
        <v>0</v>
      </c>
      <c r="Q26" s="186">
        <f ca="1">SUMIFS(tb_rec_uni[2026-02-01],
INDIRECT("tb_rec_uni[natureza]"),"taxa.extra",
INDIRECT("tb_rec_uni[empresa]"),$B26)</f>
        <v>0</v>
      </c>
      <c r="R26" s="186">
        <f ca="1">SUMIFS(tb_rec_uni[2026-03-01],
INDIRECT("tb_rec_uni[natureza]"),"taxa.extra",
INDIRECT("tb_rec_uni[empresa]"),$B26)</f>
        <v>0</v>
      </c>
      <c r="S26" s="186">
        <f ca="1">SUMIFS(tb_rec_uni[2026-04-01],
INDIRECT("tb_rec_uni[natureza]"),"taxa.extra",
INDIRECT("tb_rec_uni[empresa]"),$B26)</f>
        <v>0</v>
      </c>
      <c r="T26" s="186">
        <f ca="1">SUMIFS(tb_rec_uni[2026-05-01],
INDIRECT("tb_rec_uni[natureza]"),"taxa.extra",
INDIRECT("tb_rec_uni[empresa]"),$B26)</f>
        <v>0</v>
      </c>
      <c r="U26" s="186">
        <f ca="1">SUMIFS(tb_rec_uni[2026-06-01],
INDIRECT("tb_rec_uni[natureza]"),"taxa.extra",
INDIRECT("tb_rec_uni[empresa]"),$B26)</f>
        <v>0</v>
      </c>
      <c r="V26" s="186">
        <f ca="1">SUMIFS(tb_rec_uni[2026-07-01],
INDIRECT("tb_rec_uni[natureza]"),"taxa.extra",
INDIRECT("tb_rec_uni[empresa]"),$B26)</f>
        <v>0</v>
      </c>
      <c r="W26" s="186">
        <f ca="1">SUMIFS(tb_rec_uni[2026-08-01],
INDIRECT("tb_rec_uni[natureza]"),"taxa.extra",
INDIRECT("tb_rec_uni[empresa]"),$B26)</f>
        <v>0</v>
      </c>
      <c r="X26" s="186">
        <f ca="1">SUMIFS(tb_rec_uni[2026-09-01],
INDIRECT("tb_rec_uni[natureza]"),"taxa.extra",
INDIRECT("tb_rec_uni[empresa]"),$B26)</f>
        <v>0</v>
      </c>
      <c r="Y26" s="186">
        <f ca="1">SUMIFS(tb_rec_uni[2026-10-01],
INDIRECT("tb_rec_uni[natureza]"),"taxa.extra",
INDIRECT("tb_rec_uni[empresa]"),$B26)</f>
        <v>0</v>
      </c>
      <c r="Z26" s="186">
        <f ca="1">SUMIFS(tb_rec_uni[2026-11-01],
INDIRECT("tb_rec_uni[natureza]"),"taxa.extra",
INDIRECT("tb_rec_uni[empresa]"),$B26)</f>
        <v>0</v>
      </c>
      <c r="AA26" s="186">
        <f ca="1">SUMIFS(tb_rec_uni[2026-12-01],
INDIRECT("tb_rec_uni[natureza]"),"taxa.extra",
INDIRECT("tb_rec_uni[empresa]"),$B26)</f>
        <v>0</v>
      </c>
      <c r="AC26" s="178">
        <f t="shared" ca="1" si="3"/>
        <v>0</v>
      </c>
      <c r="AE26" s="178">
        <f t="shared" ca="1" si="1"/>
        <v>0</v>
      </c>
    </row>
    <row r="27" spans="1:31" hidden="1" outlineLevel="2" x14ac:dyDescent="0.25">
      <c r="A27" s="185" t="s">
        <v>710</v>
      </c>
      <c r="B27" s="185" t="s">
        <v>8</v>
      </c>
      <c r="C27" s="138" t="s">
        <v>524</v>
      </c>
      <c r="D27" s="186">
        <f ca="1">SUMIFS(tb_rec_uni[2025-01-01],
INDIRECT("tb_rec_uni[natureza]"),"taxa.extra",
INDIRECT("tb_rec_uni[empresa]"),$B27)</f>
        <v>0</v>
      </c>
      <c r="E27" s="186">
        <f ca="1">SUMIFS(tb_rec_uni[2025-02-01],
INDIRECT("tb_rec_uni[natureza]"),"taxa.extra",
INDIRECT("tb_rec_uni[empresa]"),$B27)</f>
        <v>0</v>
      </c>
      <c r="F27" s="186">
        <f ca="1">SUMIFS(tb_rec_uni[2025-03-01],
INDIRECT("tb_rec_uni[natureza]"),"taxa.extra",
INDIRECT("tb_rec_uni[empresa]"),$B27)</f>
        <v>0</v>
      </c>
      <c r="G27" s="186">
        <f ca="1">SUMIFS(tb_rec_uni[2025-04-01],
INDIRECT("tb_rec_uni[natureza]"),"taxa.extra",
INDIRECT("tb_rec_uni[empresa]"),$B27)</f>
        <v>0</v>
      </c>
      <c r="H27" s="186">
        <f ca="1">SUMIFS(tb_rec_uni[2025-05-01],
INDIRECT("tb_rec_uni[natureza]"),"taxa.extra",
INDIRECT("tb_rec_uni[empresa]"),$B27)</f>
        <v>0</v>
      </c>
      <c r="I27" s="186">
        <f ca="1">SUMIFS(tb_rec_uni[2025-06-01],
INDIRECT("tb_rec_uni[natureza]"),"taxa.extra",
INDIRECT("tb_rec_uni[empresa]"),$B27)</f>
        <v>0</v>
      </c>
      <c r="J27" s="186">
        <f ca="1">SUMIFS(tb_rec_uni[2025-07-01],
INDIRECT("tb_rec_uni[natureza]"),"taxa.extra",
INDIRECT("tb_rec_uni[empresa]"),$B27)</f>
        <v>0</v>
      </c>
      <c r="K27" s="186">
        <f ca="1">SUMIFS(tb_rec_uni[2025-08-01],
INDIRECT("tb_rec_uni[natureza]"),"taxa.extra",
INDIRECT("tb_rec_uni[empresa]"),$B27)</f>
        <v>0</v>
      </c>
      <c r="L27" s="186">
        <f ca="1">SUMIFS(tb_rec_uni[2025-09-01],
INDIRECT("tb_rec_uni[natureza]"),"taxa.extra",
INDIRECT("tb_rec_uni[empresa]"),$B27)</f>
        <v>0</v>
      </c>
      <c r="M27" s="186">
        <f ca="1">SUMIFS(tb_rec_uni[2025-10-01],
INDIRECT("tb_rec_uni[natureza]"),"taxa.extra",
INDIRECT("tb_rec_uni[empresa]"),$B27)</f>
        <v>0</v>
      </c>
      <c r="N27" s="186">
        <f ca="1">SUMIFS(tb_rec_uni[2025-11-01],
INDIRECT("tb_rec_uni[natureza]"),"taxa.extra",
INDIRECT("tb_rec_uni[empresa]"),$B27)</f>
        <v>0</v>
      </c>
      <c r="O27" s="186">
        <f ca="1">SUMIFS(tb_rec_uni[2025-12-01],
INDIRECT("tb_rec_uni[natureza]"),"taxa.extra",
INDIRECT("tb_rec_uni[empresa]"),$B27)</f>
        <v>0</v>
      </c>
      <c r="P27" s="186">
        <f ca="1">SUMIFS(tb_rec_uni[2026-01-01],
INDIRECT("tb_rec_uni[natureza]"),"taxa.extra",
INDIRECT("tb_rec_uni[empresa]"),$B27)</f>
        <v>0</v>
      </c>
      <c r="Q27" s="186">
        <f ca="1">SUMIFS(tb_rec_uni[2026-02-01],
INDIRECT("tb_rec_uni[natureza]"),"taxa.extra",
INDIRECT("tb_rec_uni[empresa]"),$B27)</f>
        <v>0</v>
      </c>
      <c r="R27" s="186">
        <f ca="1">SUMIFS(tb_rec_uni[2026-03-01],
INDIRECT("tb_rec_uni[natureza]"),"taxa.extra",
INDIRECT("tb_rec_uni[empresa]"),$B27)</f>
        <v>0</v>
      </c>
      <c r="S27" s="186">
        <f ca="1">SUMIFS(tb_rec_uni[2026-04-01],
INDIRECT("tb_rec_uni[natureza]"),"taxa.extra",
INDIRECT("tb_rec_uni[empresa]"),$B27)</f>
        <v>0</v>
      </c>
      <c r="T27" s="186">
        <f ca="1">SUMIFS(tb_rec_uni[2026-05-01],
INDIRECT("tb_rec_uni[natureza]"),"taxa.extra",
INDIRECT("tb_rec_uni[empresa]"),$B27)</f>
        <v>0</v>
      </c>
      <c r="U27" s="186">
        <f ca="1">SUMIFS(tb_rec_uni[2026-06-01],
INDIRECT("tb_rec_uni[natureza]"),"taxa.extra",
INDIRECT("tb_rec_uni[empresa]"),$B27)</f>
        <v>0</v>
      </c>
      <c r="V27" s="186">
        <f ca="1">SUMIFS(tb_rec_uni[2026-07-01],
INDIRECT("tb_rec_uni[natureza]"),"taxa.extra",
INDIRECT("tb_rec_uni[empresa]"),$B27)</f>
        <v>0</v>
      </c>
      <c r="W27" s="186">
        <f ca="1">SUMIFS(tb_rec_uni[2026-08-01],
INDIRECT("tb_rec_uni[natureza]"),"taxa.extra",
INDIRECT("tb_rec_uni[empresa]"),$B27)</f>
        <v>0</v>
      </c>
      <c r="X27" s="186">
        <f ca="1">SUMIFS(tb_rec_uni[2026-09-01],
INDIRECT("tb_rec_uni[natureza]"),"taxa.extra",
INDIRECT("tb_rec_uni[empresa]"),$B27)</f>
        <v>0</v>
      </c>
      <c r="Y27" s="186">
        <f ca="1">SUMIFS(tb_rec_uni[2026-10-01],
INDIRECT("tb_rec_uni[natureza]"),"taxa.extra",
INDIRECT("tb_rec_uni[empresa]"),$B27)</f>
        <v>0</v>
      </c>
      <c r="Z27" s="186">
        <f ca="1">SUMIFS(tb_rec_uni[2026-11-01],
INDIRECT("tb_rec_uni[natureza]"),"taxa.extra",
INDIRECT("tb_rec_uni[empresa]"),$B27)</f>
        <v>0</v>
      </c>
      <c r="AA27" s="186">
        <f ca="1">SUMIFS(tb_rec_uni[2026-12-01],
INDIRECT("tb_rec_uni[natureza]"),"taxa.extra",
INDIRECT("tb_rec_uni[empresa]"),$B27)</f>
        <v>0</v>
      </c>
      <c r="AC27" s="178">
        <f t="shared" ca="1" si="3"/>
        <v>0</v>
      </c>
      <c r="AE27" s="178">
        <f t="shared" ca="1" si="1"/>
        <v>0</v>
      </c>
    </row>
    <row r="28" spans="1:31" hidden="1" outlineLevel="2" x14ac:dyDescent="0.25">
      <c r="A28" s="185" t="s">
        <v>711</v>
      </c>
      <c r="B28" s="185" t="s">
        <v>7</v>
      </c>
      <c r="C28" s="138" t="s">
        <v>524</v>
      </c>
      <c r="D28" s="186">
        <f ca="1">SUMIFS(tb_rec_uni[2025-01-01],
INDIRECT("tb_rec_uni[natureza]"),"taxa.extra",
INDIRECT("tb_rec_uni[empresa]"),$B28)</f>
        <v>0</v>
      </c>
      <c r="E28" s="186">
        <f ca="1">SUMIFS(tb_rec_uni[2025-02-01],
INDIRECT("tb_rec_uni[natureza]"),"taxa.extra",
INDIRECT("tb_rec_uni[empresa]"),$B28)</f>
        <v>0</v>
      </c>
      <c r="F28" s="186">
        <f ca="1">SUMIFS(tb_rec_uni[2025-03-01],
INDIRECT("tb_rec_uni[natureza]"),"taxa.extra",
INDIRECT("tb_rec_uni[empresa]"),$B28)</f>
        <v>0</v>
      </c>
      <c r="G28" s="186">
        <f ca="1">SUMIFS(tb_rec_uni[2025-04-01],
INDIRECT("tb_rec_uni[natureza]"),"taxa.extra",
INDIRECT("tb_rec_uni[empresa]"),$B28)</f>
        <v>0</v>
      </c>
      <c r="H28" s="186">
        <f ca="1">SUMIFS(tb_rec_uni[2025-05-01],
INDIRECT("tb_rec_uni[natureza]"),"taxa.extra",
INDIRECT("tb_rec_uni[empresa]"),$B28)</f>
        <v>0</v>
      </c>
      <c r="I28" s="186">
        <f ca="1">SUMIFS(tb_rec_uni[2025-06-01],
INDIRECT("tb_rec_uni[natureza]"),"taxa.extra",
INDIRECT("tb_rec_uni[empresa]"),$B28)</f>
        <v>0</v>
      </c>
      <c r="J28" s="186">
        <f ca="1">SUMIFS(tb_rec_uni[2025-07-01],
INDIRECT("tb_rec_uni[natureza]"),"taxa.extra",
INDIRECT("tb_rec_uni[empresa]"),$B28)</f>
        <v>0</v>
      </c>
      <c r="K28" s="186">
        <f ca="1">SUMIFS(tb_rec_uni[2025-08-01],
INDIRECT("tb_rec_uni[natureza]"),"taxa.extra",
INDIRECT("tb_rec_uni[empresa]"),$B28)</f>
        <v>0</v>
      </c>
      <c r="L28" s="186">
        <f ca="1">SUMIFS(tb_rec_uni[2025-09-01],
INDIRECT("tb_rec_uni[natureza]"),"taxa.extra",
INDIRECT("tb_rec_uni[empresa]"),$B28)</f>
        <v>0</v>
      </c>
      <c r="M28" s="186">
        <f ca="1">SUMIFS(tb_rec_uni[2025-10-01],
INDIRECT("tb_rec_uni[natureza]"),"taxa.extra",
INDIRECT("tb_rec_uni[empresa]"),$B28)</f>
        <v>0</v>
      </c>
      <c r="N28" s="186">
        <f ca="1">SUMIFS(tb_rec_uni[2025-11-01],
INDIRECT("tb_rec_uni[natureza]"),"taxa.extra",
INDIRECT("tb_rec_uni[empresa]"),$B28)</f>
        <v>0</v>
      </c>
      <c r="O28" s="186">
        <f ca="1">SUMIFS(tb_rec_uni[2025-12-01],
INDIRECT("tb_rec_uni[natureza]"),"taxa.extra",
INDIRECT("tb_rec_uni[empresa]"),$B28)</f>
        <v>0</v>
      </c>
      <c r="P28" s="186">
        <f ca="1">SUMIFS(tb_rec_uni[2026-01-01],
INDIRECT("tb_rec_uni[natureza]"),"taxa.extra",
INDIRECT("tb_rec_uni[empresa]"),$B28)</f>
        <v>0</v>
      </c>
      <c r="Q28" s="186">
        <f ca="1">SUMIFS(tb_rec_uni[2026-02-01],
INDIRECT("tb_rec_uni[natureza]"),"taxa.extra",
INDIRECT("tb_rec_uni[empresa]"),$B28)</f>
        <v>0</v>
      </c>
      <c r="R28" s="186">
        <f ca="1">SUMIFS(tb_rec_uni[2026-03-01],
INDIRECT("tb_rec_uni[natureza]"),"taxa.extra",
INDIRECT("tb_rec_uni[empresa]"),$B28)</f>
        <v>0</v>
      </c>
      <c r="S28" s="186">
        <f ca="1">SUMIFS(tb_rec_uni[2026-04-01],
INDIRECT("tb_rec_uni[natureza]"),"taxa.extra",
INDIRECT("tb_rec_uni[empresa]"),$B28)</f>
        <v>0</v>
      </c>
      <c r="T28" s="186">
        <f ca="1">SUMIFS(tb_rec_uni[2026-05-01],
INDIRECT("tb_rec_uni[natureza]"),"taxa.extra",
INDIRECT("tb_rec_uni[empresa]"),$B28)</f>
        <v>0</v>
      </c>
      <c r="U28" s="186">
        <f ca="1">SUMIFS(tb_rec_uni[2026-06-01],
INDIRECT("tb_rec_uni[natureza]"),"taxa.extra",
INDIRECT("tb_rec_uni[empresa]"),$B28)</f>
        <v>0</v>
      </c>
      <c r="V28" s="186">
        <f ca="1">SUMIFS(tb_rec_uni[2026-07-01],
INDIRECT("tb_rec_uni[natureza]"),"taxa.extra",
INDIRECT("tb_rec_uni[empresa]"),$B28)</f>
        <v>0</v>
      </c>
      <c r="W28" s="186">
        <f ca="1">SUMIFS(tb_rec_uni[2026-08-01],
INDIRECT("tb_rec_uni[natureza]"),"taxa.extra",
INDIRECT("tb_rec_uni[empresa]"),$B28)</f>
        <v>0</v>
      </c>
      <c r="X28" s="186">
        <f ca="1">SUMIFS(tb_rec_uni[2026-09-01],
INDIRECT("tb_rec_uni[natureza]"),"taxa.extra",
INDIRECT("tb_rec_uni[empresa]"),$B28)</f>
        <v>0</v>
      </c>
      <c r="Y28" s="186">
        <f ca="1">SUMIFS(tb_rec_uni[2026-10-01],
INDIRECT("tb_rec_uni[natureza]"),"taxa.extra",
INDIRECT("tb_rec_uni[empresa]"),$B28)</f>
        <v>0</v>
      </c>
      <c r="Z28" s="186">
        <f ca="1">SUMIFS(tb_rec_uni[2026-11-01],
INDIRECT("tb_rec_uni[natureza]"),"taxa.extra",
INDIRECT("tb_rec_uni[empresa]"),$B28)</f>
        <v>0</v>
      </c>
      <c r="AA28" s="186">
        <f ca="1">SUMIFS(tb_rec_uni[2026-12-01],
INDIRECT("tb_rec_uni[natureza]"),"taxa.extra",
INDIRECT("tb_rec_uni[empresa]"),$B28)</f>
        <v>0</v>
      </c>
      <c r="AC28" s="178">
        <f t="shared" ca="1" si="3"/>
        <v>0</v>
      </c>
      <c r="AE28" s="178">
        <f t="shared" ca="1" si="1"/>
        <v>0</v>
      </c>
    </row>
    <row r="29" spans="1:31" hidden="1" outlineLevel="2" x14ac:dyDescent="0.25">
      <c r="A29" s="185" t="s">
        <v>712</v>
      </c>
      <c r="B29" s="185" t="s">
        <v>10</v>
      </c>
      <c r="C29" s="138" t="s">
        <v>524</v>
      </c>
      <c r="D29" s="186">
        <f ca="1">SUMIFS(tb_rec_uni[2025-01-01],
INDIRECT("tb_rec_uni[natureza]"),"taxa.extra",
INDIRECT("tb_rec_uni[empresa]"),$B29)</f>
        <v>0</v>
      </c>
      <c r="E29" s="186">
        <f ca="1">SUMIFS(tb_rec_uni[2025-02-01],
INDIRECT("tb_rec_uni[natureza]"),"taxa.extra",
INDIRECT("tb_rec_uni[empresa]"),$B29)</f>
        <v>0</v>
      </c>
      <c r="F29" s="186">
        <f ca="1">SUMIFS(tb_rec_uni[2025-03-01],
INDIRECT("tb_rec_uni[natureza]"),"taxa.extra",
INDIRECT("tb_rec_uni[empresa]"),$B29)</f>
        <v>0</v>
      </c>
      <c r="G29" s="186">
        <f ca="1">SUMIFS(tb_rec_uni[2025-04-01],
INDIRECT("tb_rec_uni[natureza]"),"taxa.extra",
INDIRECT("tb_rec_uni[empresa]"),$B29)</f>
        <v>0</v>
      </c>
      <c r="H29" s="186">
        <f ca="1">SUMIFS(tb_rec_uni[2025-05-01],
INDIRECT("tb_rec_uni[natureza]"),"taxa.extra",
INDIRECT("tb_rec_uni[empresa]"),$B29)</f>
        <v>0</v>
      </c>
      <c r="I29" s="186">
        <f ca="1">SUMIFS(tb_rec_uni[2025-06-01],
INDIRECT("tb_rec_uni[natureza]"),"taxa.extra",
INDIRECT("tb_rec_uni[empresa]"),$B29)</f>
        <v>0</v>
      </c>
      <c r="J29" s="186">
        <f ca="1">SUMIFS(tb_rec_uni[2025-07-01],
INDIRECT("tb_rec_uni[natureza]"),"taxa.extra",
INDIRECT("tb_rec_uni[empresa]"),$B29)</f>
        <v>0</v>
      </c>
      <c r="K29" s="186">
        <f ca="1">SUMIFS(tb_rec_uni[2025-08-01],
INDIRECT("tb_rec_uni[natureza]"),"taxa.extra",
INDIRECT("tb_rec_uni[empresa]"),$B29)</f>
        <v>0</v>
      </c>
      <c r="L29" s="186">
        <f ca="1">SUMIFS(tb_rec_uni[2025-09-01],
INDIRECT("tb_rec_uni[natureza]"),"taxa.extra",
INDIRECT("tb_rec_uni[empresa]"),$B29)</f>
        <v>0</v>
      </c>
      <c r="M29" s="186">
        <f ca="1">SUMIFS(tb_rec_uni[2025-10-01],
INDIRECT("tb_rec_uni[natureza]"),"taxa.extra",
INDIRECT("tb_rec_uni[empresa]"),$B29)</f>
        <v>0</v>
      </c>
      <c r="N29" s="186">
        <f ca="1">SUMIFS(tb_rec_uni[2025-11-01],
INDIRECT("tb_rec_uni[natureza]"),"taxa.extra",
INDIRECT("tb_rec_uni[empresa]"),$B29)</f>
        <v>0</v>
      </c>
      <c r="O29" s="186">
        <f ca="1">SUMIFS(tb_rec_uni[2025-12-01],
INDIRECT("tb_rec_uni[natureza]"),"taxa.extra",
INDIRECT("tb_rec_uni[empresa]"),$B29)</f>
        <v>0</v>
      </c>
      <c r="P29" s="186">
        <f ca="1">SUMIFS(tb_rec_uni[2026-01-01],
INDIRECT("tb_rec_uni[natureza]"),"taxa.extra",
INDIRECT("tb_rec_uni[empresa]"),$B29)</f>
        <v>0</v>
      </c>
      <c r="Q29" s="186">
        <f ca="1">SUMIFS(tb_rec_uni[2026-02-01],
INDIRECT("tb_rec_uni[natureza]"),"taxa.extra",
INDIRECT("tb_rec_uni[empresa]"),$B29)</f>
        <v>0</v>
      </c>
      <c r="R29" s="186">
        <f ca="1">SUMIFS(tb_rec_uni[2026-03-01],
INDIRECT("tb_rec_uni[natureza]"),"taxa.extra",
INDIRECT("tb_rec_uni[empresa]"),$B29)</f>
        <v>0</v>
      </c>
      <c r="S29" s="186">
        <f ca="1">SUMIFS(tb_rec_uni[2026-04-01],
INDIRECT("tb_rec_uni[natureza]"),"taxa.extra",
INDIRECT("tb_rec_uni[empresa]"),$B29)</f>
        <v>0</v>
      </c>
      <c r="T29" s="186">
        <f ca="1">SUMIFS(tb_rec_uni[2026-05-01],
INDIRECT("tb_rec_uni[natureza]"),"taxa.extra",
INDIRECT("tb_rec_uni[empresa]"),$B29)</f>
        <v>0</v>
      </c>
      <c r="U29" s="186">
        <f ca="1">SUMIFS(tb_rec_uni[2026-06-01],
INDIRECT("tb_rec_uni[natureza]"),"taxa.extra",
INDIRECT("tb_rec_uni[empresa]"),$B29)</f>
        <v>0</v>
      </c>
      <c r="V29" s="186">
        <f ca="1">SUMIFS(tb_rec_uni[2026-07-01],
INDIRECT("tb_rec_uni[natureza]"),"taxa.extra",
INDIRECT("tb_rec_uni[empresa]"),$B29)</f>
        <v>0</v>
      </c>
      <c r="W29" s="186">
        <f ca="1">SUMIFS(tb_rec_uni[2026-08-01],
INDIRECT("tb_rec_uni[natureza]"),"taxa.extra",
INDIRECT("tb_rec_uni[empresa]"),$B29)</f>
        <v>0</v>
      </c>
      <c r="X29" s="186">
        <f ca="1">SUMIFS(tb_rec_uni[2026-09-01],
INDIRECT("tb_rec_uni[natureza]"),"taxa.extra",
INDIRECT("tb_rec_uni[empresa]"),$B29)</f>
        <v>0</v>
      </c>
      <c r="Y29" s="186">
        <f ca="1">SUMIFS(tb_rec_uni[2026-10-01],
INDIRECT("tb_rec_uni[natureza]"),"taxa.extra",
INDIRECT("tb_rec_uni[empresa]"),$B29)</f>
        <v>0</v>
      </c>
      <c r="Z29" s="186">
        <f ca="1">SUMIFS(tb_rec_uni[2026-11-01],
INDIRECT("tb_rec_uni[natureza]"),"taxa.extra",
INDIRECT("tb_rec_uni[empresa]"),$B29)</f>
        <v>0</v>
      </c>
      <c r="AA29" s="186">
        <f ca="1">SUMIFS(tb_rec_uni[2026-12-01],
INDIRECT("tb_rec_uni[natureza]"),"taxa.extra",
INDIRECT("tb_rec_uni[empresa]"),$B29)</f>
        <v>0</v>
      </c>
      <c r="AC29" s="178">
        <f t="shared" ca="1" si="3"/>
        <v>0</v>
      </c>
      <c r="AE29" s="178">
        <f t="shared" ca="1" si="1"/>
        <v>0</v>
      </c>
    </row>
    <row r="30" spans="1:31" hidden="1" outlineLevel="2" x14ac:dyDescent="0.25">
      <c r="A30" s="185" t="s">
        <v>713</v>
      </c>
      <c r="B30" s="185" t="s">
        <v>13</v>
      </c>
      <c r="C30" s="138" t="s">
        <v>524</v>
      </c>
      <c r="D30" s="186">
        <f ca="1">SUMIFS(tb_rec_uni[2025-01-01],
INDIRECT("tb_rec_uni[natureza]"),"taxa.extra",
INDIRECT("tb_rec_uni[empresa]"),$B30)</f>
        <v>0</v>
      </c>
      <c r="E30" s="186">
        <f ca="1">SUMIFS(tb_rec_uni[2025-02-01],
INDIRECT("tb_rec_uni[natureza]"),"taxa.extra",
INDIRECT("tb_rec_uni[empresa]"),$B30)</f>
        <v>0</v>
      </c>
      <c r="F30" s="186">
        <f ca="1">SUMIFS(tb_rec_uni[2025-03-01],
INDIRECT("tb_rec_uni[natureza]"),"taxa.extra",
INDIRECT("tb_rec_uni[empresa]"),$B30)</f>
        <v>0</v>
      </c>
      <c r="G30" s="186">
        <f ca="1">SUMIFS(tb_rec_uni[2025-04-01],
INDIRECT("tb_rec_uni[natureza]"),"taxa.extra",
INDIRECT("tb_rec_uni[empresa]"),$B30)</f>
        <v>0</v>
      </c>
      <c r="H30" s="186">
        <f ca="1">SUMIFS(tb_rec_uni[2025-05-01],
INDIRECT("tb_rec_uni[natureza]"),"taxa.extra",
INDIRECT("tb_rec_uni[empresa]"),$B30)</f>
        <v>0</v>
      </c>
      <c r="I30" s="186">
        <f ca="1">SUMIFS(tb_rec_uni[2025-06-01],
INDIRECT("tb_rec_uni[natureza]"),"taxa.extra",
INDIRECT("tb_rec_uni[empresa]"),$B30)</f>
        <v>0</v>
      </c>
      <c r="J30" s="186">
        <f ca="1">SUMIFS(tb_rec_uni[2025-07-01],
INDIRECT("tb_rec_uni[natureza]"),"taxa.extra",
INDIRECT("tb_rec_uni[empresa]"),$B30)</f>
        <v>0</v>
      </c>
      <c r="K30" s="186">
        <f ca="1">SUMIFS(tb_rec_uni[2025-08-01],
INDIRECT("tb_rec_uni[natureza]"),"taxa.extra",
INDIRECT("tb_rec_uni[empresa]"),$B30)</f>
        <v>0</v>
      </c>
      <c r="L30" s="186">
        <f ca="1">SUMIFS(tb_rec_uni[2025-09-01],
INDIRECT("tb_rec_uni[natureza]"),"taxa.extra",
INDIRECT("tb_rec_uni[empresa]"),$B30)</f>
        <v>0</v>
      </c>
      <c r="M30" s="186">
        <f ca="1">SUMIFS(tb_rec_uni[2025-10-01],
INDIRECT("tb_rec_uni[natureza]"),"taxa.extra",
INDIRECT("tb_rec_uni[empresa]"),$B30)</f>
        <v>0</v>
      </c>
      <c r="N30" s="186">
        <f ca="1">SUMIFS(tb_rec_uni[2025-11-01],
INDIRECT("tb_rec_uni[natureza]"),"taxa.extra",
INDIRECT("tb_rec_uni[empresa]"),$B30)</f>
        <v>0</v>
      </c>
      <c r="O30" s="186">
        <f ca="1">SUMIFS(tb_rec_uni[2025-12-01],
INDIRECT("tb_rec_uni[natureza]"),"taxa.extra",
INDIRECT("tb_rec_uni[empresa]"),$B30)</f>
        <v>0</v>
      </c>
      <c r="P30" s="186">
        <f ca="1">SUMIFS(tb_rec_uni[2026-01-01],
INDIRECT("tb_rec_uni[natureza]"),"taxa.extra",
INDIRECT("tb_rec_uni[empresa]"),$B30)</f>
        <v>0</v>
      </c>
      <c r="Q30" s="186">
        <f ca="1">SUMIFS(tb_rec_uni[2026-02-01],
INDIRECT("tb_rec_uni[natureza]"),"taxa.extra",
INDIRECT("tb_rec_uni[empresa]"),$B30)</f>
        <v>0</v>
      </c>
      <c r="R30" s="186">
        <f ca="1">SUMIFS(tb_rec_uni[2026-03-01],
INDIRECT("tb_rec_uni[natureza]"),"taxa.extra",
INDIRECT("tb_rec_uni[empresa]"),$B30)</f>
        <v>0</v>
      </c>
      <c r="S30" s="186">
        <f ca="1">SUMIFS(tb_rec_uni[2026-04-01],
INDIRECT("tb_rec_uni[natureza]"),"taxa.extra",
INDIRECT("tb_rec_uni[empresa]"),$B30)</f>
        <v>0</v>
      </c>
      <c r="T30" s="186">
        <f ca="1">SUMIFS(tb_rec_uni[2026-05-01],
INDIRECT("tb_rec_uni[natureza]"),"taxa.extra",
INDIRECT("tb_rec_uni[empresa]"),$B30)</f>
        <v>0</v>
      </c>
      <c r="U30" s="186">
        <f ca="1">SUMIFS(tb_rec_uni[2026-06-01],
INDIRECT("tb_rec_uni[natureza]"),"taxa.extra",
INDIRECT("tb_rec_uni[empresa]"),$B30)</f>
        <v>0</v>
      </c>
      <c r="V30" s="186">
        <f ca="1">SUMIFS(tb_rec_uni[2026-07-01],
INDIRECT("tb_rec_uni[natureza]"),"taxa.extra",
INDIRECT("tb_rec_uni[empresa]"),$B30)</f>
        <v>0</v>
      </c>
      <c r="W30" s="186">
        <f ca="1">SUMIFS(tb_rec_uni[2026-08-01],
INDIRECT("tb_rec_uni[natureza]"),"taxa.extra",
INDIRECT("tb_rec_uni[empresa]"),$B30)</f>
        <v>0</v>
      </c>
      <c r="X30" s="186">
        <f ca="1">SUMIFS(tb_rec_uni[2026-09-01],
INDIRECT("tb_rec_uni[natureza]"),"taxa.extra",
INDIRECT("tb_rec_uni[empresa]"),$B30)</f>
        <v>0</v>
      </c>
      <c r="Y30" s="186">
        <f ca="1">SUMIFS(tb_rec_uni[2026-10-01],
INDIRECT("tb_rec_uni[natureza]"),"taxa.extra",
INDIRECT("tb_rec_uni[empresa]"),$B30)</f>
        <v>0</v>
      </c>
      <c r="Z30" s="186">
        <f ca="1">SUMIFS(tb_rec_uni[2026-11-01],
INDIRECT("tb_rec_uni[natureza]"),"taxa.extra",
INDIRECT("tb_rec_uni[empresa]"),$B30)</f>
        <v>0</v>
      </c>
      <c r="AA30" s="186">
        <f ca="1">SUMIFS(tb_rec_uni[2026-12-01],
INDIRECT("tb_rec_uni[natureza]"),"taxa.extra",
INDIRECT("tb_rec_uni[empresa]"),$B30)</f>
        <v>0</v>
      </c>
      <c r="AC30" s="178">
        <f t="shared" ca="1" si="3"/>
        <v>0</v>
      </c>
      <c r="AE30" s="178">
        <f t="shared" ca="1" si="1"/>
        <v>0</v>
      </c>
    </row>
    <row r="31" spans="1:31" hidden="1" outlineLevel="2" x14ac:dyDescent="0.25">
      <c r="A31" s="185" t="s">
        <v>714</v>
      </c>
      <c r="B31" s="185" t="s">
        <v>465</v>
      </c>
      <c r="C31" s="138" t="s">
        <v>524</v>
      </c>
      <c r="D31" s="186">
        <f ca="1">SUMIFS(tb_rec_uni[2025-01-01],
INDIRECT("tb_rec_uni[natureza]"),"taxa.extra",
INDIRECT("tb_rec_uni[empresa]"),$B31)</f>
        <v>0</v>
      </c>
      <c r="E31" s="186">
        <f ca="1">SUMIFS(tb_rec_uni[2025-02-01],
INDIRECT("tb_rec_uni[natureza]"),"taxa.extra",
INDIRECT("tb_rec_uni[empresa]"),$B31)</f>
        <v>0</v>
      </c>
      <c r="F31" s="186">
        <f ca="1">SUMIFS(tb_rec_uni[2025-03-01],
INDIRECT("tb_rec_uni[natureza]"),"taxa.extra",
INDIRECT("tb_rec_uni[empresa]"),$B31)</f>
        <v>0</v>
      </c>
      <c r="G31" s="186">
        <f ca="1">SUMIFS(tb_rec_uni[2025-04-01],
INDIRECT("tb_rec_uni[natureza]"),"taxa.extra",
INDIRECT("tb_rec_uni[empresa]"),$B31)</f>
        <v>0</v>
      </c>
      <c r="H31" s="186">
        <f ca="1">SUMIFS(tb_rec_uni[2025-05-01],
INDIRECT("tb_rec_uni[natureza]"),"taxa.extra",
INDIRECT("tb_rec_uni[empresa]"),$B31)</f>
        <v>0</v>
      </c>
      <c r="I31" s="186">
        <f ca="1">SUMIFS(tb_rec_uni[2025-06-01],
INDIRECT("tb_rec_uni[natureza]"),"taxa.extra",
INDIRECT("tb_rec_uni[empresa]"),$B31)</f>
        <v>0</v>
      </c>
      <c r="J31" s="186">
        <f ca="1">SUMIFS(tb_rec_uni[2025-07-01],
INDIRECT("tb_rec_uni[natureza]"),"taxa.extra",
INDIRECT("tb_rec_uni[empresa]"),$B31)</f>
        <v>0</v>
      </c>
      <c r="K31" s="186">
        <f ca="1">SUMIFS(tb_rec_uni[2025-08-01],
INDIRECT("tb_rec_uni[natureza]"),"taxa.extra",
INDIRECT("tb_rec_uni[empresa]"),$B31)</f>
        <v>0</v>
      </c>
      <c r="L31" s="186">
        <f ca="1">SUMIFS(tb_rec_uni[2025-09-01],
INDIRECT("tb_rec_uni[natureza]"),"taxa.extra",
INDIRECT("tb_rec_uni[empresa]"),$B31)</f>
        <v>0</v>
      </c>
      <c r="M31" s="186">
        <f ca="1">SUMIFS(tb_rec_uni[2025-10-01],
INDIRECT("tb_rec_uni[natureza]"),"taxa.extra",
INDIRECT("tb_rec_uni[empresa]"),$B31)</f>
        <v>0</v>
      </c>
      <c r="N31" s="186">
        <f ca="1">SUMIFS(tb_rec_uni[2025-11-01],
INDIRECT("tb_rec_uni[natureza]"),"taxa.extra",
INDIRECT("tb_rec_uni[empresa]"),$B31)</f>
        <v>0</v>
      </c>
      <c r="O31" s="186">
        <f ca="1">SUMIFS(tb_rec_uni[2025-12-01],
INDIRECT("tb_rec_uni[natureza]"),"taxa.extra",
INDIRECT("tb_rec_uni[empresa]"),$B31)</f>
        <v>0</v>
      </c>
      <c r="P31" s="186">
        <f ca="1">SUMIFS(tb_rec_uni[2026-01-01],
INDIRECT("tb_rec_uni[natureza]"),"taxa.extra",
INDIRECT("tb_rec_uni[empresa]"),$B31)</f>
        <v>0</v>
      </c>
      <c r="Q31" s="186">
        <f ca="1">SUMIFS(tb_rec_uni[2026-02-01],
INDIRECT("tb_rec_uni[natureza]"),"taxa.extra",
INDIRECT("tb_rec_uni[empresa]"),$B31)</f>
        <v>0</v>
      </c>
      <c r="R31" s="186">
        <f ca="1">SUMIFS(tb_rec_uni[2026-03-01],
INDIRECT("tb_rec_uni[natureza]"),"taxa.extra",
INDIRECT("tb_rec_uni[empresa]"),$B31)</f>
        <v>0</v>
      </c>
      <c r="S31" s="186">
        <f ca="1">SUMIFS(tb_rec_uni[2026-04-01],
INDIRECT("tb_rec_uni[natureza]"),"taxa.extra",
INDIRECT("tb_rec_uni[empresa]"),$B31)</f>
        <v>0</v>
      </c>
      <c r="T31" s="186">
        <f ca="1">SUMIFS(tb_rec_uni[2026-05-01],
INDIRECT("tb_rec_uni[natureza]"),"taxa.extra",
INDIRECT("tb_rec_uni[empresa]"),$B31)</f>
        <v>0</v>
      </c>
      <c r="U31" s="186">
        <f ca="1">SUMIFS(tb_rec_uni[2026-06-01],
INDIRECT("tb_rec_uni[natureza]"),"taxa.extra",
INDIRECT("tb_rec_uni[empresa]"),$B31)</f>
        <v>0</v>
      </c>
      <c r="V31" s="186">
        <f ca="1">SUMIFS(tb_rec_uni[2026-07-01],
INDIRECT("tb_rec_uni[natureza]"),"taxa.extra",
INDIRECT("tb_rec_uni[empresa]"),$B31)</f>
        <v>0</v>
      </c>
      <c r="W31" s="186">
        <f ca="1">SUMIFS(tb_rec_uni[2026-08-01],
INDIRECT("tb_rec_uni[natureza]"),"taxa.extra",
INDIRECT("tb_rec_uni[empresa]"),$B31)</f>
        <v>0</v>
      </c>
      <c r="X31" s="186">
        <f ca="1">SUMIFS(tb_rec_uni[2026-09-01],
INDIRECT("tb_rec_uni[natureza]"),"taxa.extra",
INDIRECT("tb_rec_uni[empresa]"),$B31)</f>
        <v>0</v>
      </c>
      <c r="Y31" s="186">
        <f ca="1">SUMIFS(tb_rec_uni[2026-10-01],
INDIRECT("tb_rec_uni[natureza]"),"taxa.extra",
INDIRECT("tb_rec_uni[empresa]"),$B31)</f>
        <v>0</v>
      </c>
      <c r="Z31" s="186">
        <f ca="1">SUMIFS(tb_rec_uni[2026-11-01],
INDIRECT("tb_rec_uni[natureza]"),"taxa.extra",
INDIRECT("tb_rec_uni[empresa]"),$B31)</f>
        <v>0</v>
      </c>
      <c r="AA31" s="186">
        <f ca="1">SUMIFS(tb_rec_uni[2026-12-01],
INDIRECT("tb_rec_uni[natureza]"),"taxa.extra",
INDIRECT("tb_rec_uni[empresa]"),$B31)</f>
        <v>0</v>
      </c>
      <c r="AC31" s="178">
        <f t="shared" ca="1" si="3"/>
        <v>0</v>
      </c>
      <c r="AE31" s="178">
        <f t="shared" ca="1" si="1"/>
        <v>0</v>
      </c>
    </row>
    <row r="32" spans="1:31" collapsed="1" x14ac:dyDescent="0.25">
      <c r="A32" s="188" t="s">
        <v>527</v>
      </c>
      <c r="B32" s="188" t="s">
        <v>528</v>
      </c>
      <c r="C32" s="189" t="s">
        <v>514</v>
      </c>
      <c r="D32" s="190">
        <f t="shared" ref="D32:AA32" ca="1" si="8">SUM(D$33,D$51,D$71,D$67,D$85,D$80,D$87,D$103,D$126,D$153,D$164,D$166,D$116,D$170)</f>
        <v>0</v>
      </c>
      <c r="E32" s="190">
        <f t="shared" ca="1" si="8"/>
        <v>0</v>
      </c>
      <c r="F32" s="190">
        <f t="shared" ca="1" si="8"/>
        <v>0</v>
      </c>
      <c r="G32" s="190">
        <f t="shared" ca="1" si="8"/>
        <v>0</v>
      </c>
      <c r="H32" s="190">
        <f t="shared" ca="1" si="8"/>
        <v>0</v>
      </c>
      <c r="I32" s="190">
        <f t="shared" ca="1" si="8"/>
        <v>0</v>
      </c>
      <c r="J32" s="190">
        <f t="shared" ca="1" si="8"/>
        <v>0</v>
      </c>
      <c r="K32" s="190">
        <f t="shared" ca="1" si="8"/>
        <v>0</v>
      </c>
      <c r="L32" s="190">
        <f t="shared" ca="1" si="8"/>
        <v>0</v>
      </c>
      <c r="M32" s="190">
        <f t="shared" ca="1" si="8"/>
        <v>0</v>
      </c>
      <c r="N32" s="190">
        <f t="shared" ca="1" si="8"/>
        <v>0</v>
      </c>
      <c r="O32" s="190">
        <f t="shared" ca="1" si="8"/>
        <v>0</v>
      </c>
      <c r="P32" s="190">
        <f t="shared" ca="1" si="8"/>
        <v>0</v>
      </c>
      <c r="Q32" s="190">
        <f t="shared" ca="1" si="8"/>
        <v>0</v>
      </c>
      <c r="R32" s="190">
        <f t="shared" ca="1" si="8"/>
        <v>0</v>
      </c>
      <c r="S32" s="190">
        <f t="shared" ca="1" si="8"/>
        <v>0</v>
      </c>
      <c r="T32" s="190">
        <f t="shared" ca="1" si="8"/>
        <v>0</v>
      </c>
      <c r="U32" s="190">
        <f t="shared" ca="1" si="8"/>
        <v>0</v>
      </c>
      <c r="V32" s="190">
        <f t="shared" ca="1" si="8"/>
        <v>0</v>
      </c>
      <c r="W32" s="190">
        <f t="shared" ca="1" si="8"/>
        <v>0</v>
      </c>
      <c r="X32" s="190">
        <f t="shared" ca="1" si="8"/>
        <v>0</v>
      </c>
      <c r="Y32" s="190">
        <f t="shared" ca="1" si="8"/>
        <v>0</v>
      </c>
      <c r="Z32" s="190">
        <f t="shared" ca="1" si="8"/>
        <v>0</v>
      </c>
      <c r="AA32" s="190">
        <f t="shared" ca="1" si="8"/>
        <v>0</v>
      </c>
      <c r="AC32" s="281">
        <f t="shared" ca="1" si="3"/>
        <v>0</v>
      </c>
      <c r="AE32" s="281">
        <f t="shared" ca="1" si="1"/>
        <v>0</v>
      </c>
    </row>
    <row r="33" spans="1:31" hidden="1" outlineLevel="1" x14ac:dyDescent="0.25">
      <c r="A33" s="182" t="s">
        <v>529</v>
      </c>
      <c r="B33" s="458" t="s">
        <v>352</v>
      </c>
      <c r="C33" s="183" t="s">
        <v>514</v>
      </c>
      <c r="D33" s="184">
        <f t="shared" ref="D33:AA33" ca="1" si="9">SUM(D$34:D$50)</f>
        <v>0</v>
      </c>
      <c r="E33" s="184">
        <f t="shared" ca="1" si="9"/>
        <v>0</v>
      </c>
      <c r="F33" s="184">
        <f t="shared" ca="1" si="9"/>
        <v>0</v>
      </c>
      <c r="G33" s="184">
        <f t="shared" ca="1" si="9"/>
        <v>0</v>
      </c>
      <c r="H33" s="184">
        <f t="shared" ca="1" si="9"/>
        <v>0</v>
      </c>
      <c r="I33" s="184">
        <f t="shared" ca="1" si="9"/>
        <v>0</v>
      </c>
      <c r="J33" s="184">
        <f t="shared" ca="1" si="9"/>
        <v>0</v>
      </c>
      <c r="K33" s="184">
        <f t="shared" ca="1" si="9"/>
        <v>0</v>
      </c>
      <c r="L33" s="184">
        <f t="shared" ca="1" si="9"/>
        <v>0</v>
      </c>
      <c r="M33" s="184">
        <f t="shared" ca="1" si="9"/>
        <v>0</v>
      </c>
      <c r="N33" s="184">
        <f t="shared" ca="1" si="9"/>
        <v>0</v>
      </c>
      <c r="O33" s="184">
        <f t="shared" ca="1" si="9"/>
        <v>0</v>
      </c>
      <c r="P33" s="184">
        <f t="shared" ca="1" si="9"/>
        <v>0</v>
      </c>
      <c r="Q33" s="184">
        <f t="shared" ca="1" si="9"/>
        <v>0</v>
      </c>
      <c r="R33" s="184">
        <f t="shared" ca="1" si="9"/>
        <v>0</v>
      </c>
      <c r="S33" s="184">
        <f t="shared" ca="1" si="9"/>
        <v>0</v>
      </c>
      <c r="T33" s="184">
        <f t="shared" ca="1" si="9"/>
        <v>0</v>
      </c>
      <c r="U33" s="184">
        <f t="shared" ca="1" si="9"/>
        <v>0</v>
      </c>
      <c r="V33" s="184">
        <f t="shared" ca="1" si="9"/>
        <v>0</v>
      </c>
      <c r="W33" s="184">
        <f t="shared" ca="1" si="9"/>
        <v>0</v>
      </c>
      <c r="X33" s="184">
        <f t="shared" ca="1" si="9"/>
        <v>0</v>
      </c>
      <c r="Y33" s="184">
        <f t="shared" ca="1" si="9"/>
        <v>0</v>
      </c>
      <c r="Z33" s="184">
        <f t="shared" ca="1" si="9"/>
        <v>0</v>
      </c>
      <c r="AA33" s="184">
        <f t="shared" ca="1" si="9"/>
        <v>0</v>
      </c>
      <c r="AC33" s="280">
        <f t="shared" ca="1" si="3"/>
        <v>0</v>
      </c>
      <c r="AE33" s="280">
        <f t="shared" ca="1" si="1"/>
        <v>0</v>
      </c>
    </row>
    <row r="34" spans="1:31" hidden="1" outlineLevel="2" x14ac:dyDescent="0.25">
      <c r="A34" s="185" t="s">
        <v>530</v>
      </c>
      <c r="B34" s="185" t="s">
        <v>531</v>
      </c>
      <c r="C34" s="138" t="s">
        <v>514</v>
      </c>
      <c r="D34" s="186">
        <f ca="1">-SUMIFS(
  desp.m.ik[valor],
  desp.m.ik[nucleo], $B34,
  desp.m.ik[variavel], $B$33,
  desp.m.ik[mes], "&gt;="&amp;D$1,
  desp.m.ik[mes], "&lt;"&amp;EOMONTH(D$1,0)+1
)</f>
        <v>0</v>
      </c>
      <c r="E34" s="186">
        <f ca="1">-SUMIFS(
  desp.m.ik[valor],
  desp.m.ik[nucleo], $B34,
  desp.m.ik[variavel], $B$33,
  desp.m.ik[mes], "&gt;="&amp;E$1,
  desp.m.ik[mes], "&lt;"&amp;EOMONTH(E$1,0)+1
)</f>
        <v>0</v>
      </c>
      <c r="F34" s="186">
        <f ca="1">-SUMIFS(
  desp.m.ik[valor],
  desp.m.ik[nucleo], $B34,
  desp.m.ik[variavel], $B$33,
  desp.m.ik[mes], "&gt;="&amp;F$1,
  desp.m.ik[mes], "&lt;"&amp;EOMONTH(F$1,0)+1
)</f>
        <v>0</v>
      </c>
      <c r="G34" s="186">
        <f ca="1">-SUMIFS(
  desp.m.ik[valor],
  desp.m.ik[nucleo], $B34,
  desp.m.ik[variavel], $B$33,
  desp.m.ik[mes], "&gt;="&amp;G$1,
  desp.m.ik[mes], "&lt;"&amp;EOMONTH(G$1,0)+1
)</f>
        <v>0</v>
      </c>
      <c r="H34" s="186">
        <f ca="1">-SUMIFS(
  desp.m.ik[valor],
  desp.m.ik[nucleo], $B34,
  desp.m.ik[variavel], $B$33,
  desp.m.ik[mes], "&gt;="&amp;H$1,
  desp.m.ik[mes], "&lt;"&amp;EOMONTH(H$1,0)+1
)</f>
        <v>0</v>
      </c>
      <c r="I34" s="186">
        <f ca="1">-SUMIFS(
  desp.m.ik[valor],
  desp.m.ik[nucleo], $B34,
  desp.m.ik[variavel], $B$33,
  desp.m.ik[mes], "&gt;="&amp;I$1,
  desp.m.ik[mes], "&lt;"&amp;EOMONTH(I$1,0)+1
)</f>
        <v>0</v>
      </c>
      <c r="J34" s="186">
        <f ca="1">-SUMIFS(
  desp.m.ik[valor],
  desp.m.ik[nucleo], $B34,
  desp.m.ik[variavel], $B$33,
  desp.m.ik[mes], "&gt;="&amp;J$1,
  desp.m.ik[mes], "&lt;"&amp;EOMONTH(J$1,0)+1
)</f>
        <v>0</v>
      </c>
      <c r="K34" s="186">
        <f ca="1">-SUMIFS(
  desp.m.ik[valor],
  desp.m.ik[nucleo], $B34,
  desp.m.ik[variavel], $B$33,
  desp.m.ik[mes], "&gt;="&amp;K$1,
  desp.m.ik[mes], "&lt;"&amp;EOMONTH(K$1,0)+1
)</f>
        <v>0</v>
      </c>
      <c r="L34" s="186">
        <f ca="1">-SUMIFS(
  desp.m.ik[valor],
  desp.m.ik[nucleo], $B34,
  desp.m.ik[variavel], $B$33,
  desp.m.ik[mes], "&gt;="&amp;L$1,
  desp.m.ik[mes], "&lt;"&amp;EOMONTH(L$1,0)+1
)</f>
        <v>0</v>
      </c>
      <c r="M34" s="186">
        <f ca="1">-SUMIFS(
  desp.m.ik[valor],
  desp.m.ik[nucleo], $B34,
  desp.m.ik[variavel], $B$33,
  desp.m.ik[mes], "&gt;="&amp;M$1,
  desp.m.ik[mes], "&lt;"&amp;EOMONTH(M$1,0)+1
)</f>
        <v>0</v>
      </c>
      <c r="N34" s="186">
        <f ca="1">-SUMIFS(
  desp.m.ik[valor],
  desp.m.ik[nucleo], $B34,
  desp.m.ik[variavel], $B$33,
  desp.m.ik[mes], "&gt;="&amp;N$1,
  desp.m.ik[mes], "&lt;"&amp;EOMONTH(N$1,0)+1
)</f>
        <v>0</v>
      </c>
      <c r="O34" s="186">
        <f ca="1">-SUMIFS(
  desp.m.ik[valor],
  desp.m.ik[nucleo], $B34,
  desp.m.ik[variavel], $B$33,
  desp.m.ik[mes], "&gt;="&amp;O$1,
  desp.m.ik[mes], "&lt;"&amp;EOMONTH(O$1,0)+1
)</f>
        <v>0</v>
      </c>
      <c r="P34" s="186">
        <f ca="1">-SUMIFS(
  desp.m.ik[valor],
  desp.m.ik[nucleo], $B34,
  desp.m.ik[variavel], $B$33,
  desp.m.ik[mes], "&gt;="&amp;P$1,
  desp.m.ik[mes], "&lt;"&amp;EOMONTH(P$1,0)+1
)</f>
        <v>0</v>
      </c>
      <c r="Q34" s="186">
        <f ca="1">-SUMIFS(
  desp.m.ik[valor],
  desp.m.ik[nucleo], $B34,
  desp.m.ik[variavel], $B$33,
  desp.m.ik[mes], "&gt;="&amp;Q$1,
  desp.m.ik[mes], "&lt;"&amp;EOMONTH(Q$1,0)+1
)</f>
        <v>0</v>
      </c>
      <c r="R34" s="186">
        <f ca="1">-SUMIFS(
  desp.m.ik[valor],
  desp.m.ik[nucleo], $B34,
  desp.m.ik[variavel], $B$33,
  desp.m.ik[mes], "&gt;="&amp;R$1,
  desp.m.ik[mes], "&lt;"&amp;EOMONTH(R$1,0)+1
)</f>
        <v>0</v>
      </c>
      <c r="S34" s="186">
        <f ca="1">-SUMIFS(
  desp.m.ik[valor],
  desp.m.ik[nucleo], $B34,
  desp.m.ik[variavel], $B$33,
  desp.m.ik[mes], "&gt;="&amp;S$1,
  desp.m.ik[mes], "&lt;"&amp;EOMONTH(S$1,0)+1
)</f>
        <v>0</v>
      </c>
      <c r="T34" s="186">
        <f ca="1">-SUMIFS(
  desp.m.ik[valor],
  desp.m.ik[nucleo], $B34,
  desp.m.ik[variavel], $B$33,
  desp.m.ik[mes], "&gt;="&amp;T$1,
  desp.m.ik[mes], "&lt;"&amp;EOMONTH(T$1,0)+1
)</f>
        <v>0</v>
      </c>
      <c r="U34" s="186">
        <f ca="1">-SUMIFS(
  desp.m.ik[valor],
  desp.m.ik[nucleo], $B34,
  desp.m.ik[variavel], $B$33,
  desp.m.ik[mes], "&gt;="&amp;U$1,
  desp.m.ik[mes], "&lt;"&amp;EOMONTH(U$1,0)+1
)</f>
        <v>0</v>
      </c>
      <c r="V34" s="186">
        <f ca="1">-SUMIFS(
  desp.m.ik[valor],
  desp.m.ik[nucleo], $B34,
  desp.m.ik[variavel], $B$33,
  desp.m.ik[mes], "&gt;="&amp;V$1,
  desp.m.ik[mes], "&lt;"&amp;EOMONTH(V$1,0)+1
)</f>
        <v>0</v>
      </c>
      <c r="W34" s="186">
        <f ca="1">-SUMIFS(
  desp.m.ik[valor],
  desp.m.ik[nucleo], $B34,
  desp.m.ik[variavel], $B$33,
  desp.m.ik[mes], "&gt;="&amp;W$1,
  desp.m.ik[mes], "&lt;"&amp;EOMONTH(W$1,0)+1
)</f>
        <v>0</v>
      </c>
      <c r="X34" s="186">
        <f ca="1">-SUMIFS(
  desp.m.ik[valor],
  desp.m.ik[nucleo], $B34,
  desp.m.ik[variavel], $B$33,
  desp.m.ik[mes], "&gt;="&amp;X$1,
  desp.m.ik[mes], "&lt;"&amp;EOMONTH(X$1,0)+1
)</f>
        <v>0</v>
      </c>
      <c r="Y34" s="186">
        <f ca="1">-SUMIFS(
  desp.m.ik[valor],
  desp.m.ik[nucleo], $B34,
  desp.m.ik[variavel], $B$33,
  desp.m.ik[mes], "&gt;="&amp;Y$1,
  desp.m.ik[mes], "&lt;"&amp;EOMONTH(Y$1,0)+1
)</f>
        <v>0</v>
      </c>
      <c r="Z34" s="186">
        <f ca="1">-SUMIFS(
  desp.m.ik[valor],
  desp.m.ik[nucleo], $B34,
  desp.m.ik[variavel], $B$33,
  desp.m.ik[mes], "&gt;="&amp;Z$1,
  desp.m.ik[mes], "&lt;"&amp;EOMONTH(Z$1,0)+1
)</f>
        <v>0</v>
      </c>
      <c r="AA34" s="186">
        <f ca="1">-SUMIFS(
  desp.m.ik[valor],
  desp.m.ik[nucleo], $B34,
  desp.m.ik[variavel], $B$33,
  desp.m.ik[mes], "&gt;="&amp;AA$1,
  desp.m.ik[mes], "&lt;"&amp;EOMONTH(AA$1,0)+1
)</f>
        <v>0</v>
      </c>
      <c r="AC34" s="178">
        <f t="shared" ca="1" si="3"/>
        <v>0</v>
      </c>
      <c r="AE34" s="178">
        <f t="shared" ca="1" si="1"/>
        <v>0</v>
      </c>
    </row>
    <row r="35" spans="1:31" hidden="1" outlineLevel="2" x14ac:dyDescent="0.25">
      <c r="A35" s="185" t="s">
        <v>536</v>
      </c>
      <c r="B35" s="185" t="s">
        <v>537</v>
      </c>
      <c r="C35" s="138" t="s">
        <v>514</v>
      </c>
      <c r="D35" s="186">
        <f ca="1">-SUMIFS(
  desp.m.ik[valor],
  desp.m.ik[nucleo], $B35,
  desp.m.ik[variavel], $B$33,
  desp.m.ik[mes], "&gt;="&amp;D$1,
  desp.m.ik[mes], "&lt;"&amp;EOMONTH(D$1,0)+1
)</f>
        <v>0</v>
      </c>
      <c r="E35" s="186">
        <f ca="1">-SUMIFS(
  desp.m.ik[valor],
  desp.m.ik[nucleo], $B35,
  desp.m.ik[variavel], $B$33,
  desp.m.ik[mes], "&gt;="&amp;E$1,
  desp.m.ik[mes], "&lt;"&amp;EOMONTH(E$1,0)+1
)</f>
        <v>0</v>
      </c>
      <c r="F35" s="186">
        <f ca="1">-SUMIFS(
  desp.m.ik[valor],
  desp.m.ik[nucleo], $B35,
  desp.m.ik[variavel], $B$33,
  desp.m.ik[mes], "&gt;="&amp;F$1,
  desp.m.ik[mes], "&lt;"&amp;EOMONTH(F$1,0)+1
)</f>
        <v>0</v>
      </c>
      <c r="G35" s="186">
        <f ca="1">-SUMIFS(
  desp.m.ik[valor],
  desp.m.ik[nucleo], $B35,
  desp.m.ik[variavel], $B$33,
  desp.m.ik[mes], "&gt;="&amp;G$1,
  desp.m.ik[mes], "&lt;"&amp;EOMONTH(G$1,0)+1
)</f>
        <v>0</v>
      </c>
      <c r="H35" s="186">
        <f ca="1">-SUMIFS(
  desp.m.ik[valor],
  desp.m.ik[nucleo], $B35,
  desp.m.ik[variavel], $B$33,
  desp.m.ik[mes], "&gt;="&amp;H$1,
  desp.m.ik[mes], "&lt;"&amp;EOMONTH(H$1,0)+1
)</f>
        <v>0</v>
      </c>
      <c r="I35" s="186">
        <f ca="1">-SUMIFS(
  desp.m.ik[valor],
  desp.m.ik[nucleo], $B35,
  desp.m.ik[variavel], $B$33,
  desp.m.ik[mes], "&gt;="&amp;I$1,
  desp.m.ik[mes], "&lt;"&amp;EOMONTH(I$1,0)+1
)</f>
        <v>0</v>
      </c>
      <c r="J35" s="186">
        <f ca="1">-SUMIFS(
  desp.m.ik[valor],
  desp.m.ik[nucleo], $B35,
  desp.m.ik[variavel], $B$33,
  desp.m.ik[mes], "&gt;="&amp;J$1,
  desp.m.ik[mes], "&lt;"&amp;EOMONTH(J$1,0)+1
)</f>
        <v>0</v>
      </c>
      <c r="K35" s="186">
        <f ca="1">-SUMIFS(
  desp.m.ik[valor],
  desp.m.ik[nucleo], $B35,
  desp.m.ik[variavel], $B$33,
  desp.m.ik[mes], "&gt;="&amp;K$1,
  desp.m.ik[mes], "&lt;"&amp;EOMONTH(K$1,0)+1
)</f>
        <v>0</v>
      </c>
      <c r="L35" s="186">
        <f ca="1">-SUMIFS(
  desp.m.ik[valor],
  desp.m.ik[nucleo], $B35,
  desp.m.ik[variavel], $B$33,
  desp.m.ik[mes], "&gt;="&amp;L$1,
  desp.m.ik[mes], "&lt;"&amp;EOMONTH(L$1,0)+1
)</f>
        <v>0</v>
      </c>
      <c r="M35" s="186">
        <f ca="1">-SUMIFS(
  desp.m.ik[valor],
  desp.m.ik[nucleo], $B35,
  desp.m.ik[variavel], $B$33,
  desp.m.ik[mes], "&gt;="&amp;M$1,
  desp.m.ik[mes], "&lt;"&amp;EOMONTH(M$1,0)+1
)</f>
        <v>0</v>
      </c>
      <c r="N35" s="186">
        <f ca="1">-SUMIFS(
  desp.m.ik[valor],
  desp.m.ik[nucleo], $B35,
  desp.m.ik[variavel], $B$33,
  desp.m.ik[mes], "&gt;="&amp;N$1,
  desp.m.ik[mes], "&lt;"&amp;EOMONTH(N$1,0)+1
)</f>
        <v>0</v>
      </c>
      <c r="O35" s="186">
        <f ca="1">-SUMIFS(
  desp.m.ik[valor],
  desp.m.ik[nucleo], $B35,
  desp.m.ik[variavel], $B$33,
  desp.m.ik[mes], "&gt;="&amp;O$1,
  desp.m.ik[mes], "&lt;"&amp;EOMONTH(O$1,0)+1
)</f>
        <v>0</v>
      </c>
      <c r="P35" s="186">
        <f ca="1">-SUMIFS(
  desp.m.ik[valor],
  desp.m.ik[nucleo], $B35,
  desp.m.ik[variavel], $B$33,
  desp.m.ik[mes], "&gt;="&amp;P$1,
  desp.m.ik[mes], "&lt;"&amp;EOMONTH(P$1,0)+1
)</f>
        <v>0</v>
      </c>
      <c r="Q35" s="186">
        <f ca="1">-SUMIFS(
  desp.m.ik[valor],
  desp.m.ik[nucleo], $B35,
  desp.m.ik[variavel], $B$33,
  desp.m.ik[mes], "&gt;="&amp;Q$1,
  desp.m.ik[mes], "&lt;"&amp;EOMONTH(Q$1,0)+1
)</f>
        <v>0</v>
      </c>
      <c r="R35" s="186">
        <f ca="1">-SUMIFS(
  desp.m.ik[valor],
  desp.m.ik[nucleo], $B35,
  desp.m.ik[variavel], $B$33,
  desp.m.ik[mes], "&gt;="&amp;R$1,
  desp.m.ik[mes], "&lt;"&amp;EOMONTH(R$1,0)+1
)</f>
        <v>0</v>
      </c>
      <c r="S35" s="186">
        <f ca="1">-SUMIFS(
  desp.m.ik[valor],
  desp.m.ik[nucleo], $B35,
  desp.m.ik[variavel], $B$33,
  desp.m.ik[mes], "&gt;="&amp;S$1,
  desp.m.ik[mes], "&lt;"&amp;EOMONTH(S$1,0)+1
)</f>
        <v>0</v>
      </c>
      <c r="T35" s="186">
        <f ca="1">-SUMIFS(
  desp.m.ik[valor],
  desp.m.ik[nucleo], $B35,
  desp.m.ik[variavel], $B$33,
  desp.m.ik[mes], "&gt;="&amp;T$1,
  desp.m.ik[mes], "&lt;"&amp;EOMONTH(T$1,0)+1
)</f>
        <v>0</v>
      </c>
      <c r="U35" s="186">
        <f ca="1">-SUMIFS(
  desp.m.ik[valor],
  desp.m.ik[nucleo], $B35,
  desp.m.ik[variavel], $B$33,
  desp.m.ik[mes], "&gt;="&amp;U$1,
  desp.m.ik[mes], "&lt;"&amp;EOMONTH(U$1,0)+1
)</f>
        <v>0</v>
      </c>
      <c r="V35" s="186">
        <f ca="1">-SUMIFS(
  desp.m.ik[valor],
  desp.m.ik[nucleo], $B35,
  desp.m.ik[variavel], $B$33,
  desp.m.ik[mes], "&gt;="&amp;V$1,
  desp.m.ik[mes], "&lt;"&amp;EOMONTH(V$1,0)+1
)</f>
        <v>0</v>
      </c>
      <c r="W35" s="186">
        <f ca="1">-SUMIFS(
  desp.m.ik[valor],
  desp.m.ik[nucleo], $B35,
  desp.m.ik[variavel], $B$33,
  desp.m.ik[mes], "&gt;="&amp;W$1,
  desp.m.ik[mes], "&lt;"&amp;EOMONTH(W$1,0)+1
)</f>
        <v>0</v>
      </c>
      <c r="X35" s="186">
        <f ca="1">-SUMIFS(
  desp.m.ik[valor],
  desp.m.ik[nucleo], $B35,
  desp.m.ik[variavel], $B$33,
  desp.m.ik[mes], "&gt;="&amp;X$1,
  desp.m.ik[mes], "&lt;"&amp;EOMONTH(X$1,0)+1
)</f>
        <v>0</v>
      </c>
      <c r="Y35" s="186">
        <f ca="1">-SUMIFS(
  desp.m.ik[valor],
  desp.m.ik[nucleo], $B35,
  desp.m.ik[variavel], $B$33,
  desp.m.ik[mes], "&gt;="&amp;Y$1,
  desp.m.ik[mes], "&lt;"&amp;EOMONTH(Y$1,0)+1
)</f>
        <v>0</v>
      </c>
      <c r="Z35" s="186">
        <f ca="1">-SUMIFS(
  desp.m.ik[valor],
  desp.m.ik[nucleo], $B35,
  desp.m.ik[variavel], $B$33,
  desp.m.ik[mes], "&gt;="&amp;Z$1,
  desp.m.ik[mes], "&lt;"&amp;EOMONTH(Z$1,0)+1
)</f>
        <v>0</v>
      </c>
      <c r="AA35" s="186">
        <f ca="1">-SUMIFS(
  desp.m.ik[valor],
  desp.m.ik[nucleo], $B35,
  desp.m.ik[variavel], $B$33,
  desp.m.ik[mes], "&gt;="&amp;AA$1,
  desp.m.ik[mes], "&lt;"&amp;EOMONTH(AA$1,0)+1
)</f>
        <v>0</v>
      </c>
      <c r="AC35" s="178">
        <f t="shared" ca="1" si="3"/>
        <v>0</v>
      </c>
      <c r="AE35" s="178">
        <f t="shared" ca="1" si="1"/>
        <v>0</v>
      </c>
    </row>
    <row r="36" spans="1:31" hidden="1" outlineLevel="2" x14ac:dyDescent="0.25">
      <c r="A36" s="185" t="s">
        <v>534</v>
      </c>
      <c r="B36" s="185" t="s">
        <v>535</v>
      </c>
      <c r="C36" s="138" t="s">
        <v>514</v>
      </c>
      <c r="D36" s="186">
        <f ca="1">-SUMIFS(
  desp.m.ik[valor],
  desp.m.ik[nucleo], $B36,
  desp.m.ik[variavel], $B$33,
  desp.m.ik[mes], "&gt;="&amp;D$1,
  desp.m.ik[mes], "&lt;"&amp;EOMONTH(D$1,0)+1
)</f>
        <v>0</v>
      </c>
      <c r="E36" s="186">
        <f ca="1">-SUMIFS(
  desp.m.ik[valor],
  desp.m.ik[nucleo], $B36,
  desp.m.ik[variavel], $B$33,
  desp.m.ik[mes], "&gt;="&amp;E$1,
  desp.m.ik[mes], "&lt;"&amp;EOMONTH(E$1,0)+1
)</f>
        <v>0</v>
      </c>
      <c r="F36" s="186">
        <f ca="1">-SUMIFS(
  desp.m.ik[valor],
  desp.m.ik[nucleo], $B36,
  desp.m.ik[variavel], $B$33,
  desp.m.ik[mes], "&gt;="&amp;F$1,
  desp.m.ik[mes], "&lt;"&amp;EOMONTH(F$1,0)+1
)</f>
        <v>0</v>
      </c>
      <c r="G36" s="186">
        <f ca="1">-SUMIFS(
  desp.m.ik[valor],
  desp.m.ik[nucleo], $B36,
  desp.m.ik[variavel], $B$33,
  desp.m.ik[mes], "&gt;="&amp;G$1,
  desp.m.ik[mes], "&lt;"&amp;EOMONTH(G$1,0)+1
)</f>
        <v>0</v>
      </c>
      <c r="H36" s="186">
        <f ca="1">-SUMIFS(
  desp.m.ik[valor],
  desp.m.ik[nucleo], $B36,
  desp.m.ik[variavel], $B$33,
  desp.m.ik[mes], "&gt;="&amp;H$1,
  desp.m.ik[mes], "&lt;"&amp;EOMONTH(H$1,0)+1
)</f>
        <v>0</v>
      </c>
      <c r="I36" s="186">
        <f ca="1">-SUMIFS(
  desp.m.ik[valor],
  desp.m.ik[nucleo], $B36,
  desp.m.ik[variavel], $B$33,
  desp.m.ik[mes], "&gt;="&amp;I$1,
  desp.m.ik[mes], "&lt;"&amp;EOMONTH(I$1,0)+1
)</f>
        <v>0</v>
      </c>
      <c r="J36" s="186">
        <f ca="1">-SUMIFS(
  desp.m.ik[valor],
  desp.m.ik[nucleo], $B36,
  desp.m.ik[variavel], $B$33,
  desp.m.ik[mes], "&gt;="&amp;J$1,
  desp.m.ik[mes], "&lt;"&amp;EOMONTH(J$1,0)+1
)</f>
        <v>0</v>
      </c>
      <c r="K36" s="186">
        <f ca="1">-SUMIFS(
  desp.m.ik[valor],
  desp.m.ik[nucleo], $B36,
  desp.m.ik[variavel], $B$33,
  desp.m.ik[mes], "&gt;="&amp;K$1,
  desp.m.ik[mes], "&lt;"&amp;EOMONTH(K$1,0)+1
)</f>
        <v>0</v>
      </c>
      <c r="L36" s="186">
        <f ca="1">-SUMIFS(
  desp.m.ik[valor],
  desp.m.ik[nucleo], $B36,
  desp.m.ik[variavel], $B$33,
  desp.m.ik[mes], "&gt;="&amp;L$1,
  desp.m.ik[mes], "&lt;"&amp;EOMONTH(L$1,0)+1
)</f>
        <v>0</v>
      </c>
      <c r="M36" s="186">
        <f ca="1">-SUMIFS(
  desp.m.ik[valor],
  desp.m.ik[nucleo], $B36,
  desp.m.ik[variavel], $B$33,
  desp.m.ik[mes], "&gt;="&amp;M$1,
  desp.m.ik[mes], "&lt;"&amp;EOMONTH(M$1,0)+1
)</f>
        <v>0</v>
      </c>
      <c r="N36" s="186">
        <f ca="1">-SUMIFS(
  desp.m.ik[valor],
  desp.m.ik[nucleo], $B36,
  desp.m.ik[variavel], $B$33,
  desp.m.ik[mes], "&gt;="&amp;N$1,
  desp.m.ik[mes], "&lt;"&amp;EOMONTH(N$1,0)+1
)</f>
        <v>0</v>
      </c>
      <c r="O36" s="186">
        <f ca="1">-SUMIFS(
  desp.m.ik[valor],
  desp.m.ik[nucleo], $B36,
  desp.m.ik[variavel], $B$33,
  desp.m.ik[mes], "&gt;="&amp;O$1,
  desp.m.ik[mes], "&lt;"&amp;EOMONTH(O$1,0)+1
)</f>
        <v>0</v>
      </c>
      <c r="P36" s="186">
        <f ca="1">-SUMIFS(
  desp.m.ik[valor],
  desp.m.ik[nucleo], $B36,
  desp.m.ik[variavel], $B$33,
  desp.m.ik[mes], "&gt;="&amp;P$1,
  desp.m.ik[mes], "&lt;"&amp;EOMONTH(P$1,0)+1
)</f>
        <v>0</v>
      </c>
      <c r="Q36" s="186">
        <f ca="1">-SUMIFS(
  desp.m.ik[valor],
  desp.m.ik[nucleo], $B36,
  desp.m.ik[variavel], $B$33,
  desp.m.ik[mes], "&gt;="&amp;Q$1,
  desp.m.ik[mes], "&lt;"&amp;EOMONTH(Q$1,0)+1
)</f>
        <v>0</v>
      </c>
      <c r="R36" s="186">
        <f ca="1">-SUMIFS(
  desp.m.ik[valor],
  desp.m.ik[nucleo], $B36,
  desp.m.ik[variavel], $B$33,
  desp.m.ik[mes], "&gt;="&amp;R$1,
  desp.m.ik[mes], "&lt;"&amp;EOMONTH(R$1,0)+1
)</f>
        <v>0</v>
      </c>
      <c r="S36" s="186">
        <f ca="1">-SUMIFS(
  desp.m.ik[valor],
  desp.m.ik[nucleo], $B36,
  desp.m.ik[variavel], $B$33,
  desp.m.ik[mes], "&gt;="&amp;S$1,
  desp.m.ik[mes], "&lt;"&amp;EOMONTH(S$1,0)+1
)</f>
        <v>0</v>
      </c>
      <c r="T36" s="186">
        <f ca="1">-SUMIFS(
  desp.m.ik[valor],
  desp.m.ik[nucleo], $B36,
  desp.m.ik[variavel], $B$33,
  desp.m.ik[mes], "&gt;="&amp;T$1,
  desp.m.ik[mes], "&lt;"&amp;EOMONTH(T$1,0)+1
)</f>
        <v>0</v>
      </c>
      <c r="U36" s="186">
        <f ca="1">-SUMIFS(
  desp.m.ik[valor],
  desp.m.ik[nucleo], $B36,
  desp.m.ik[variavel], $B$33,
  desp.m.ik[mes], "&gt;="&amp;U$1,
  desp.m.ik[mes], "&lt;"&amp;EOMONTH(U$1,0)+1
)</f>
        <v>0</v>
      </c>
      <c r="V36" s="186">
        <f ca="1">-SUMIFS(
  desp.m.ik[valor],
  desp.m.ik[nucleo], $B36,
  desp.m.ik[variavel], $B$33,
  desp.m.ik[mes], "&gt;="&amp;V$1,
  desp.m.ik[mes], "&lt;"&amp;EOMONTH(V$1,0)+1
)</f>
        <v>0</v>
      </c>
      <c r="W36" s="186">
        <f ca="1">-SUMIFS(
  desp.m.ik[valor],
  desp.m.ik[nucleo], $B36,
  desp.m.ik[variavel], $B$33,
  desp.m.ik[mes], "&gt;="&amp;W$1,
  desp.m.ik[mes], "&lt;"&amp;EOMONTH(W$1,0)+1
)</f>
        <v>0</v>
      </c>
      <c r="X36" s="186">
        <f ca="1">-SUMIFS(
  desp.m.ik[valor],
  desp.m.ik[nucleo], $B36,
  desp.m.ik[variavel], $B$33,
  desp.m.ik[mes], "&gt;="&amp;X$1,
  desp.m.ik[mes], "&lt;"&amp;EOMONTH(X$1,0)+1
)</f>
        <v>0</v>
      </c>
      <c r="Y36" s="186">
        <f ca="1">-SUMIFS(
  desp.m.ik[valor],
  desp.m.ik[nucleo], $B36,
  desp.m.ik[variavel], $B$33,
  desp.m.ik[mes], "&gt;="&amp;Y$1,
  desp.m.ik[mes], "&lt;"&amp;EOMONTH(Y$1,0)+1
)</f>
        <v>0</v>
      </c>
      <c r="Z36" s="186">
        <f ca="1">-SUMIFS(
  desp.m.ik[valor],
  desp.m.ik[nucleo], $B36,
  desp.m.ik[variavel], $B$33,
  desp.m.ik[mes], "&gt;="&amp;Z$1,
  desp.m.ik[mes], "&lt;"&amp;EOMONTH(Z$1,0)+1
)</f>
        <v>0</v>
      </c>
      <c r="AA36" s="186">
        <f ca="1">-SUMIFS(
  desp.m.ik[valor],
  desp.m.ik[nucleo], $B36,
  desp.m.ik[variavel], $B$33,
  desp.m.ik[mes], "&gt;="&amp;AA$1,
  desp.m.ik[mes], "&lt;"&amp;EOMONTH(AA$1,0)+1
)</f>
        <v>0</v>
      </c>
      <c r="AC36" s="178">
        <f t="shared" ca="1" si="3"/>
        <v>0</v>
      </c>
      <c r="AE36" s="178">
        <f t="shared" ca="1" si="1"/>
        <v>0</v>
      </c>
    </row>
    <row r="37" spans="1:31" hidden="1" outlineLevel="2" x14ac:dyDescent="0.25">
      <c r="A37" s="185" t="s">
        <v>532</v>
      </c>
      <c r="B37" s="185" t="s">
        <v>533</v>
      </c>
      <c r="C37" s="138" t="s">
        <v>514</v>
      </c>
      <c r="D37" s="186">
        <f ca="1">-SUMIFS(
  desp.m.ik[valor],
  desp.m.ik[nucleo], $B37,
  desp.m.ik[variavel], $B$33,
  desp.m.ik[mes], "&gt;="&amp;D$1,
  desp.m.ik[mes], "&lt;"&amp;EOMONTH(D$1,0)+1
)</f>
        <v>0</v>
      </c>
      <c r="E37" s="186">
        <f ca="1">-SUMIFS(
  desp.m.ik[valor],
  desp.m.ik[nucleo], $B37,
  desp.m.ik[variavel], $B$33,
  desp.m.ik[mes], "&gt;="&amp;E$1,
  desp.m.ik[mes], "&lt;"&amp;EOMONTH(E$1,0)+1
)</f>
        <v>0</v>
      </c>
      <c r="F37" s="186">
        <f ca="1">-SUMIFS(
  desp.m.ik[valor],
  desp.m.ik[nucleo], $B37,
  desp.m.ik[variavel], $B$33,
  desp.m.ik[mes], "&gt;="&amp;F$1,
  desp.m.ik[mes], "&lt;"&amp;EOMONTH(F$1,0)+1
)</f>
        <v>0</v>
      </c>
      <c r="G37" s="186">
        <f ca="1">-SUMIFS(
  desp.m.ik[valor],
  desp.m.ik[nucleo], $B37,
  desp.m.ik[variavel], $B$33,
  desp.m.ik[mes], "&gt;="&amp;G$1,
  desp.m.ik[mes], "&lt;"&amp;EOMONTH(G$1,0)+1
)</f>
        <v>0</v>
      </c>
      <c r="H37" s="186">
        <f ca="1">-SUMIFS(
  desp.m.ik[valor],
  desp.m.ik[nucleo], $B37,
  desp.m.ik[variavel], $B$33,
  desp.m.ik[mes], "&gt;="&amp;H$1,
  desp.m.ik[mes], "&lt;"&amp;EOMONTH(H$1,0)+1
)</f>
        <v>0</v>
      </c>
      <c r="I37" s="186">
        <f ca="1">-SUMIFS(
  desp.m.ik[valor],
  desp.m.ik[nucleo], $B37,
  desp.m.ik[variavel], $B$33,
  desp.m.ik[mes], "&gt;="&amp;I$1,
  desp.m.ik[mes], "&lt;"&amp;EOMONTH(I$1,0)+1
)</f>
        <v>0</v>
      </c>
      <c r="J37" s="186">
        <f ca="1">-SUMIFS(
  desp.m.ik[valor],
  desp.m.ik[nucleo], $B37,
  desp.m.ik[variavel], $B$33,
  desp.m.ik[mes], "&gt;="&amp;J$1,
  desp.m.ik[mes], "&lt;"&amp;EOMONTH(J$1,0)+1
)</f>
        <v>0</v>
      </c>
      <c r="K37" s="186">
        <f ca="1">-SUMIFS(
  desp.m.ik[valor],
  desp.m.ik[nucleo], $B37,
  desp.m.ik[variavel], $B$33,
  desp.m.ik[mes], "&gt;="&amp;K$1,
  desp.m.ik[mes], "&lt;"&amp;EOMONTH(K$1,0)+1
)</f>
        <v>0</v>
      </c>
      <c r="L37" s="186">
        <f ca="1">-SUMIFS(
  desp.m.ik[valor],
  desp.m.ik[nucleo], $B37,
  desp.m.ik[variavel], $B$33,
  desp.m.ik[mes], "&gt;="&amp;L$1,
  desp.m.ik[mes], "&lt;"&amp;EOMONTH(L$1,0)+1
)</f>
        <v>0</v>
      </c>
      <c r="M37" s="186">
        <f ca="1">-SUMIFS(
  desp.m.ik[valor],
  desp.m.ik[nucleo], $B37,
  desp.m.ik[variavel], $B$33,
  desp.m.ik[mes], "&gt;="&amp;M$1,
  desp.m.ik[mes], "&lt;"&amp;EOMONTH(M$1,0)+1
)</f>
        <v>0</v>
      </c>
      <c r="N37" s="186">
        <f ca="1">-SUMIFS(
  desp.m.ik[valor],
  desp.m.ik[nucleo], $B37,
  desp.m.ik[variavel], $B$33,
  desp.m.ik[mes], "&gt;="&amp;N$1,
  desp.m.ik[mes], "&lt;"&amp;EOMONTH(N$1,0)+1
)</f>
        <v>0</v>
      </c>
      <c r="O37" s="186">
        <f ca="1">-SUMIFS(
  desp.m.ik[valor],
  desp.m.ik[nucleo], $B37,
  desp.m.ik[variavel], $B$33,
  desp.m.ik[mes], "&gt;="&amp;O$1,
  desp.m.ik[mes], "&lt;"&amp;EOMONTH(O$1,0)+1
)</f>
        <v>0</v>
      </c>
      <c r="P37" s="186">
        <f ca="1">-SUMIFS(
  desp.m.ik[valor],
  desp.m.ik[nucleo], $B37,
  desp.m.ik[variavel], $B$33,
  desp.m.ik[mes], "&gt;="&amp;P$1,
  desp.m.ik[mes], "&lt;"&amp;EOMONTH(P$1,0)+1
)</f>
        <v>0</v>
      </c>
      <c r="Q37" s="186">
        <f ca="1">-SUMIFS(
  desp.m.ik[valor],
  desp.m.ik[nucleo], $B37,
  desp.m.ik[variavel], $B$33,
  desp.m.ik[mes], "&gt;="&amp;Q$1,
  desp.m.ik[mes], "&lt;"&amp;EOMONTH(Q$1,0)+1
)</f>
        <v>0</v>
      </c>
      <c r="R37" s="186">
        <f ca="1">-SUMIFS(
  desp.m.ik[valor],
  desp.m.ik[nucleo], $B37,
  desp.m.ik[variavel], $B$33,
  desp.m.ik[mes], "&gt;="&amp;R$1,
  desp.m.ik[mes], "&lt;"&amp;EOMONTH(R$1,0)+1
)</f>
        <v>0</v>
      </c>
      <c r="S37" s="186">
        <f ca="1">-SUMIFS(
  desp.m.ik[valor],
  desp.m.ik[nucleo], $B37,
  desp.m.ik[variavel], $B$33,
  desp.m.ik[mes], "&gt;="&amp;S$1,
  desp.m.ik[mes], "&lt;"&amp;EOMONTH(S$1,0)+1
)</f>
        <v>0</v>
      </c>
      <c r="T37" s="186">
        <f ca="1">-SUMIFS(
  desp.m.ik[valor],
  desp.m.ik[nucleo], $B37,
  desp.m.ik[variavel], $B$33,
  desp.m.ik[mes], "&gt;="&amp;T$1,
  desp.m.ik[mes], "&lt;"&amp;EOMONTH(T$1,0)+1
)</f>
        <v>0</v>
      </c>
      <c r="U37" s="186">
        <f ca="1">-SUMIFS(
  desp.m.ik[valor],
  desp.m.ik[nucleo], $B37,
  desp.m.ik[variavel], $B$33,
  desp.m.ik[mes], "&gt;="&amp;U$1,
  desp.m.ik[mes], "&lt;"&amp;EOMONTH(U$1,0)+1
)</f>
        <v>0</v>
      </c>
      <c r="V37" s="186">
        <f ca="1">-SUMIFS(
  desp.m.ik[valor],
  desp.m.ik[nucleo], $B37,
  desp.m.ik[variavel], $B$33,
  desp.m.ik[mes], "&gt;="&amp;V$1,
  desp.m.ik[mes], "&lt;"&amp;EOMONTH(V$1,0)+1
)</f>
        <v>0</v>
      </c>
      <c r="W37" s="186">
        <f ca="1">-SUMIFS(
  desp.m.ik[valor],
  desp.m.ik[nucleo], $B37,
  desp.m.ik[variavel], $B$33,
  desp.m.ik[mes], "&gt;="&amp;W$1,
  desp.m.ik[mes], "&lt;"&amp;EOMONTH(W$1,0)+1
)</f>
        <v>0</v>
      </c>
      <c r="X37" s="186">
        <f ca="1">-SUMIFS(
  desp.m.ik[valor],
  desp.m.ik[nucleo], $B37,
  desp.m.ik[variavel], $B$33,
  desp.m.ik[mes], "&gt;="&amp;X$1,
  desp.m.ik[mes], "&lt;"&amp;EOMONTH(X$1,0)+1
)</f>
        <v>0</v>
      </c>
      <c r="Y37" s="186">
        <f ca="1">-SUMIFS(
  desp.m.ik[valor],
  desp.m.ik[nucleo], $B37,
  desp.m.ik[variavel], $B$33,
  desp.m.ik[mes], "&gt;="&amp;Y$1,
  desp.m.ik[mes], "&lt;"&amp;EOMONTH(Y$1,0)+1
)</f>
        <v>0</v>
      </c>
      <c r="Z37" s="186">
        <f ca="1">-SUMIFS(
  desp.m.ik[valor],
  desp.m.ik[nucleo], $B37,
  desp.m.ik[variavel], $B$33,
  desp.m.ik[mes], "&gt;="&amp;Z$1,
  desp.m.ik[mes], "&lt;"&amp;EOMONTH(Z$1,0)+1
)</f>
        <v>0</v>
      </c>
      <c r="AA37" s="186">
        <f ca="1">-SUMIFS(
  desp.m.ik[valor],
  desp.m.ik[nucleo], $B37,
  desp.m.ik[variavel], $B$33,
  desp.m.ik[mes], "&gt;="&amp;AA$1,
  desp.m.ik[mes], "&lt;"&amp;EOMONTH(AA$1,0)+1
)</f>
        <v>0</v>
      </c>
      <c r="AC37" s="178">
        <f t="shared" ca="1" si="3"/>
        <v>0</v>
      </c>
      <c r="AE37" s="178">
        <f t="shared" ca="1" si="1"/>
        <v>0</v>
      </c>
    </row>
    <row r="38" spans="1:31" hidden="1" outlineLevel="2" x14ac:dyDescent="0.25">
      <c r="A38" s="185" t="s">
        <v>540</v>
      </c>
      <c r="B38" s="185" t="s">
        <v>541</v>
      </c>
      <c r="C38" s="138" t="s">
        <v>514</v>
      </c>
      <c r="D38" s="186">
        <f ca="1">-SUMIFS(
  desp.m.ik[valor],
  desp.m.ik[nucleo], $B38,
  desp.m.ik[variavel], $B$33,
  desp.m.ik[mes], "&gt;="&amp;D$1,
  desp.m.ik[mes], "&lt;"&amp;EOMONTH(D$1,0)+1
)</f>
        <v>0</v>
      </c>
      <c r="E38" s="186">
        <f ca="1">-SUMIFS(
  desp.m.ik[valor],
  desp.m.ik[nucleo], $B38,
  desp.m.ik[variavel], $B$33,
  desp.m.ik[mes], "&gt;="&amp;E$1,
  desp.m.ik[mes], "&lt;"&amp;EOMONTH(E$1,0)+1
)</f>
        <v>0</v>
      </c>
      <c r="F38" s="186">
        <f ca="1">-SUMIFS(
  desp.m.ik[valor],
  desp.m.ik[nucleo], $B38,
  desp.m.ik[variavel], $B$33,
  desp.m.ik[mes], "&gt;="&amp;F$1,
  desp.m.ik[mes], "&lt;"&amp;EOMONTH(F$1,0)+1
)</f>
        <v>0</v>
      </c>
      <c r="G38" s="186">
        <f ca="1">-SUMIFS(
  desp.m.ik[valor],
  desp.m.ik[nucleo], $B38,
  desp.m.ik[variavel], $B$33,
  desp.m.ik[mes], "&gt;="&amp;G$1,
  desp.m.ik[mes], "&lt;"&amp;EOMONTH(G$1,0)+1
)</f>
        <v>0</v>
      </c>
      <c r="H38" s="186">
        <f ca="1">-SUMIFS(
  desp.m.ik[valor],
  desp.m.ik[nucleo], $B38,
  desp.m.ik[variavel], $B$33,
  desp.m.ik[mes], "&gt;="&amp;H$1,
  desp.m.ik[mes], "&lt;"&amp;EOMONTH(H$1,0)+1
)</f>
        <v>0</v>
      </c>
      <c r="I38" s="186">
        <f ca="1">-SUMIFS(
  desp.m.ik[valor],
  desp.m.ik[nucleo], $B38,
  desp.m.ik[variavel], $B$33,
  desp.m.ik[mes], "&gt;="&amp;I$1,
  desp.m.ik[mes], "&lt;"&amp;EOMONTH(I$1,0)+1
)</f>
        <v>0</v>
      </c>
      <c r="J38" s="186">
        <f ca="1">-SUMIFS(
  desp.m.ik[valor],
  desp.m.ik[nucleo], $B38,
  desp.m.ik[variavel], $B$33,
  desp.m.ik[mes], "&gt;="&amp;J$1,
  desp.m.ik[mes], "&lt;"&amp;EOMONTH(J$1,0)+1
)</f>
        <v>0</v>
      </c>
      <c r="K38" s="186">
        <f ca="1">-SUMIFS(
  desp.m.ik[valor],
  desp.m.ik[nucleo], $B38,
  desp.m.ik[variavel], $B$33,
  desp.m.ik[mes], "&gt;="&amp;K$1,
  desp.m.ik[mes], "&lt;"&amp;EOMONTH(K$1,0)+1
)</f>
        <v>0</v>
      </c>
      <c r="L38" s="186">
        <f ca="1">-SUMIFS(
  desp.m.ik[valor],
  desp.m.ik[nucleo], $B38,
  desp.m.ik[variavel], $B$33,
  desp.m.ik[mes], "&gt;="&amp;L$1,
  desp.m.ik[mes], "&lt;"&amp;EOMONTH(L$1,0)+1
)</f>
        <v>0</v>
      </c>
      <c r="M38" s="186">
        <f ca="1">-SUMIFS(
  desp.m.ik[valor],
  desp.m.ik[nucleo], $B38,
  desp.m.ik[variavel], $B$33,
  desp.m.ik[mes], "&gt;="&amp;M$1,
  desp.m.ik[mes], "&lt;"&amp;EOMONTH(M$1,0)+1
)</f>
        <v>0</v>
      </c>
      <c r="N38" s="186">
        <f ca="1">-SUMIFS(
  desp.m.ik[valor],
  desp.m.ik[nucleo], $B38,
  desp.m.ik[variavel], $B$33,
  desp.m.ik[mes], "&gt;="&amp;N$1,
  desp.m.ik[mes], "&lt;"&amp;EOMONTH(N$1,0)+1
)</f>
        <v>0</v>
      </c>
      <c r="O38" s="186">
        <f ca="1">-SUMIFS(
  desp.m.ik[valor],
  desp.m.ik[nucleo], $B38,
  desp.m.ik[variavel], $B$33,
  desp.m.ik[mes], "&gt;="&amp;O$1,
  desp.m.ik[mes], "&lt;"&amp;EOMONTH(O$1,0)+1
)</f>
        <v>0</v>
      </c>
      <c r="P38" s="186">
        <f ca="1">-SUMIFS(
  desp.m.ik[valor],
  desp.m.ik[nucleo], $B38,
  desp.m.ik[variavel], $B$33,
  desp.m.ik[mes], "&gt;="&amp;P$1,
  desp.m.ik[mes], "&lt;"&amp;EOMONTH(P$1,0)+1
)</f>
        <v>0</v>
      </c>
      <c r="Q38" s="186">
        <f ca="1">-SUMIFS(
  desp.m.ik[valor],
  desp.m.ik[nucleo], $B38,
  desp.m.ik[variavel], $B$33,
  desp.m.ik[mes], "&gt;="&amp;Q$1,
  desp.m.ik[mes], "&lt;"&amp;EOMONTH(Q$1,0)+1
)</f>
        <v>0</v>
      </c>
      <c r="R38" s="186">
        <f ca="1">-SUMIFS(
  desp.m.ik[valor],
  desp.m.ik[nucleo], $B38,
  desp.m.ik[variavel], $B$33,
  desp.m.ik[mes], "&gt;="&amp;R$1,
  desp.m.ik[mes], "&lt;"&amp;EOMONTH(R$1,0)+1
)</f>
        <v>0</v>
      </c>
      <c r="S38" s="186">
        <f ca="1">-SUMIFS(
  desp.m.ik[valor],
  desp.m.ik[nucleo], $B38,
  desp.m.ik[variavel], $B$33,
  desp.m.ik[mes], "&gt;="&amp;S$1,
  desp.m.ik[mes], "&lt;"&amp;EOMONTH(S$1,0)+1
)</f>
        <v>0</v>
      </c>
      <c r="T38" s="186">
        <f ca="1">-SUMIFS(
  desp.m.ik[valor],
  desp.m.ik[nucleo], $B38,
  desp.m.ik[variavel], $B$33,
  desp.m.ik[mes], "&gt;="&amp;T$1,
  desp.m.ik[mes], "&lt;"&amp;EOMONTH(T$1,0)+1
)</f>
        <v>0</v>
      </c>
      <c r="U38" s="186">
        <f ca="1">-SUMIFS(
  desp.m.ik[valor],
  desp.m.ik[nucleo], $B38,
  desp.m.ik[variavel], $B$33,
  desp.m.ik[mes], "&gt;="&amp;U$1,
  desp.m.ik[mes], "&lt;"&amp;EOMONTH(U$1,0)+1
)</f>
        <v>0</v>
      </c>
      <c r="V38" s="186">
        <f ca="1">-SUMIFS(
  desp.m.ik[valor],
  desp.m.ik[nucleo], $B38,
  desp.m.ik[variavel], $B$33,
  desp.m.ik[mes], "&gt;="&amp;V$1,
  desp.m.ik[mes], "&lt;"&amp;EOMONTH(V$1,0)+1
)</f>
        <v>0</v>
      </c>
      <c r="W38" s="186">
        <f ca="1">-SUMIFS(
  desp.m.ik[valor],
  desp.m.ik[nucleo], $B38,
  desp.m.ik[variavel], $B$33,
  desp.m.ik[mes], "&gt;="&amp;W$1,
  desp.m.ik[mes], "&lt;"&amp;EOMONTH(W$1,0)+1
)</f>
        <v>0</v>
      </c>
      <c r="X38" s="186">
        <f ca="1">-SUMIFS(
  desp.m.ik[valor],
  desp.m.ik[nucleo], $B38,
  desp.m.ik[variavel], $B$33,
  desp.m.ik[mes], "&gt;="&amp;X$1,
  desp.m.ik[mes], "&lt;"&amp;EOMONTH(X$1,0)+1
)</f>
        <v>0</v>
      </c>
      <c r="Y38" s="186">
        <f ca="1">-SUMIFS(
  desp.m.ik[valor],
  desp.m.ik[nucleo], $B38,
  desp.m.ik[variavel], $B$33,
  desp.m.ik[mes], "&gt;="&amp;Y$1,
  desp.m.ik[mes], "&lt;"&amp;EOMONTH(Y$1,0)+1
)</f>
        <v>0</v>
      </c>
      <c r="Z38" s="186">
        <f ca="1">-SUMIFS(
  desp.m.ik[valor],
  desp.m.ik[nucleo], $B38,
  desp.m.ik[variavel], $B$33,
  desp.m.ik[mes], "&gt;="&amp;Z$1,
  desp.m.ik[mes], "&lt;"&amp;EOMONTH(Z$1,0)+1
)</f>
        <v>0</v>
      </c>
      <c r="AA38" s="186">
        <f ca="1">-SUMIFS(
  desp.m.ik[valor],
  desp.m.ik[nucleo], $B38,
  desp.m.ik[variavel], $B$33,
  desp.m.ik[mes], "&gt;="&amp;AA$1,
  desp.m.ik[mes], "&lt;"&amp;EOMONTH(AA$1,0)+1
)</f>
        <v>0</v>
      </c>
      <c r="AC38" s="178">
        <f t="shared" ca="1" si="3"/>
        <v>0</v>
      </c>
      <c r="AE38" s="178">
        <f ca="1">SUM(D38:AA38)</f>
        <v>0</v>
      </c>
    </row>
    <row r="39" spans="1:31" hidden="1" outlineLevel="2" x14ac:dyDescent="0.25">
      <c r="A39" s="185" t="s">
        <v>538</v>
      </c>
      <c r="B39" s="185" t="s">
        <v>539</v>
      </c>
      <c r="C39" s="138" t="s">
        <v>514</v>
      </c>
      <c r="D39" s="186">
        <f ca="1">-SUMIFS(
  desp.m.ik[valor],
  desp.m.ik[nucleo], $B39,
  desp.m.ik[variavel], $B$33,
  desp.m.ik[mes], "&gt;="&amp;D$1,
  desp.m.ik[mes], "&lt;"&amp;EOMONTH(D$1,0)+1
)</f>
        <v>0</v>
      </c>
      <c r="E39" s="186">
        <f ca="1">-SUMIFS(
  desp.m.ik[valor],
  desp.m.ik[nucleo], $B39,
  desp.m.ik[variavel], $B$33,
  desp.m.ik[mes], "&gt;="&amp;E$1,
  desp.m.ik[mes], "&lt;"&amp;EOMONTH(E$1,0)+1
)</f>
        <v>0</v>
      </c>
      <c r="F39" s="186">
        <f ca="1">-SUMIFS(
  desp.m.ik[valor],
  desp.m.ik[nucleo], $B39,
  desp.m.ik[variavel], $B$33,
  desp.m.ik[mes], "&gt;="&amp;F$1,
  desp.m.ik[mes], "&lt;"&amp;EOMONTH(F$1,0)+1
)</f>
        <v>0</v>
      </c>
      <c r="G39" s="186">
        <f ca="1">-SUMIFS(
  desp.m.ik[valor],
  desp.m.ik[nucleo], $B39,
  desp.m.ik[variavel], $B$33,
  desp.m.ik[mes], "&gt;="&amp;G$1,
  desp.m.ik[mes], "&lt;"&amp;EOMONTH(G$1,0)+1
)</f>
        <v>0</v>
      </c>
      <c r="H39" s="186">
        <f ca="1">-SUMIFS(
  desp.m.ik[valor],
  desp.m.ik[nucleo], $B39,
  desp.m.ik[variavel], $B$33,
  desp.m.ik[mes], "&gt;="&amp;H$1,
  desp.m.ik[mes], "&lt;"&amp;EOMONTH(H$1,0)+1
)</f>
        <v>0</v>
      </c>
      <c r="I39" s="186">
        <f ca="1">-SUMIFS(
  desp.m.ik[valor],
  desp.m.ik[nucleo], $B39,
  desp.m.ik[variavel], $B$33,
  desp.m.ik[mes], "&gt;="&amp;I$1,
  desp.m.ik[mes], "&lt;"&amp;EOMONTH(I$1,0)+1
)</f>
        <v>0</v>
      </c>
      <c r="J39" s="186">
        <f ca="1">-SUMIFS(
  desp.m.ik[valor],
  desp.m.ik[nucleo], $B39,
  desp.m.ik[variavel], $B$33,
  desp.m.ik[mes], "&gt;="&amp;J$1,
  desp.m.ik[mes], "&lt;"&amp;EOMONTH(J$1,0)+1
)</f>
        <v>0</v>
      </c>
      <c r="K39" s="186">
        <f ca="1">-SUMIFS(
  desp.m.ik[valor],
  desp.m.ik[nucleo], $B39,
  desp.m.ik[variavel], $B$33,
  desp.m.ik[mes], "&gt;="&amp;K$1,
  desp.m.ik[mes], "&lt;"&amp;EOMONTH(K$1,0)+1
)</f>
        <v>0</v>
      </c>
      <c r="L39" s="186">
        <f ca="1">-SUMIFS(
  desp.m.ik[valor],
  desp.m.ik[nucleo], $B39,
  desp.m.ik[variavel], $B$33,
  desp.m.ik[mes], "&gt;="&amp;L$1,
  desp.m.ik[mes], "&lt;"&amp;EOMONTH(L$1,0)+1
)</f>
        <v>0</v>
      </c>
      <c r="M39" s="186">
        <f ca="1">-SUMIFS(
  desp.m.ik[valor],
  desp.m.ik[nucleo], $B39,
  desp.m.ik[variavel], $B$33,
  desp.m.ik[mes], "&gt;="&amp;M$1,
  desp.m.ik[mes], "&lt;"&amp;EOMONTH(M$1,0)+1
)</f>
        <v>0</v>
      </c>
      <c r="N39" s="186">
        <f ca="1">-SUMIFS(
  desp.m.ik[valor],
  desp.m.ik[nucleo], $B39,
  desp.m.ik[variavel], $B$33,
  desp.m.ik[mes], "&gt;="&amp;N$1,
  desp.m.ik[mes], "&lt;"&amp;EOMONTH(N$1,0)+1
)</f>
        <v>0</v>
      </c>
      <c r="O39" s="186">
        <f ca="1">-SUMIFS(
  desp.m.ik[valor],
  desp.m.ik[nucleo], $B39,
  desp.m.ik[variavel], $B$33,
  desp.m.ik[mes], "&gt;="&amp;O$1,
  desp.m.ik[mes], "&lt;"&amp;EOMONTH(O$1,0)+1
)</f>
        <v>0</v>
      </c>
      <c r="P39" s="186">
        <f ca="1">-SUMIFS(
  desp.m.ik[valor],
  desp.m.ik[nucleo], $B39,
  desp.m.ik[variavel], $B$33,
  desp.m.ik[mes], "&gt;="&amp;P$1,
  desp.m.ik[mes], "&lt;"&amp;EOMONTH(P$1,0)+1
)</f>
        <v>0</v>
      </c>
      <c r="Q39" s="186">
        <f ca="1">-SUMIFS(
  desp.m.ik[valor],
  desp.m.ik[nucleo], $B39,
  desp.m.ik[variavel], $B$33,
  desp.m.ik[mes], "&gt;="&amp;Q$1,
  desp.m.ik[mes], "&lt;"&amp;EOMONTH(Q$1,0)+1
)</f>
        <v>0</v>
      </c>
      <c r="R39" s="186">
        <f ca="1">-SUMIFS(
  desp.m.ik[valor],
  desp.m.ik[nucleo], $B39,
  desp.m.ik[variavel], $B$33,
  desp.m.ik[mes], "&gt;="&amp;R$1,
  desp.m.ik[mes], "&lt;"&amp;EOMONTH(R$1,0)+1
)</f>
        <v>0</v>
      </c>
      <c r="S39" s="186">
        <f ca="1">-SUMIFS(
  desp.m.ik[valor],
  desp.m.ik[nucleo], $B39,
  desp.m.ik[variavel], $B$33,
  desp.m.ik[mes], "&gt;="&amp;S$1,
  desp.m.ik[mes], "&lt;"&amp;EOMONTH(S$1,0)+1
)</f>
        <v>0</v>
      </c>
      <c r="T39" s="186">
        <f ca="1">-SUMIFS(
  desp.m.ik[valor],
  desp.m.ik[nucleo], $B39,
  desp.m.ik[variavel], $B$33,
  desp.m.ik[mes], "&gt;="&amp;T$1,
  desp.m.ik[mes], "&lt;"&amp;EOMONTH(T$1,0)+1
)</f>
        <v>0</v>
      </c>
      <c r="U39" s="186">
        <f ca="1">-SUMIFS(
  desp.m.ik[valor],
  desp.m.ik[nucleo], $B39,
  desp.m.ik[variavel], $B$33,
  desp.m.ik[mes], "&gt;="&amp;U$1,
  desp.m.ik[mes], "&lt;"&amp;EOMONTH(U$1,0)+1
)</f>
        <v>0</v>
      </c>
      <c r="V39" s="186">
        <f ca="1">-SUMIFS(
  desp.m.ik[valor],
  desp.m.ik[nucleo], $B39,
  desp.m.ik[variavel], $B$33,
  desp.m.ik[mes], "&gt;="&amp;V$1,
  desp.m.ik[mes], "&lt;"&amp;EOMONTH(V$1,0)+1
)</f>
        <v>0</v>
      </c>
      <c r="W39" s="186">
        <f ca="1">-SUMIFS(
  desp.m.ik[valor],
  desp.m.ik[nucleo], $B39,
  desp.m.ik[variavel], $B$33,
  desp.m.ik[mes], "&gt;="&amp;W$1,
  desp.m.ik[mes], "&lt;"&amp;EOMONTH(W$1,0)+1
)</f>
        <v>0</v>
      </c>
      <c r="X39" s="186">
        <f ca="1">-SUMIFS(
  desp.m.ik[valor],
  desp.m.ik[nucleo], $B39,
  desp.m.ik[variavel], $B$33,
  desp.m.ik[mes], "&gt;="&amp;X$1,
  desp.m.ik[mes], "&lt;"&amp;EOMONTH(X$1,0)+1
)</f>
        <v>0</v>
      </c>
      <c r="Y39" s="186">
        <f ca="1">-SUMIFS(
  desp.m.ik[valor],
  desp.m.ik[nucleo], $B39,
  desp.m.ik[variavel], $B$33,
  desp.m.ik[mes], "&gt;="&amp;Y$1,
  desp.m.ik[mes], "&lt;"&amp;EOMONTH(Y$1,0)+1
)</f>
        <v>0</v>
      </c>
      <c r="Z39" s="186">
        <f ca="1">-SUMIFS(
  desp.m.ik[valor],
  desp.m.ik[nucleo], $B39,
  desp.m.ik[variavel], $B$33,
  desp.m.ik[mes], "&gt;="&amp;Z$1,
  desp.m.ik[mes], "&lt;"&amp;EOMONTH(Z$1,0)+1
)</f>
        <v>0</v>
      </c>
      <c r="AA39" s="186">
        <f ca="1">-SUMIFS(
  desp.m.ik[valor],
  desp.m.ik[nucleo], $B39,
  desp.m.ik[variavel], $B$33,
  desp.m.ik[mes], "&gt;="&amp;AA$1,
  desp.m.ik[mes], "&lt;"&amp;EOMONTH(AA$1,0)+1
)</f>
        <v>0</v>
      </c>
      <c r="AC39" s="178">
        <f t="shared" ca="1" si="3"/>
        <v>0</v>
      </c>
      <c r="AE39" s="178">
        <f t="shared" ca="1" si="1"/>
        <v>0</v>
      </c>
    </row>
    <row r="40" spans="1:31" hidden="1" outlineLevel="2" x14ac:dyDescent="0.25">
      <c r="A40" s="185" t="s">
        <v>542</v>
      </c>
      <c r="B40" s="185" t="s">
        <v>1040</v>
      </c>
      <c r="C40" s="138" t="s">
        <v>514</v>
      </c>
      <c r="D40" s="186">
        <f ca="1">-SUMIFS(
  desp.m.ik[valor],
  desp.m.ik[nucleo], $B40,
  desp.m.ik[variavel], $B$33,
  desp.m.ik[mes], "&gt;="&amp;D$1,
  desp.m.ik[mes], "&lt;"&amp;EOMONTH(D$1,0)+1
)</f>
        <v>0</v>
      </c>
      <c r="E40" s="186">
        <f ca="1">-SUMIFS(
  desp.m.ik[valor],
  desp.m.ik[nucleo], $B40,
  desp.m.ik[variavel], $B$33,
  desp.m.ik[mes], "&gt;="&amp;E$1,
  desp.m.ik[mes], "&lt;"&amp;EOMONTH(E$1,0)+1
)</f>
        <v>0</v>
      </c>
      <c r="F40" s="186">
        <f ca="1">-SUMIFS(
  desp.m.ik[valor],
  desp.m.ik[nucleo], $B40,
  desp.m.ik[variavel], $B$33,
  desp.m.ik[mes], "&gt;="&amp;F$1,
  desp.m.ik[mes], "&lt;"&amp;EOMONTH(F$1,0)+1
)</f>
        <v>0</v>
      </c>
      <c r="G40" s="186">
        <f ca="1">-SUMIFS(
  desp.m.ik[valor],
  desp.m.ik[nucleo], $B40,
  desp.m.ik[variavel], $B$33,
  desp.m.ik[mes], "&gt;="&amp;G$1,
  desp.m.ik[mes], "&lt;"&amp;EOMONTH(G$1,0)+1
)</f>
        <v>0</v>
      </c>
      <c r="H40" s="186">
        <f ca="1">-SUMIFS(
  desp.m.ik[valor],
  desp.m.ik[nucleo], $B40,
  desp.m.ik[variavel], $B$33,
  desp.m.ik[mes], "&gt;="&amp;H$1,
  desp.m.ik[mes], "&lt;"&amp;EOMONTH(H$1,0)+1
)</f>
        <v>0</v>
      </c>
      <c r="I40" s="186">
        <f ca="1">-SUMIFS(
  desp.m.ik[valor],
  desp.m.ik[nucleo], $B40,
  desp.m.ik[variavel], $B$33,
  desp.m.ik[mes], "&gt;="&amp;I$1,
  desp.m.ik[mes], "&lt;"&amp;EOMONTH(I$1,0)+1
)</f>
        <v>0</v>
      </c>
      <c r="J40" s="186">
        <f ca="1">-SUMIFS(
  desp.m.ik[valor],
  desp.m.ik[nucleo], $B40,
  desp.m.ik[variavel], $B$33,
  desp.m.ik[mes], "&gt;="&amp;J$1,
  desp.m.ik[mes], "&lt;"&amp;EOMONTH(J$1,0)+1
)</f>
        <v>0</v>
      </c>
      <c r="K40" s="186">
        <f ca="1">-SUMIFS(
  desp.m.ik[valor],
  desp.m.ik[nucleo], $B40,
  desp.m.ik[variavel], $B$33,
  desp.m.ik[mes], "&gt;="&amp;K$1,
  desp.m.ik[mes], "&lt;"&amp;EOMONTH(K$1,0)+1
)</f>
        <v>0</v>
      </c>
      <c r="L40" s="186">
        <f ca="1">-SUMIFS(
  desp.m.ik[valor],
  desp.m.ik[nucleo], $B40,
  desp.m.ik[variavel], $B$33,
  desp.m.ik[mes], "&gt;="&amp;L$1,
  desp.m.ik[mes], "&lt;"&amp;EOMONTH(L$1,0)+1
)</f>
        <v>0</v>
      </c>
      <c r="M40" s="186">
        <f ca="1">-SUMIFS(
  desp.m.ik[valor],
  desp.m.ik[nucleo], $B40,
  desp.m.ik[variavel], $B$33,
  desp.m.ik[mes], "&gt;="&amp;M$1,
  desp.m.ik[mes], "&lt;"&amp;EOMONTH(M$1,0)+1
)</f>
        <v>0</v>
      </c>
      <c r="N40" s="186">
        <f ca="1">-SUMIFS(
  desp.m.ik[valor],
  desp.m.ik[nucleo], $B40,
  desp.m.ik[variavel], $B$33,
  desp.m.ik[mes], "&gt;="&amp;N$1,
  desp.m.ik[mes], "&lt;"&amp;EOMONTH(N$1,0)+1
)</f>
        <v>0</v>
      </c>
      <c r="O40" s="186">
        <f ca="1">-SUMIFS(
  desp.m.ik[valor],
  desp.m.ik[nucleo], $B40,
  desp.m.ik[variavel], $B$33,
  desp.m.ik[mes], "&gt;="&amp;O$1,
  desp.m.ik[mes], "&lt;"&amp;EOMONTH(O$1,0)+1
)</f>
        <v>0</v>
      </c>
      <c r="P40" s="186">
        <f ca="1">-SUMIFS(
  desp.m.ik[valor],
  desp.m.ik[nucleo], $B40,
  desp.m.ik[variavel], $B$33,
  desp.m.ik[mes], "&gt;="&amp;P$1,
  desp.m.ik[mes], "&lt;"&amp;EOMONTH(P$1,0)+1
)</f>
        <v>0</v>
      </c>
      <c r="Q40" s="186">
        <f ca="1">-SUMIFS(
  desp.m.ik[valor],
  desp.m.ik[nucleo], $B40,
  desp.m.ik[variavel], $B$33,
  desp.m.ik[mes], "&gt;="&amp;Q$1,
  desp.m.ik[mes], "&lt;"&amp;EOMONTH(Q$1,0)+1
)</f>
        <v>0</v>
      </c>
      <c r="R40" s="186">
        <f ca="1">-SUMIFS(
  desp.m.ik[valor],
  desp.m.ik[nucleo], $B40,
  desp.m.ik[variavel], $B$33,
  desp.m.ik[mes], "&gt;="&amp;R$1,
  desp.m.ik[mes], "&lt;"&amp;EOMONTH(R$1,0)+1
)</f>
        <v>0</v>
      </c>
      <c r="S40" s="186">
        <f ca="1">-SUMIFS(
  desp.m.ik[valor],
  desp.m.ik[nucleo], $B40,
  desp.m.ik[variavel], $B$33,
  desp.m.ik[mes], "&gt;="&amp;S$1,
  desp.m.ik[mes], "&lt;"&amp;EOMONTH(S$1,0)+1
)</f>
        <v>0</v>
      </c>
      <c r="T40" s="186">
        <f ca="1">-SUMIFS(
  desp.m.ik[valor],
  desp.m.ik[nucleo], $B40,
  desp.m.ik[variavel], $B$33,
  desp.m.ik[mes], "&gt;="&amp;T$1,
  desp.m.ik[mes], "&lt;"&amp;EOMONTH(T$1,0)+1
)</f>
        <v>0</v>
      </c>
      <c r="U40" s="186">
        <f ca="1">-SUMIFS(
  desp.m.ik[valor],
  desp.m.ik[nucleo], $B40,
  desp.m.ik[variavel], $B$33,
  desp.m.ik[mes], "&gt;="&amp;U$1,
  desp.m.ik[mes], "&lt;"&amp;EOMONTH(U$1,0)+1
)</f>
        <v>0</v>
      </c>
      <c r="V40" s="186">
        <f ca="1">-SUMIFS(
  desp.m.ik[valor],
  desp.m.ik[nucleo], $B40,
  desp.m.ik[variavel], $B$33,
  desp.m.ik[mes], "&gt;="&amp;V$1,
  desp.m.ik[mes], "&lt;"&amp;EOMONTH(V$1,0)+1
)</f>
        <v>0</v>
      </c>
      <c r="W40" s="186">
        <f ca="1">-SUMIFS(
  desp.m.ik[valor],
  desp.m.ik[nucleo], $B40,
  desp.m.ik[variavel], $B$33,
  desp.m.ik[mes], "&gt;="&amp;W$1,
  desp.m.ik[mes], "&lt;"&amp;EOMONTH(W$1,0)+1
)</f>
        <v>0</v>
      </c>
      <c r="X40" s="186">
        <f ca="1">-SUMIFS(
  desp.m.ik[valor],
  desp.m.ik[nucleo], $B40,
  desp.m.ik[variavel], $B$33,
  desp.m.ik[mes], "&gt;="&amp;X$1,
  desp.m.ik[mes], "&lt;"&amp;EOMONTH(X$1,0)+1
)</f>
        <v>0</v>
      </c>
      <c r="Y40" s="186">
        <f ca="1">-SUMIFS(
  desp.m.ik[valor],
  desp.m.ik[nucleo], $B40,
  desp.m.ik[variavel], $B$33,
  desp.m.ik[mes], "&gt;="&amp;Y$1,
  desp.m.ik[mes], "&lt;"&amp;EOMONTH(Y$1,0)+1
)</f>
        <v>0</v>
      </c>
      <c r="Z40" s="186">
        <f ca="1">-SUMIFS(
  desp.m.ik[valor],
  desp.m.ik[nucleo], $B40,
  desp.m.ik[variavel], $B$33,
  desp.m.ik[mes], "&gt;="&amp;Z$1,
  desp.m.ik[mes], "&lt;"&amp;EOMONTH(Z$1,0)+1
)</f>
        <v>0</v>
      </c>
      <c r="AA40" s="186">
        <f ca="1">-SUMIFS(
  desp.m.ik[valor],
  desp.m.ik[nucleo], $B40,
  desp.m.ik[variavel], $B$33,
  desp.m.ik[mes], "&gt;="&amp;AA$1,
  desp.m.ik[mes], "&lt;"&amp;EOMONTH(AA$1,0)+1
)</f>
        <v>0</v>
      </c>
      <c r="AC40" s="178">
        <f t="shared" ca="1" si="3"/>
        <v>0</v>
      </c>
      <c r="AE40" s="178">
        <f t="shared" ca="1" si="1"/>
        <v>0</v>
      </c>
    </row>
    <row r="41" spans="1:31" hidden="1" outlineLevel="2" x14ac:dyDescent="0.25">
      <c r="A41" s="185" t="s">
        <v>545</v>
      </c>
      <c r="B41" s="185" t="s">
        <v>546</v>
      </c>
      <c r="C41" s="138" t="s">
        <v>514</v>
      </c>
      <c r="D41" s="186">
        <f ca="1">-SUMIFS(
  desp.m.ik[valor],
  desp.m.ik[nucleo], $B41,
  desp.m.ik[variavel], $B$33,
  desp.m.ik[mes], "&gt;="&amp;D$1,
  desp.m.ik[mes], "&lt;"&amp;EOMONTH(D$1,0)+1
)</f>
        <v>0</v>
      </c>
      <c r="E41" s="186">
        <f ca="1">-SUMIFS(
  desp.m.ik[valor],
  desp.m.ik[nucleo], $B41,
  desp.m.ik[variavel], $B$33,
  desp.m.ik[mes], "&gt;="&amp;E$1,
  desp.m.ik[mes], "&lt;"&amp;EOMONTH(E$1,0)+1
)</f>
        <v>0</v>
      </c>
      <c r="F41" s="186">
        <f ca="1">-SUMIFS(
  desp.m.ik[valor],
  desp.m.ik[nucleo], $B41,
  desp.m.ik[variavel], $B$33,
  desp.m.ik[mes], "&gt;="&amp;F$1,
  desp.m.ik[mes], "&lt;"&amp;EOMONTH(F$1,0)+1
)</f>
        <v>0</v>
      </c>
      <c r="G41" s="186">
        <f ca="1">-SUMIFS(
  desp.m.ik[valor],
  desp.m.ik[nucleo], $B41,
  desp.m.ik[variavel], $B$33,
  desp.m.ik[mes], "&gt;="&amp;G$1,
  desp.m.ik[mes], "&lt;"&amp;EOMONTH(G$1,0)+1
)</f>
        <v>0</v>
      </c>
      <c r="H41" s="186">
        <f ca="1">-SUMIFS(
  desp.m.ik[valor],
  desp.m.ik[nucleo], $B41,
  desp.m.ik[variavel], $B$33,
  desp.m.ik[mes], "&gt;="&amp;H$1,
  desp.m.ik[mes], "&lt;"&amp;EOMONTH(H$1,0)+1
)</f>
        <v>0</v>
      </c>
      <c r="I41" s="186">
        <f ca="1">-SUMIFS(
  desp.m.ik[valor],
  desp.m.ik[nucleo], $B41,
  desp.m.ik[variavel], $B$33,
  desp.m.ik[mes], "&gt;="&amp;I$1,
  desp.m.ik[mes], "&lt;"&amp;EOMONTH(I$1,0)+1
)</f>
        <v>0</v>
      </c>
      <c r="J41" s="186">
        <f ca="1">-SUMIFS(
  desp.m.ik[valor],
  desp.m.ik[nucleo], $B41,
  desp.m.ik[variavel], $B$33,
  desp.m.ik[mes], "&gt;="&amp;J$1,
  desp.m.ik[mes], "&lt;"&amp;EOMONTH(J$1,0)+1
)</f>
        <v>0</v>
      </c>
      <c r="K41" s="186">
        <f ca="1">-SUMIFS(
  desp.m.ik[valor],
  desp.m.ik[nucleo], $B41,
  desp.m.ik[variavel], $B$33,
  desp.m.ik[mes], "&gt;="&amp;K$1,
  desp.m.ik[mes], "&lt;"&amp;EOMONTH(K$1,0)+1
)</f>
        <v>0</v>
      </c>
      <c r="L41" s="186">
        <f ca="1">-SUMIFS(
  desp.m.ik[valor],
  desp.m.ik[nucleo], $B41,
  desp.m.ik[variavel], $B$33,
  desp.m.ik[mes], "&gt;="&amp;L$1,
  desp.m.ik[mes], "&lt;"&amp;EOMONTH(L$1,0)+1
)</f>
        <v>0</v>
      </c>
      <c r="M41" s="186">
        <f ca="1">-SUMIFS(
  desp.m.ik[valor],
  desp.m.ik[nucleo], $B41,
  desp.m.ik[variavel], $B$33,
  desp.m.ik[mes], "&gt;="&amp;M$1,
  desp.m.ik[mes], "&lt;"&amp;EOMONTH(M$1,0)+1
)</f>
        <v>0</v>
      </c>
      <c r="N41" s="186">
        <f ca="1">-SUMIFS(
  desp.m.ik[valor],
  desp.m.ik[nucleo], $B41,
  desp.m.ik[variavel], $B$33,
  desp.m.ik[mes], "&gt;="&amp;N$1,
  desp.m.ik[mes], "&lt;"&amp;EOMONTH(N$1,0)+1
)</f>
        <v>0</v>
      </c>
      <c r="O41" s="186">
        <f ca="1">-SUMIFS(
  desp.m.ik[valor],
  desp.m.ik[nucleo], $B41,
  desp.m.ik[variavel], $B$33,
  desp.m.ik[mes], "&gt;="&amp;O$1,
  desp.m.ik[mes], "&lt;"&amp;EOMONTH(O$1,0)+1
)</f>
        <v>0</v>
      </c>
      <c r="P41" s="186">
        <f ca="1">-SUMIFS(
  desp.m.ik[valor],
  desp.m.ik[nucleo], $B41,
  desp.m.ik[variavel], $B$33,
  desp.m.ik[mes], "&gt;="&amp;P$1,
  desp.m.ik[mes], "&lt;"&amp;EOMONTH(P$1,0)+1
)</f>
        <v>0</v>
      </c>
      <c r="Q41" s="186">
        <f ca="1">-SUMIFS(
  desp.m.ik[valor],
  desp.m.ik[nucleo], $B41,
  desp.m.ik[variavel], $B$33,
  desp.m.ik[mes], "&gt;="&amp;Q$1,
  desp.m.ik[mes], "&lt;"&amp;EOMONTH(Q$1,0)+1
)</f>
        <v>0</v>
      </c>
      <c r="R41" s="186">
        <f ca="1">-SUMIFS(
  desp.m.ik[valor],
  desp.m.ik[nucleo], $B41,
  desp.m.ik[variavel], $B$33,
  desp.m.ik[mes], "&gt;="&amp;R$1,
  desp.m.ik[mes], "&lt;"&amp;EOMONTH(R$1,0)+1
)</f>
        <v>0</v>
      </c>
      <c r="S41" s="186">
        <f ca="1">-SUMIFS(
  desp.m.ik[valor],
  desp.m.ik[nucleo], $B41,
  desp.m.ik[variavel], $B$33,
  desp.m.ik[mes], "&gt;="&amp;S$1,
  desp.m.ik[mes], "&lt;"&amp;EOMONTH(S$1,0)+1
)</f>
        <v>0</v>
      </c>
      <c r="T41" s="186">
        <f ca="1">-SUMIFS(
  desp.m.ik[valor],
  desp.m.ik[nucleo], $B41,
  desp.m.ik[variavel], $B$33,
  desp.m.ik[mes], "&gt;="&amp;T$1,
  desp.m.ik[mes], "&lt;"&amp;EOMONTH(T$1,0)+1
)</f>
        <v>0</v>
      </c>
      <c r="U41" s="186">
        <f ca="1">-SUMIFS(
  desp.m.ik[valor],
  desp.m.ik[nucleo], $B41,
  desp.m.ik[variavel], $B$33,
  desp.m.ik[mes], "&gt;="&amp;U$1,
  desp.m.ik[mes], "&lt;"&amp;EOMONTH(U$1,0)+1
)</f>
        <v>0</v>
      </c>
      <c r="V41" s="186">
        <f ca="1">-SUMIFS(
  desp.m.ik[valor],
  desp.m.ik[nucleo], $B41,
  desp.m.ik[variavel], $B$33,
  desp.m.ik[mes], "&gt;="&amp;V$1,
  desp.m.ik[mes], "&lt;"&amp;EOMONTH(V$1,0)+1
)</f>
        <v>0</v>
      </c>
      <c r="W41" s="186">
        <f ca="1">-SUMIFS(
  desp.m.ik[valor],
  desp.m.ik[nucleo], $B41,
  desp.m.ik[variavel], $B$33,
  desp.m.ik[mes], "&gt;="&amp;W$1,
  desp.m.ik[mes], "&lt;"&amp;EOMONTH(W$1,0)+1
)</f>
        <v>0</v>
      </c>
      <c r="X41" s="186">
        <f ca="1">-SUMIFS(
  desp.m.ik[valor],
  desp.m.ik[nucleo], $B41,
  desp.m.ik[variavel], $B$33,
  desp.m.ik[mes], "&gt;="&amp;X$1,
  desp.m.ik[mes], "&lt;"&amp;EOMONTH(X$1,0)+1
)</f>
        <v>0</v>
      </c>
      <c r="Y41" s="186">
        <f ca="1">-SUMIFS(
  desp.m.ik[valor],
  desp.m.ik[nucleo], $B41,
  desp.m.ik[variavel], $B$33,
  desp.m.ik[mes], "&gt;="&amp;Y$1,
  desp.m.ik[mes], "&lt;"&amp;EOMONTH(Y$1,0)+1
)</f>
        <v>0</v>
      </c>
      <c r="Z41" s="186">
        <f ca="1">-SUMIFS(
  desp.m.ik[valor],
  desp.m.ik[nucleo], $B41,
  desp.m.ik[variavel], $B$33,
  desp.m.ik[mes], "&gt;="&amp;Z$1,
  desp.m.ik[mes], "&lt;"&amp;EOMONTH(Z$1,0)+1
)</f>
        <v>0</v>
      </c>
      <c r="AA41" s="186">
        <f ca="1">-SUMIFS(
  desp.m.ik[valor],
  desp.m.ik[nucleo], $B41,
  desp.m.ik[variavel], $B$33,
  desp.m.ik[mes], "&gt;="&amp;AA$1,
  desp.m.ik[mes], "&lt;"&amp;EOMONTH(AA$1,0)+1
)</f>
        <v>0</v>
      </c>
      <c r="AC41" s="178">
        <f t="shared" ca="1" si="3"/>
        <v>0</v>
      </c>
      <c r="AE41" s="178">
        <f ca="1">SUM(D41:AA41)</f>
        <v>0</v>
      </c>
    </row>
    <row r="42" spans="1:31" hidden="1" outlineLevel="2" x14ac:dyDescent="0.25">
      <c r="A42" s="185" t="s">
        <v>543</v>
      </c>
      <c r="B42" s="185" t="s">
        <v>544</v>
      </c>
      <c r="C42" s="138" t="s">
        <v>514</v>
      </c>
      <c r="D42" s="186">
        <f ca="1">-SUMIFS(
  desp.m.ik[valor],
  desp.m.ik[nucleo], $B42,
  desp.m.ik[variavel], $B$33,
  desp.m.ik[mes], "&gt;="&amp;D$1,
  desp.m.ik[mes], "&lt;"&amp;EOMONTH(D$1,0)+1
)</f>
        <v>0</v>
      </c>
      <c r="E42" s="186">
        <f ca="1">-SUMIFS(
  desp.m.ik[valor],
  desp.m.ik[nucleo], $B42,
  desp.m.ik[variavel], $B$33,
  desp.m.ik[mes], "&gt;="&amp;E$1,
  desp.m.ik[mes], "&lt;"&amp;EOMONTH(E$1,0)+1
)</f>
        <v>0</v>
      </c>
      <c r="F42" s="186">
        <f ca="1">-SUMIFS(
  desp.m.ik[valor],
  desp.m.ik[nucleo], $B42,
  desp.m.ik[variavel], $B$33,
  desp.m.ik[mes], "&gt;="&amp;F$1,
  desp.m.ik[mes], "&lt;"&amp;EOMONTH(F$1,0)+1
)</f>
        <v>0</v>
      </c>
      <c r="G42" s="186">
        <f ca="1">-SUMIFS(
  desp.m.ik[valor],
  desp.m.ik[nucleo], $B42,
  desp.m.ik[variavel], $B$33,
  desp.m.ik[mes], "&gt;="&amp;G$1,
  desp.m.ik[mes], "&lt;"&amp;EOMONTH(G$1,0)+1
)</f>
        <v>0</v>
      </c>
      <c r="H42" s="186">
        <f ca="1">-SUMIFS(
  desp.m.ik[valor],
  desp.m.ik[nucleo], $B42,
  desp.m.ik[variavel], $B$33,
  desp.m.ik[mes], "&gt;="&amp;H$1,
  desp.m.ik[mes], "&lt;"&amp;EOMONTH(H$1,0)+1
)</f>
        <v>0</v>
      </c>
      <c r="I42" s="186">
        <f ca="1">-SUMIFS(
  desp.m.ik[valor],
  desp.m.ik[nucleo], $B42,
  desp.m.ik[variavel], $B$33,
  desp.m.ik[mes], "&gt;="&amp;I$1,
  desp.m.ik[mes], "&lt;"&amp;EOMONTH(I$1,0)+1
)</f>
        <v>0</v>
      </c>
      <c r="J42" s="186">
        <f ca="1">-SUMIFS(
  desp.m.ik[valor],
  desp.m.ik[nucleo], $B42,
  desp.m.ik[variavel], $B$33,
  desp.m.ik[mes], "&gt;="&amp;J$1,
  desp.m.ik[mes], "&lt;"&amp;EOMONTH(J$1,0)+1
)</f>
        <v>0</v>
      </c>
      <c r="K42" s="186">
        <f ca="1">-SUMIFS(
  desp.m.ik[valor],
  desp.m.ik[nucleo], $B42,
  desp.m.ik[variavel], $B$33,
  desp.m.ik[mes], "&gt;="&amp;K$1,
  desp.m.ik[mes], "&lt;"&amp;EOMONTH(K$1,0)+1
)</f>
        <v>0</v>
      </c>
      <c r="L42" s="186">
        <f ca="1">-SUMIFS(
  desp.m.ik[valor],
  desp.m.ik[nucleo], $B42,
  desp.m.ik[variavel], $B$33,
  desp.m.ik[mes], "&gt;="&amp;L$1,
  desp.m.ik[mes], "&lt;"&amp;EOMONTH(L$1,0)+1
)</f>
        <v>0</v>
      </c>
      <c r="M42" s="186">
        <f ca="1">-SUMIFS(
  desp.m.ik[valor],
  desp.m.ik[nucleo], $B42,
  desp.m.ik[variavel], $B$33,
  desp.m.ik[mes], "&gt;="&amp;M$1,
  desp.m.ik[mes], "&lt;"&amp;EOMONTH(M$1,0)+1
)</f>
        <v>0</v>
      </c>
      <c r="N42" s="186">
        <f ca="1">-SUMIFS(
  desp.m.ik[valor],
  desp.m.ik[nucleo], $B42,
  desp.m.ik[variavel], $B$33,
  desp.m.ik[mes], "&gt;="&amp;N$1,
  desp.m.ik[mes], "&lt;"&amp;EOMONTH(N$1,0)+1
)</f>
        <v>0</v>
      </c>
      <c r="O42" s="186">
        <f ca="1">-SUMIFS(
  desp.m.ik[valor],
  desp.m.ik[nucleo], $B42,
  desp.m.ik[variavel], $B$33,
  desp.m.ik[mes], "&gt;="&amp;O$1,
  desp.m.ik[mes], "&lt;"&amp;EOMONTH(O$1,0)+1
)</f>
        <v>0</v>
      </c>
      <c r="P42" s="186">
        <f ca="1">-SUMIFS(
  desp.m.ik[valor],
  desp.m.ik[nucleo], $B42,
  desp.m.ik[variavel], $B$33,
  desp.m.ik[mes], "&gt;="&amp;P$1,
  desp.m.ik[mes], "&lt;"&amp;EOMONTH(P$1,0)+1
)</f>
        <v>0</v>
      </c>
      <c r="Q42" s="186">
        <f ca="1">-SUMIFS(
  desp.m.ik[valor],
  desp.m.ik[nucleo], $B42,
  desp.m.ik[variavel], $B$33,
  desp.m.ik[mes], "&gt;="&amp;Q$1,
  desp.m.ik[mes], "&lt;"&amp;EOMONTH(Q$1,0)+1
)</f>
        <v>0</v>
      </c>
      <c r="R42" s="186">
        <f ca="1">-SUMIFS(
  desp.m.ik[valor],
  desp.m.ik[nucleo], $B42,
  desp.m.ik[variavel], $B$33,
  desp.m.ik[mes], "&gt;="&amp;R$1,
  desp.m.ik[mes], "&lt;"&amp;EOMONTH(R$1,0)+1
)</f>
        <v>0</v>
      </c>
      <c r="S42" s="186">
        <f ca="1">-SUMIFS(
  desp.m.ik[valor],
  desp.m.ik[nucleo], $B42,
  desp.m.ik[variavel], $B$33,
  desp.m.ik[mes], "&gt;="&amp;S$1,
  desp.m.ik[mes], "&lt;"&amp;EOMONTH(S$1,0)+1
)</f>
        <v>0</v>
      </c>
      <c r="T42" s="186">
        <f ca="1">-SUMIFS(
  desp.m.ik[valor],
  desp.m.ik[nucleo], $B42,
  desp.m.ik[variavel], $B$33,
  desp.m.ik[mes], "&gt;="&amp;T$1,
  desp.m.ik[mes], "&lt;"&amp;EOMONTH(T$1,0)+1
)</f>
        <v>0</v>
      </c>
      <c r="U42" s="186">
        <f ca="1">-SUMIFS(
  desp.m.ik[valor],
  desp.m.ik[nucleo], $B42,
  desp.m.ik[variavel], $B$33,
  desp.m.ik[mes], "&gt;="&amp;U$1,
  desp.m.ik[mes], "&lt;"&amp;EOMONTH(U$1,0)+1
)</f>
        <v>0</v>
      </c>
      <c r="V42" s="186">
        <f ca="1">-SUMIFS(
  desp.m.ik[valor],
  desp.m.ik[nucleo], $B42,
  desp.m.ik[variavel], $B$33,
  desp.m.ik[mes], "&gt;="&amp;V$1,
  desp.m.ik[mes], "&lt;"&amp;EOMONTH(V$1,0)+1
)</f>
        <v>0</v>
      </c>
      <c r="W42" s="186">
        <f ca="1">-SUMIFS(
  desp.m.ik[valor],
  desp.m.ik[nucleo], $B42,
  desp.m.ik[variavel], $B$33,
  desp.m.ik[mes], "&gt;="&amp;W$1,
  desp.m.ik[mes], "&lt;"&amp;EOMONTH(W$1,0)+1
)</f>
        <v>0</v>
      </c>
      <c r="X42" s="186">
        <f ca="1">-SUMIFS(
  desp.m.ik[valor],
  desp.m.ik[nucleo], $B42,
  desp.m.ik[variavel], $B$33,
  desp.m.ik[mes], "&gt;="&amp;X$1,
  desp.m.ik[mes], "&lt;"&amp;EOMONTH(X$1,0)+1
)</f>
        <v>0</v>
      </c>
      <c r="Y42" s="186">
        <f ca="1">-SUMIFS(
  desp.m.ik[valor],
  desp.m.ik[nucleo], $B42,
  desp.m.ik[variavel], $B$33,
  desp.m.ik[mes], "&gt;="&amp;Y$1,
  desp.m.ik[mes], "&lt;"&amp;EOMONTH(Y$1,0)+1
)</f>
        <v>0</v>
      </c>
      <c r="Z42" s="186">
        <f ca="1">-SUMIFS(
  desp.m.ik[valor],
  desp.m.ik[nucleo], $B42,
  desp.m.ik[variavel], $B$33,
  desp.m.ik[mes], "&gt;="&amp;Z$1,
  desp.m.ik[mes], "&lt;"&amp;EOMONTH(Z$1,0)+1
)</f>
        <v>0</v>
      </c>
      <c r="AA42" s="186">
        <f ca="1">-SUMIFS(
  desp.m.ik[valor],
  desp.m.ik[nucleo], $B42,
  desp.m.ik[variavel], $B$33,
  desp.m.ik[mes], "&gt;="&amp;AA$1,
  desp.m.ik[mes], "&lt;"&amp;EOMONTH(AA$1,0)+1
)</f>
        <v>0</v>
      </c>
      <c r="AC42" s="178">
        <f t="shared" ca="1" si="3"/>
        <v>0</v>
      </c>
      <c r="AE42" s="178">
        <f t="shared" ca="1" si="1"/>
        <v>0</v>
      </c>
    </row>
    <row r="43" spans="1:31" hidden="1" outlineLevel="2" x14ac:dyDescent="0.25">
      <c r="A43" s="185" t="s">
        <v>1038</v>
      </c>
      <c r="B43" s="185" t="s">
        <v>1006</v>
      </c>
      <c r="C43" s="138" t="s">
        <v>514</v>
      </c>
      <c r="D43" s="186">
        <f ca="1">-SUMIFS(
  desp.m.ik[valor],
  desp.m.ik[nucleo], $B43,
  desp.m.ik[variavel], $B$33,
  desp.m.ik[mes], "&gt;="&amp;D$1,
  desp.m.ik[mes], "&lt;"&amp;EOMONTH(D$1,0)+1
)</f>
        <v>0</v>
      </c>
      <c r="E43" s="186">
        <f ca="1">-SUMIFS(
  desp.m.ik[valor],
  desp.m.ik[nucleo], $B43,
  desp.m.ik[variavel], $B$33,
  desp.m.ik[mes], "&gt;="&amp;E$1,
  desp.m.ik[mes], "&lt;"&amp;EOMONTH(E$1,0)+1
)</f>
        <v>0</v>
      </c>
      <c r="F43" s="186">
        <f ca="1">-SUMIFS(
  desp.m.ik[valor],
  desp.m.ik[nucleo], $B43,
  desp.m.ik[variavel], $B$33,
  desp.m.ik[mes], "&gt;="&amp;F$1,
  desp.m.ik[mes], "&lt;"&amp;EOMONTH(F$1,0)+1
)</f>
        <v>0</v>
      </c>
      <c r="G43" s="186">
        <f ca="1">-SUMIFS(
  desp.m.ik[valor],
  desp.m.ik[nucleo], $B43,
  desp.m.ik[variavel], $B$33,
  desp.m.ik[mes], "&gt;="&amp;G$1,
  desp.m.ik[mes], "&lt;"&amp;EOMONTH(G$1,0)+1
)</f>
        <v>0</v>
      </c>
      <c r="H43" s="186">
        <f ca="1">-SUMIFS(
  desp.m.ik[valor],
  desp.m.ik[nucleo], $B43,
  desp.m.ik[variavel], $B$33,
  desp.m.ik[mes], "&gt;="&amp;H$1,
  desp.m.ik[mes], "&lt;"&amp;EOMONTH(H$1,0)+1
)</f>
        <v>0</v>
      </c>
      <c r="I43" s="186">
        <f ca="1">-SUMIFS(
  desp.m.ik[valor],
  desp.m.ik[nucleo], $B43,
  desp.m.ik[variavel], $B$33,
  desp.m.ik[mes], "&gt;="&amp;I$1,
  desp.m.ik[mes], "&lt;"&amp;EOMONTH(I$1,0)+1
)</f>
        <v>0</v>
      </c>
      <c r="J43" s="186">
        <f ca="1">-SUMIFS(
  desp.m.ik[valor],
  desp.m.ik[nucleo], $B43,
  desp.m.ik[variavel], $B$33,
  desp.m.ik[mes], "&gt;="&amp;J$1,
  desp.m.ik[mes], "&lt;"&amp;EOMONTH(J$1,0)+1
)</f>
        <v>0</v>
      </c>
      <c r="K43" s="186">
        <f ca="1">-SUMIFS(
  desp.m.ik[valor],
  desp.m.ik[nucleo], $B43,
  desp.m.ik[variavel], $B$33,
  desp.m.ik[mes], "&gt;="&amp;K$1,
  desp.m.ik[mes], "&lt;"&amp;EOMONTH(K$1,0)+1
)</f>
        <v>0</v>
      </c>
      <c r="L43" s="186">
        <f ca="1">-SUMIFS(
  desp.m.ik[valor],
  desp.m.ik[nucleo], $B43,
  desp.m.ik[variavel], $B$33,
  desp.m.ik[mes], "&gt;="&amp;L$1,
  desp.m.ik[mes], "&lt;"&amp;EOMONTH(L$1,0)+1
)</f>
        <v>0</v>
      </c>
      <c r="M43" s="186">
        <f ca="1">-SUMIFS(
  desp.m.ik[valor],
  desp.m.ik[nucleo], $B43,
  desp.m.ik[variavel], $B$33,
  desp.m.ik[mes], "&gt;="&amp;M$1,
  desp.m.ik[mes], "&lt;"&amp;EOMONTH(M$1,0)+1
)</f>
        <v>0</v>
      </c>
      <c r="N43" s="186">
        <f ca="1">-SUMIFS(
  desp.m.ik[valor],
  desp.m.ik[nucleo], $B43,
  desp.m.ik[variavel], $B$33,
  desp.m.ik[mes], "&gt;="&amp;N$1,
  desp.m.ik[mes], "&lt;"&amp;EOMONTH(N$1,0)+1
)</f>
        <v>0</v>
      </c>
      <c r="O43" s="186">
        <f ca="1">-SUMIFS(
  desp.m.ik[valor],
  desp.m.ik[nucleo], $B43,
  desp.m.ik[variavel], $B$33,
  desp.m.ik[mes], "&gt;="&amp;O$1,
  desp.m.ik[mes], "&lt;"&amp;EOMONTH(O$1,0)+1
)</f>
        <v>0</v>
      </c>
      <c r="P43" s="186">
        <f ca="1">-SUMIFS(
  desp.m.ik[valor],
  desp.m.ik[nucleo], $B43,
  desp.m.ik[variavel], $B$33,
  desp.m.ik[mes], "&gt;="&amp;P$1,
  desp.m.ik[mes], "&lt;"&amp;EOMONTH(P$1,0)+1
)</f>
        <v>0</v>
      </c>
      <c r="Q43" s="186">
        <f ca="1">-SUMIFS(
  desp.m.ik[valor],
  desp.m.ik[nucleo], $B43,
  desp.m.ik[variavel], $B$33,
  desp.m.ik[mes], "&gt;="&amp;Q$1,
  desp.m.ik[mes], "&lt;"&amp;EOMONTH(Q$1,0)+1
)</f>
        <v>0</v>
      </c>
      <c r="R43" s="186">
        <f ca="1">-SUMIFS(
  desp.m.ik[valor],
  desp.m.ik[nucleo], $B43,
  desp.m.ik[variavel], $B$33,
  desp.m.ik[mes], "&gt;="&amp;R$1,
  desp.m.ik[mes], "&lt;"&amp;EOMONTH(R$1,0)+1
)</f>
        <v>0</v>
      </c>
      <c r="S43" s="186">
        <f ca="1">-SUMIFS(
  desp.m.ik[valor],
  desp.m.ik[nucleo], $B43,
  desp.m.ik[variavel], $B$33,
  desp.m.ik[mes], "&gt;="&amp;S$1,
  desp.m.ik[mes], "&lt;"&amp;EOMONTH(S$1,0)+1
)</f>
        <v>0</v>
      </c>
      <c r="T43" s="186">
        <f ca="1">-SUMIFS(
  desp.m.ik[valor],
  desp.m.ik[nucleo], $B43,
  desp.m.ik[variavel], $B$33,
  desp.m.ik[mes], "&gt;="&amp;T$1,
  desp.m.ik[mes], "&lt;"&amp;EOMONTH(T$1,0)+1
)</f>
        <v>0</v>
      </c>
      <c r="U43" s="186">
        <f ca="1">-SUMIFS(
  desp.m.ik[valor],
  desp.m.ik[nucleo], $B43,
  desp.m.ik[variavel], $B$33,
  desp.m.ik[mes], "&gt;="&amp;U$1,
  desp.m.ik[mes], "&lt;"&amp;EOMONTH(U$1,0)+1
)</f>
        <v>0</v>
      </c>
      <c r="V43" s="186">
        <f ca="1">-SUMIFS(
  desp.m.ik[valor],
  desp.m.ik[nucleo], $B43,
  desp.m.ik[variavel], $B$33,
  desp.m.ik[mes], "&gt;="&amp;V$1,
  desp.m.ik[mes], "&lt;"&amp;EOMONTH(V$1,0)+1
)</f>
        <v>0</v>
      </c>
      <c r="W43" s="186">
        <f ca="1">-SUMIFS(
  desp.m.ik[valor],
  desp.m.ik[nucleo], $B43,
  desp.m.ik[variavel], $B$33,
  desp.m.ik[mes], "&gt;="&amp;W$1,
  desp.m.ik[mes], "&lt;"&amp;EOMONTH(W$1,0)+1
)</f>
        <v>0</v>
      </c>
      <c r="X43" s="186">
        <f ca="1">-SUMIFS(
  desp.m.ik[valor],
  desp.m.ik[nucleo], $B43,
  desp.m.ik[variavel], $B$33,
  desp.m.ik[mes], "&gt;="&amp;X$1,
  desp.m.ik[mes], "&lt;"&amp;EOMONTH(X$1,0)+1
)</f>
        <v>0</v>
      </c>
      <c r="Y43" s="186">
        <f ca="1">-SUMIFS(
  desp.m.ik[valor],
  desp.m.ik[nucleo], $B43,
  desp.m.ik[variavel], $B$33,
  desp.m.ik[mes], "&gt;="&amp;Y$1,
  desp.m.ik[mes], "&lt;"&amp;EOMONTH(Y$1,0)+1
)</f>
        <v>0</v>
      </c>
      <c r="Z43" s="186">
        <f ca="1">-SUMIFS(
  desp.m.ik[valor],
  desp.m.ik[nucleo], $B43,
  desp.m.ik[variavel], $B$33,
  desp.m.ik[mes], "&gt;="&amp;Z$1,
  desp.m.ik[mes], "&lt;"&amp;EOMONTH(Z$1,0)+1
)</f>
        <v>0</v>
      </c>
      <c r="AA43" s="186">
        <f ca="1">-SUMIFS(
  desp.m.ik[valor],
  desp.m.ik[nucleo], $B43,
  desp.m.ik[variavel], $B$33,
  desp.m.ik[mes], "&gt;="&amp;AA$1,
  desp.m.ik[mes], "&lt;"&amp;EOMONTH(AA$1,0)+1
)</f>
        <v>0</v>
      </c>
      <c r="AC43" s="178">
        <f t="shared" ca="1" si="3"/>
        <v>0</v>
      </c>
      <c r="AE43" s="178">
        <f ca="1">SUM(D43:AA43)</f>
        <v>0</v>
      </c>
    </row>
    <row r="44" spans="1:31" hidden="1" outlineLevel="2" x14ac:dyDescent="0.25">
      <c r="A44" s="185" t="s">
        <v>547</v>
      </c>
      <c r="B44" s="185" t="s">
        <v>704</v>
      </c>
      <c r="C44" s="138" t="s">
        <v>514</v>
      </c>
      <c r="D44" s="186">
        <f ca="1">-SUMIFS(
  desp.m.ik[valor],
  desp.m.ik[nucleo], $B44,
  desp.m.ik[variavel], $B$33,
  desp.m.ik[mes], "&gt;="&amp;D$1,
  desp.m.ik[mes], "&lt;"&amp;EOMONTH(D$1,0)+1
)</f>
        <v>0</v>
      </c>
      <c r="E44" s="186">
        <f ca="1">-SUMIFS(
  desp.m.ik[valor],
  desp.m.ik[nucleo], $B44,
  desp.m.ik[variavel], $B$33,
  desp.m.ik[mes], "&gt;="&amp;E$1,
  desp.m.ik[mes], "&lt;"&amp;EOMONTH(E$1,0)+1
)</f>
        <v>0</v>
      </c>
      <c r="F44" s="186">
        <f ca="1">-SUMIFS(
  desp.m.ik[valor],
  desp.m.ik[nucleo], $B44,
  desp.m.ik[variavel], $B$33,
  desp.m.ik[mes], "&gt;="&amp;F$1,
  desp.m.ik[mes], "&lt;"&amp;EOMONTH(F$1,0)+1
)</f>
        <v>0</v>
      </c>
      <c r="G44" s="186">
        <f ca="1">-SUMIFS(
  desp.m.ik[valor],
  desp.m.ik[nucleo], $B44,
  desp.m.ik[variavel], $B$33,
  desp.m.ik[mes], "&gt;="&amp;G$1,
  desp.m.ik[mes], "&lt;"&amp;EOMONTH(G$1,0)+1
)</f>
        <v>0</v>
      </c>
      <c r="H44" s="186">
        <f ca="1">-SUMIFS(
  desp.m.ik[valor],
  desp.m.ik[nucleo], $B44,
  desp.m.ik[variavel], $B$33,
  desp.m.ik[mes], "&gt;="&amp;H$1,
  desp.m.ik[mes], "&lt;"&amp;EOMONTH(H$1,0)+1
)</f>
        <v>0</v>
      </c>
      <c r="I44" s="186">
        <f ca="1">-SUMIFS(
  desp.m.ik[valor],
  desp.m.ik[nucleo], $B44,
  desp.m.ik[variavel], $B$33,
  desp.m.ik[mes], "&gt;="&amp;I$1,
  desp.m.ik[mes], "&lt;"&amp;EOMONTH(I$1,0)+1
)</f>
        <v>0</v>
      </c>
      <c r="J44" s="186">
        <f ca="1">-SUMIFS(
  desp.m.ik[valor],
  desp.m.ik[nucleo], $B44,
  desp.m.ik[variavel], $B$33,
  desp.m.ik[mes], "&gt;="&amp;J$1,
  desp.m.ik[mes], "&lt;"&amp;EOMONTH(J$1,0)+1
)</f>
        <v>0</v>
      </c>
      <c r="K44" s="186">
        <f ca="1">-SUMIFS(
  desp.m.ik[valor],
  desp.m.ik[nucleo], $B44,
  desp.m.ik[variavel], $B$33,
  desp.m.ik[mes], "&gt;="&amp;K$1,
  desp.m.ik[mes], "&lt;"&amp;EOMONTH(K$1,0)+1
)</f>
        <v>0</v>
      </c>
      <c r="L44" s="186">
        <f ca="1">-SUMIFS(
  desp.m.ik[valor],
  desp.m.ik[nucleo], $B44,
  desp.m.ik[variavel], $B$33,
  desp.m.ik[mes], "&gt;="&amp;L$1,
  desp.m.ik[mes], "&lt;"&amp;EOMONTH(L$1,0)+1
)</f>
        <v>0</v>
      </c>
      <c r="M44" s="186">
        <f ca="1">-SUMIFS(
  desp.m.ik[valor],
  desp.m.ik[nucleo], $B44,
  desp.m.ik[variavel], $B$33,
  desp.m.ik[mes], "&gt;="&amp;M$1,
  desp.m.ik[mes], "&lt;"&amp;EOMONTH(M$1,0)+1
)</f>
        <v>0</v>
      </c>
      <c r="N44" s="186">
        <f ca="1">-SUMIFS(
  desp.m.ik[valor],
  desp.m.ik[nucleo], $B44,
  desp.m.ik[variavel], $B$33,
  desp.m.ik[mes], "&gt;="&amp;N$1,
  desp.m.ik[mes], "&lt;"&amp;EOMONTH(N$1,0)+1
)</f>
        <v>0</v>
      </c>
      <c r="O44" s="186">
        <f ca="1">-SUMIFS(
  desp.m.ik[valor],
  desp.m.ik[nucleo], $B44,
  desp.m.ik[variavel], $B$33,
  desp.m.ik[mes], "&gt;="&amp;O$1,
  desp.m.ik[mes], "&lt;"&amp;EOMONTH(O$1,0)+1
)</f>
        <v>0</v>
      </c>
      <c r="P44" s="186">
        <f ca="1">-SUMIFS(
  desp.m.ik[valor],
  desp.m.ik[nucleo], $B44,
  desp.m.ik[variavel], $B$33,
  desp.m.ik[mes], "&gt;="&amp;P$1,
  desp.m.ik[mes], "&lt;"&amp;EOMONTH(P$1,0)+1
)</f>
        <v>0</v>
      </c>
      <c r="Q44" s="186">
        <f ca="1">-SUMIFS(
  desp.m.ik[valor],
  desp.m.ik[nucleo], $B44,
  desp.m.ik[variavel], $B$33,
  desp.m.ik[mes], "&gt;="&amp;Q$1,
  desp.m.ik[mes], "&lt;"&amp;EOMONTH(Q$1,0)+1
)</f>
        <v>0</v>
      </c>
      <c r="R44" s="186">
        <f ca="1">-SUMIFS(
  desp.m.ik[valor],
  desp.m.ik[nucleo], $B44,
  desp.m.ik[variavel], $B$33,
  desp.m.ik[mes], "&gt;="&amp;R$1,
  desp.m.ik[mes], "&lt;"&amp;EOMONTH(R$1,0)+1
)</f>
        <v>0</v>
      </c>
      <c r="S44" s="186">
        <f ca="1">-SUMIFS(
  desp.m.ik[valor],
  desp.m.ik[nucleo], $B44,
  desp.m.ik[variavel], $B$33,
  desp.m.ik[mes], "&gt;="&amp;S$1,
  desp.m.ik[mes], "&lt;"&amp;EOMONTH(S$1,0)+1
)</f>
        <v>0</v>
      </c>
      <c r="T44" s="186">
        <f ca="1">-SUMIFS(
  desp.m.ik[valor],
  desp.m.ik[nucleo], $B44,
  desp.m.ik[variavel], $B$33,
  desp.m.ik[mes], "&gt;="&amp;T$1,
  desp.m.ik[mes], "&lt;"&amp;EOMONTH(T$1,0)+1
)</f>
        <v>0</v>
      </c>
      <c r="U44" s="186">
        <f ca="1">-SUMIFS(
  desp.m.ik[valor],
  desp.m.ik[nucleo], $B44,
  desp.m.ik[variavel], $B$33,
  desp.m.ik[mes], "&gt;="&amp;U$1,
  desp.m.ik[mes], "&lt;"&amp;EOMONTH(U$1,0)+1
)</f>
        <v>0</v>
      </c>
      <c r="V44" s="186">
        <f ca="1">-SUMIFS(
  desp.m.ik[valor],
  desp.m.ik[nucleo], $B44,
  desp.m.ik[variavel], $B$33,
  desp.m.ik[mes], "&gt;="&amp;V$1,
  desp.m.ik[mes], "&lt;"&amp;EOMONTH(V$1,0)+1
)</f>
        <v>0</v>
      </c>
      <c r="W44" s="186">
        <f ca="1">-SUMIFS(
  desp.m.ik[valor],
  desp.m.ik[nucleo], $B44,
  desp.m.ik[variavel], $B$33,
  desp.m.ik[mes], "&gt;="&amp;W$1,
  desp.m.ik[mes], "&lt;"&amp;EOMONTH(W$1,0)+1
)</f>
        <v>0</v>
      </c>
      <c r="X44" s="186">
        <f ca="1">-SUMIFS(
  desp.m.ik[valor],
  desp.m.ik[nucleo], $B44,
  desp.m.ik[variavel], $B$33,
  desp.m.ik[mes], "&gt;="&amp;X$1,
  desp.m.ik[mes], "&lt;"&amp;EOMONTH(X$1,0)+1
)</f>
        <v>0</v>
      </c>
      <c r="Y44" s="186">
        <f ca="1">-SUMIFS(
  desp.m.ik[valor],
  desp.m.ik[nucleo], $B44,
  desp.m.ik[variavel], $B$33,
  desp.m.ik[mes], "&gt;="&amp;Y$1,
  desp.m.ik[mes], "&lt;"&amp;EOMONTH(Y$1,0)+1
)</f>
        <v>0</v>
      </c>
      <c r="Z44" s="186">
        <f ca="1">-SUMIFS(
  desp.m.ik[valor],
  desp.m.ik[nucleo], $B44,
  desp.m.ik[variavel], $B$33,
  desp.m.ik[mes], "&gt;="&amp;Z$1,
  desp.m.ik[mes], "&lt;"&amp;EOMONTH(Z$1,0)+1
)</f>
        <v>0</v>
      </c>
      <c r="AA44" s="186">
        <f ca="1">-SUMIFS(
  desp.m.ik[valor],
  desp.m.ik[nucleo], $B44,
  desp.m.ik[variavel], $B$33,
  desp.m.ik[mes], "&gt;="&amp;AA$1,
  desp.m.ik[mes], "&lt;"&amp;EOMONTH(AA$1,0)+1
)</f>
        <v>0</v>
      </c>
      <c r="AC44" s="178">
        <f t="shared" ca="1" si="3"/>
        <v>0</v>
      </c>
      <c r="AE44" s="178">
        <f t="shared" ca="1" si="1"/>
        <v>0</v>
      </c>
    </row>
    <row r="45" spans="1:31" hidden="1" outlineLevel="2" x14ac:dyDescent="0.25">
      <c r="A45" s="196" t="s">
        <v>1140</v>
      </c>
      <c r="B45" s="196" t="s">
        <v>367</v>
      </c>
      <c r="C45" s="138" t="s">
        <v>514</v>
      </c>
      <c r="D45" s="186">
        <f ca="1">-SUMIFS(
  desp.m.ik[valor],
  desp.m.ik[variavel], $B45,
  desp.m.ik[mes], "&gt;="&amp;D$1,
  desp.m.ik[mes], "&lt;"&amp;EOMONTH(D$1,0)+1
)</f>
        <v>0</v>
      </c>
      <c r="E45" s="186">
        <f ca="1">-SUMIFS(
  desp.m.ik[valor],
  desp.m.ik[variavel], $B45,
  desp.m.ik[mes], "&gt;="&amp;E$1,
  desp.m.ik[mes], "&lt;"&amp;EOMONTH(E$1,0)+1
)</f>
        <v>0</v>
      </c>
      <c r="F45" s="186">
        <f ca="1">-SUMIFS(
  desp.m.ik[valor],
  desp.m.ik[variavel], $B45,
  desp.m.ik[mes], "&gt;="&amp;F$1,
  desp.m.ik[mes], "&lt;"&amp;EOMONTH(F$1,0)+1
)</f>
        <v>0</v>
      </c>
      <c r="G45" s="186">
        <f ca="1">-SUMIFS(
  desp.m.ik[valor],
  desp.m.ik[variavel], $B45,
  desp.m.ik[mes], "&gt;="&amp;G$1,
  desp.m.ik[mes], "&lt;"&amp;EOMONTH(G$1,0)+1
)</f>
        <v>0</v>
      </c>
      <c r="H45" s="186">
        <f ca="1">-SUMIFS(
  desp.m.ik[valor],
  desp.m.ik[variavel], $B45,
  desp.m.ik[mes], "&gt;="&amp;H$1,
  desp.m.ik[mes], "&lt;"&amp;EOMONTH(H$1,0)+1
)</f>
        <v>0</v>
      </c>
      <c r="I45" s="186">
        <f ca="1">-SUMIFS(
  desp.m.ik[valor],
  desp.m.ik[variavel], $B45,
  desp.m.ik[mes], "&gt;="&amp;I$1,
  desp.m.ik[mes], "&lt;"&amp;EOMONTH(I$1,0)+1
)</f>
        <v>0</v>
      </c>
      <c r="J45" s="186">
        <f ca="1">-SUMIFS(
  desp.m.ik[valor],
  desp.m.ik[variavel], $B45,
  desp.m.ik[mes], "&gt;="&amp;J$1,
  desp.m.ik[mes], "&lt;"&amp;EOMONTH(J$1,0)+1
)</f>
        <v>0</v>
      </c>
      <c r="K45" s="186">
        <f ca="1">-SUMIFS(
  desp.m.ik[valor],
  desp.m.ik[variavel], $B45,
  desp.m.ik[mes], "&gt;="&amp;K$1,
  desp.m.ik[mes], "&lt;"&amp;EOMONTH(K$1,0)+1
)</f>
        <v>0</v>
      </c>
      <c r="L45" s="186">
        <f ca="1">-SUMIFS(
  desp.m.ik[valor],
  desp.m.ik[variavel], $B45,
  desp.m.ik[mes], "&gt;="&amp;L$1,
  desp.m.ik[mes], "&lt;"&amp;EOMONTH(L$1,0)+1
)</f>
        <v>0</v>
      </c>
      <c r="M45" s="186">
        <f ca="1">-SUMIFS(
  desp.m.ik[valor],
  desp.m.ik[variavel], $B45,
  desp.m.ik[mes], "&gt;="&amp;M$1,
  desp.m.ik[mes], "&lt;"&amp;EOMONTH(M$1,0)+1
)</f>
        <v>0</v>
      </c>
      <c r="N45" s="186">
        <f ca="1">-SUMIFS(
  desp.m.ik[valor],
  desp.m.ik[variavel], $B45,
  desp.m.ik[mes], "&gt;="&amp;N$1,
  desp.m.ik[mes], "&lt;"&amp;EOMONTH(N$1,0)+1
)</f>
        <v>0</v>
      </c>
      <c r="O45" s="186">
        <f ca="1">-SUMIFS(
  desp.m.ik[valor],
  desp.m.ik[variavel], $B45,
  desp.m.ik[mes], "&gt;="&amp;O$1,
  desp.m.ik[mes], "&lt;"&amp;EOMONTH(O$1,0)+1
)</f>
        <v>0</v>
      </c>
      <c r="P45" s="186">
        <f ca="1">-SUMIFS(
  desp.m.ik[valor],
  desp.m.ik[variavel], $B45,
  desp.m.ik[mes], "&gt;="&amp;P$1,
  desp.m.ik[mes], "&lt;"&amp;EOMONTH(P$1,0)+1
)</f>
        <v>0</v>
      </c>
      <c r="Q45" s="186">
        <f ca="1">-SUMIFS(
  desp.m.ik[valor],
  desp.m.ik[variavel], $B45,
  desp.m.ik[mes], "&gt;="&amp;Q$1,
  desp.m.ik[mes], "&lt;"&amp;EOMONTH(Q$1,0)+1
)</f>
        <v>0</v>
      </c>
      <c r="R45" s="186">
        <f ca="1">-SUMIFS(
  desp.m.ik[valor],
  desp.m.ik[variavel], $B45,
  desp.m.ik[mes], "&gt;="&amp;R$1,
  desp.m.ik[mes], "&lt;"&amp;EOMONTH(R$1,0)+1
)</f>
        <v>0</v>
      </c>
      <c r="S45" s="186">
        <f ca="1">-SUMIFS(
  desp.m.ik[valor],
  desp.m.ik[variavel], $B45,
  desp.m.ik[mes], "&gt;="&amp;S$1,
  desp.m.ik[mes], "&lt;"&amp;EOMONTH(S$1,0)+1
)</f>
        <v>0</v>
      </c>
      <c r="T45" s="186">
        <f ca="1">-SUMIFS(
  desp.m.ik[valor],
  desp.m.ik[variavel], $B45,
  desp.m.ik[mes], "&gt;="&amp;T$1,
  desp.m.ik[mes], "&lt;"&amp;EOMONTH(T$1,0)+1
)</f>
        <v>0</v>
      </c>
      <c r="U45" s="186">
        <f ca="1">-SUMIFS(
  desp.m.ik[valor],
  desp.m.ik[variavel], $B45,
  desp.m.ik[mes], "&gt;="&amp;U$1,
  desp.m.ik[mes], "&lt;"&amp;EOMONTH(U$1,0)+1
)</f>
        <v>0</v>
      </c>
      <c r="V45" s="186">
        <f ca="1">-SUMIFS(
  desp.m.ik[valor],
  desp.m.ik[variavel], $B45,
  desp.m.ik[mes], "&gt;="&amp;V$1,
  desp.m.ik[mes], "&lt;"&amp;EOMONTH(V$1,0)+1
)</f>
        <v>0</v>
      </c>
      <c r="W45" s="186">
        <f ca="1">-SUMIFS(
  desp.m.ik[valor],
  desp.m.ik[variavel], $B45,
  desp.m.ik[mes], "&gt;="&amp;W$1,
  desp.m.ik[mes], "&lt;"&amp;EOMONTH(W$1,0)+1
)</f>
        <v>0</v>
      </c>
      <c r="X45" s="186">
        <f ca="1">-SUMIFS(
  desp.m.ik[valor],
  desp.m.ik[variavel], $B45,
  desp.m.ik[mes], "&gt;="&amp;X$1,
  desp.m.ik[mes], "&lt;"&amp;EOMONTH(X$1,0)+1
)</f>
        <v>0</v>
      </c>
      <c r="Y45" s="186">
        <f ca="1">-SUMIFS(
  desp.m.ik[valor],
  desp.m.ik[variavel], $B45,
  desp.m.ik[mes], "&gt;="&amp;Y$1,
  desp.m.ik[mes], "&lt;"&amp;EOMONTH(Y$1,0)+1
)</f>
        <v>0</v>
      </c>
      <c r="Z45" s="186">
        <f ca="1">-SUMIFS(
  desp.m.ik[valor],
  desp.m.ik[variavel], $B45,
  desp.m.ik[mes], "&gt;="&amp;Z$1,
  desp.m.ik[mes], "&lt;"&amp;EOMONTH(Z$1,0)+1
)</f>
        <v>0</v>
      </c>
      <c r="AA45" s="186">
        <f ca="1">-SUMIFS(
  desp.m.ik[valor],
  desp.m.ik[variavel], $B45,
  desp.m.ik[mes], "&gt;="&amp;AA$1,
  desp.m.ik[mes], "&lt;"&amp;EOMONTH(AA$1,0)+1
)</f>
        <v>0</v>
      </c>
      <c r="AC45" s="178">
        <f t="shared" ca="1" si="3"/>
        <v>0</v>
      </c>
      <c r="AE45" s="178">
        <f t="shared" ref="AE45" ca="1" si="10">SUM(D45:AA45)</f>
        <v>0</v>
      </c>
    </row>
    <row r="46" spans="1:31" hidden="1" outlineLevel="2" x14ac:dyDescent="0.25">
      <c r="A46" s="196" t="s">
        <v>1140</v>
      </c>
      <c r="B46" s="196" t="s">
        <v>369</v>
      </c>
      <c r="C46" s="138" t="s">
        <v>514</v>
      </c>
      <c r="D46" s="186">
        <f ca="1">-SUMIFS(
  desp.m.ik[valor],
  desp.m.ik[variavel], $B46,
  desp.m.ik[mes], "&gt;="&amp;D$1,
  desp.m.ik[mes], "&lt;"&amp;EOMONTH(D$1,0)+1
)</f>
        <v>0</v>
      </c>
      <c r="E46" s="186">
        <f ca="1">-SUMIFS(
  desp.m.ik[valor],
  desp.m.ik[variavel], $B46,
  desp.m.ik[mes], "&gt;="&amp;E$1,
  desp.m.ik[mes], "&lt;"&amp;EOMONTH(E$1,0)+1
)</f>
        <v>0</v>
      </c>
      <c r="F46" s="186">
        <f ca="1">-SUMIFS(
  desp.m.ik[valor],
  desp.m.ik[variavel], $B46,
  desp.m.ik[mes], "&gt;="&amp;F$1,
  desp.m.ik[mes], "&lt;"&amp;EOMONTH(F$1,0)+1
)</f>
        <v>0</v>
      </c>
      <c r="G46" s="186">
        <f ca="1">-SUMIFS(
  desp.m.ik[valor],
  desp.m.ik[variavel], $B46,
  desp.m.ik[mes], "&gt;="&amp;G$1,
  desp.m.ik[mes], "&lt;"&amp;EOMONTH(G$1,0)+1
)</f>
        <v>0</v>
      </c>
      <c r="H46" s="186">
        <f ca="1">-SUMIFS(
  desp.m.ik[valor],
  desp.m.ik[variavel], $B46,
  desp.m.ik[mes], "&gt;="&amp;H$1,
  desp.m.ik[mes], "&lt;"&amp;EOMONTH(H$1,0)+1
)</f>
        <v>0</v>
      </c>
      <c r="I46" s="186">
        <f ca="1">-SUMIFS(
  desp.m.ik[valor],
  desp.m.ik[variavel], $B46,
  desp.m.ik[mes], "&gt;="&amp;I$1,
  desp.m.ik[mes], "&lt;"&amp;EOMONTH(I$1,0)+1
)</f>
        <v>0</v>
      </c>
      <c r="J46" s="186">
        <f ca="1">-SUMIFS(
  desp.m.ik[valor],
  desp.m.ik[variavel], $B46,
  desp.m.ik[mes], "&gt;="&amp;J$1,
  desp.m.ik[mes], "&lt;"&amp;EOMONTH(J$1,0)+1
)</f>
        <v>0</v>
      </c>
      <c r="K46" s="186">
        <f ca="1">-SUMIFS(
  desp.m.ik[valor],
  desp.m.ik[variavel], $B46,
  desp.m.ik[mes], "&gt;="&amp;K$1,
  desp.m.ik[mes], "&lt;"&amp;EOMONTH(K$1,0)+1
)</f>
        <v>0</v>
      </c>
      <c r="L46" s="186">
        <f ca="1">-SUMIFS(
  desp.m.ik[valor],
  desp.m.ik[variavel], $B46,
  desp.m.ik[mes], "&gt;="&amp;L$1,
  desp.m.ik[mes], "&lt;"&amp;EOMONTH(L$1,0)+1
)</f>
        <v>0</v>
      </c>
      <c r="M46" s="186">
        <f ca="1">-SUMIFS(
  desp.m.ik[valor],
  desp.m.ik[variavel], $B46,
  desp.m.ik[mes], "&gt;="&amp;M$1,
  desp.m.ik[mes], "&lt;"&amp;EOMONTH(M$1,0)+1
)</f>
        <v>0</v>
      </c>
      <c r="N46" s="186">
        <f ca="1">-SUMIFS(
  desp.m.ik[valor],
  desp.m.ik[variavel], $B46,
  desp.m.ik[mes], "&gt;="&amp;N$1,
  desp.m.ik[mes], "&lt;"&amp;EOMONTH(N$1,0)+1
)</f>
        <v>0</v>
      </c>
      <c r="O46" s="186">
        <f ca="1">-SUMIFS(
  desp.m.ik[valor],
  desp.m.ik[variavel], $B46,
  desp.m.ik[mes], "&gt;="&amp;O$1,
  desp.m.ik[mes], "&lt;"&amp;EOMONTH(O$1,0)+1
)</f>
        <v>0</v>
      </c>
      <c r="P46" s="186">
        <f ca="1">-SUMIFS(
  desp.m.ik[valor],
  desp.m.ik[variavel], $B46,
  desp.m.ik[mes], "&gt;="&amp;P$1,
  desp.m.ik[mes], "&lt;"&amp;EOMONTH(P$1,0)+1
)</f>
        <v>0</v>
      </c>
      <c r="Q46" s="186">
        <f ca="1">-SUMIFS(
  desp.m.ik[valor],
  desp.m.ik[variavel], $B46,
  desp.m.ik[mes], "&gt;="&amp;Q$1,
  desp.m.ik[mes], "&lt;"&amp;EOMONTH(Q$1,0)+1
)</f>
        <v>0</v>
      </c>
      <c r="R46" s="186">
        <f ca="1">-SUMIFS(
  desp.m.ik[valor],
  desp.m.ik[variavel], $B46,
  desp.m.ik[mes], "&gt;="&amp;R$1,
  desp.m.ik[mes], "&lt;"&amp;EOMONTH(R$1,0)+1
)</f>
        <v>0</v>
      </c>
      <c r="S46" s="186">
        <f ca="1">-SUMIFS(
  desp.m.ik[valor],
  desp.m.ik[variavel], $B46,
  desp.m.ik[mes], "&gt;="&amp;S$1,
  desp.m.ik[mes], "&lt;"&amp;EOMONTH(S$1,0)+1
)</f>
        <v>0</v>
      </c>
      <c r="T46" s="186">
        <f ca="1">-SUMIFS(
  desp.m.ik[valor],
  desp.m.ik[variavel], $B46,
  desp.m.ik[mes], "&gt;="&amp;T$1,
  desp.m.ik[mes], "&lt;"&amp;EOMONTH(T$1,0)+1
)</f>
        <v>0</v>
      </c>
      <c r="U46" s="186">
        <f ca="1">-SUMIFS(
  desp.m.ik[valor],
  desp.m.ik[variavel], $B46,
  desp.m.ik[mes], "&gt;="&amp;U$1,
  desp.m.ik[mes], "&lt;"&amp;EOMONTH(U$1,0)+1
)</f>
        <v>0</v>
      </c>
      <c r="V46" s="186">
        <f ca="1">-SUMIFS(
  desp.m.ik[valor],
  desp.m.ik[variavel], $B46,
  desp.m.ik[mes], "&gt;="&amp;V$1,
  desp.m.ik[mes], "&lt;"&amp;EOMONTH(V$1,0)+1
)</f>
        <v>0</v>
      </c>
      <c r="W46" s="186">
        <f ca="1">-SUMIFS(
  desp.m.ik[valor],
  desp.m.ik[variavel], $B46,
  desp.m.ik[mes], "&gt;="&amp;W$1,
  desp.m.ik[mes], "&lt;"&amp;EOMONTH(W$1,0)+1
)</f>
        <v>0</v>
      </c>
      <c r="X46" s="186">
        <f ca="1">-SUMIFS(
  desp.m.ik[valor],
  desp.m.ik[variavel], $B46,
  desp.m.ik[mes], "&gt;="&amp;X$1,
  desp.m.ik[mes], "&lt;"&amp;EOMONTH(X$1,0)+1
)</f>
        <v>0</v>
      </c>
      <c r="Y46" s="186">
        <f ca="1">-SUMIFS(
  desp.m.ik[valor],
  desp.m.ik[variavel], $B46,
  desp.m.ik[mes], "&gt;="&amp;Y$1,
  desp.m.ik[mes], "&lt;"&amp;EOMONTH(Y$1,0)+1
)</f>
        <v>0</v>
      </c>
      <c r="Z46" s="186">
        <f ca="1">-SUMIFS(
  desp.m.ik[valor],
  desp.m.ik[variavel], $B46,
  desp.m.ik[mes], "&gt;="&amp;Z$1,
  desp.m.ik[mes], "&lt;"&amp;EOMONTH(Z$1,0)+1
)</f>
        <v>0</v>
      </c>
      <c r="AA46" s="186">
        <f ca="1">-SUMIFS(
  desp.m.ik[valor],
  desp.m.ik[variavel], $B46,
  desp.m.ik[mes], "&gt;="&amp;AA$1,
  desp.m.ik[mes], "&lt;"&amp;EOMONTH(AA$1,0)+1
)</f>
        <v>0</v>
      </c>
      <c r="AC46" s="178">
        <f t="shared" ca="1" si="3"/>
        <v>0</v>
      </c>
      <c r="AE46" s="178">
        <f t="shared" ref="AE46" ca="1" si="11">SUM(D46:AA46)</f>
        <v>0</v>
      </c>
    </row>
    <row r="47" spans="1:31" hidden="1" outlineLevel="2" x14ac:dyDescent="0.25">
      <c r="A47" s="196" t="s">
        <v>1140</v>
      </c>
      <c r="B47" s="196" t="s">
        <v>370</v>
      </c>
      <c r="C47" s="138" t="s">
        <v>514</v>
      </c>
      <c r="D47" s="186">
        <f ca="1">-SUMIFS(
  desp.m.ik[valor],
  desp.m.ik[variavel], $B47,
  desp.m.ik[mes], "&gt;="&amp;D$1,
  desp.m.ik[mes], "&lt;"&amp;EOMONTH(D$1,0)+1
)</f>
        <v>0</v>
      </c>
      <c r="E47" s="186">
        <f ca="1">-SUMIFS(
  desp.m.ik[valor],
  desp.m.ik[variavel], $B47,
  desp.m.ik[mes], "&gt;="&amp;E$1,
  desp.m.ik[mes], "&lt;"&amp;EOMONTH(E$1,0)+1
)</f>
        <v>0</v>
      </c>
      <c r="F47" s="186">
        <f ca="1">-SUMIFS(
  desp.m.ik[valor],
  desp.m.ik[variavel], $B47,
  desp.m.ik[mes], "&gt;="&amp;F$1,
  desp.m.ik[mes], "&lt;"&amp;EOMONTH(F$1,0)+1
)</f>
        <v>0</v>
      </c>
      <c r="G47" s="186">
        <f ca="1">-SUMIFS(
  desp.m.ik[valor],
  desp.m.ik[variavel], $B47,
  desp.m.ik[mes], "&gt;="&amp;G$1,
  desp.m.ik[mes], "&lt;"&amp;EOMONTH(G$1,0)+1
)</f>
        <v>0</v>
      </c>
      <c r="H47" s="186">
        <f ca="1">-SUMIFS(
  desp.m.ik[valor],
  desp.m.ik[variavel], $B47,
  desp.m.ik[mes], "&gt;="&amp;H$1,
  desp.m.ik[mes], "&lt;"&amp;EOMONTH(H$1,0)+1
)</f>
        <v>0</v>
      </c>
      <c r="I47" s="186">
        <f ca="1">-SUMIFS(
  desp.m.ik[valor],
  desp.m.ik[variavel], $B47,
  desp.m.ik[mes], "&gt;="&amp;I$1,
  desp.m.ik[mes], "&lt;"&amp;EOMONTH(I$1,0)+1
)</f>
        <v>0</v>
      </c>
      <c r="J47" s="186">
        <f ca="1">-SUMIFS(
  desp.m.ik[valor],
  desp.m.ik[variavel], $B47,
  desp.m.ik[mes], "&gt;="&amp;J$1,
  desp.m.ik[mes], "&lt;"&amp;EOMONTH(J$1,0)+1
)</f>
        <v>0</v>
      </c>
      <c r="K47" s="186">
        <f ca="1">-SUMIFS(
  desp.m.ik[valor],
  desp.m.ik[variavel], $B47,
  desp.m.ik[mes], "&gt;="&amp;K$1,
  desp.m.ik[mes], "&lt;"&amp;EOMONTH(K$1,0)+1
)</f>
        <v>0</v>
      </c>
      <c r="L47" s="186">
        <f ca="1">-SUMIFS(
  desp.m.ik[valor],
  desp.m.ik[variavel], $B47,
  desp.m.ik[mes], "&gt;="&amp;L$1,
  desp.m.ik[mes], "&lt;"&amp;EOMONTH(L$1,0)+1
)</f>
        <v>0</v>
      </c>
      <c r="M47" s="186">
        <f ca="1">-SUMIFS(
  desp.m.ik[valor],
  desp.m.ik[variavel], $B47,
  desp.m.ik[mes], "&gt;="&amp;M$1,
  desp.m.ik[mes], "&lt;"&amp;EOMONTH(M$1,0)+1
)</f>
        <v>0</v>
      </c>
      <c r="N47" s="186">
        <f ca="1">-SUMIFS(
  desp.m.ik[valor],
  desp.m.ik[variavel], $B47,
  desp.m.ik[mes], "&gt;="&amp;N$1,
  desp.m.ik[mes], "&lt;"&amp;EOMONTH(N$1,0)+1
)</f>
        <v>0</v>
      </c>
      <c r="O47" s="186">
        <f ca="1">-SUMIFS(
  desp.m.ik[valor],
  desp.m.ik[variavel], $B47,
  desp.m.ik[mes], "&gt;="&amp;O$1,
  desp.m.ik[mes], "&lt;"&amp;EOMONTH(O$1,0)+1
)</f>
        <v>0</v>
      </c>
      <c r="P47" s="186">
        <f ca="1">-SUMIFS(
  desp.m.ik[valor],
  desp.m.ik[variavel], $B47,
  desp.m.ik[mes], "&gt;="&amp;P$1,
  desp.m.ik[mes], "&lt;"&amp;EOMONTH(P$1,0)+1
)</f>
        <v>0</v>
      </c>
      <c r="Q47" s="186">
        <f ca="1">-SUMIFS(
  desp.m.ik[valor],
  desp.m.ik[variavel], $B47,
  desp.m.ik[mes], "&gt;="&amp;Q$1,
  desp.m.ik[mes], "&lt;"&amp;EOMONTH(Q$1,0)+1
)</f>
        <v>0</v>
      </c>
      <c r="R47" s="186">
        <f ca="1">-SUMIFS(
  desp.m.ik[valor],
  desp.m.ik[variavel], $B47,
  desp.m.ik[mes], "&gt;="&amp;R$1,
  desp.m.ik[mes], "&lt;"&amp;EOMONTH(R$1,0)+1
)</f>
        <v>0</v>
      </c>
      <c r="S47" s="186">
        <f ca="1">-SUMIFS(
  desp.m.ik[valor],
  desp.m.ik[variavel], $B47,
  desp.m.ik[mes], "&gt;="&amp;S$1,
  desp.m.ik[mes], "&lt;"&amp;EOMONTH(S$1,0)+1
)</f>
        <v>0</v>
      </c>
      <c r="T47" s="186">
        <f ca="1">-SUMIFS(
  desp.m.ik[valor],
  desp.m.ik[variavel], $B47,
  desp.m.ik[mes], "&gt;="&amp;T$1,
  desp.m.ik[mes], "&lt;"&amp;EOMONTH(T$1,0)+1
)</f>
        <v>0</v>
      </c>
      <c r="U47" s="186">
        <f ca="1">-SUMIFS(
  desp.m.ik[valor],
  desp.m.ik[variavel], $B47,
  desp.m.ik[mes], "&gt;="&amp;U$1,
  desp.m.ik[mes], "&lt;"&amp;EOMONTH(U$1,0)+1
)</f>
        <v>0</v>
      </c>
      <c r="V47" s="186">
        <f ca="1">-SUMIFS(
  desp.m.ik[valor],
  desp.m.ik[variavel], $B47,
  desp.m.ik[mes], "&gt;="&amp;V$1,
  desp.m.ik[mes], "&lt;"&amp;EOMONTH(V$1,0)+1
)</f>
        <v>0</v>
      </c>
      <c r="W47" s="186">
        <f ca="1">-SUMIFS(
  desp.m.ik[valor],
  desp.m.ik[variavel], $B47,
  desp.m.ik[mes], "&gt;="&amp;W$1,
  desp.m.ik[mes], "&lt;"&amp;EOMONTH(W$1,0)+1
)</f>
        <v>0</v>
      </c>
      <c r="X47" s="186">
        <f ca="1">-SUMIFS(
  desp.m.ik[valor],
  desp.m.ik[variavel], $B47,
  desp.m.ik[mes], "&gt;="&amp;X$1,
  desp.m.ik[mes], "&lt;"&amp;EOMONTH(X$1,0)+1
)</f>
        <v>0</v>
      </c>
      <c r="Y47" s="186">
        <f ca="1">-SUMIFS(
  desp.m.ik[valor],
  desp.m.ik[variavel], $B47,
  desp.m.ik[mes], "&gt;="&amp;Y$1,
  desp.m.ik[mes], "&lt;"&amp;EOMONTH(Y$1,0)+1
)</f>
        <v>0</v>
      </c>
      <c r="Z47" s="186">
        <f ca="1">-SUMIFS(
  desp.m.ik[valor],
  desp.m.ik[variavel], $B47,
  desp.m.ik[mes], "&gt;="&amp;Z$1,
  desp.m.ik[mes], "&lt;"&amp;EOMONTH(Z$1,0)+1
)</f>
        <v>0</v>
      </c>
      <c r="AA47" s="186">
        <f ca="1">-SUMIFS(
  desp.m.ik[valor],
  desp.m.ik[variavel], $B47,
  desp.m.ik[mes], "&gt;="&amp;AA$1,
  desp.m.ik[mes], "&lt;"&amp;EOMONTH(AA$1,0)+1
)</f>
        <v>0</v>
      </c>
      <c r="AC47" s="178">
        <f t="shared" ca="1" si="3"/>
        <v>0</v>
      </c>
      <c r="AE47" s="178">
        <f ca="1">SUM(D47:AA47)</f>
        <v>0</v>
      </c>
    </row>
    <row r="48" spans="1:31" hidden="1" outlineLevel="2" x14ac:dyDescent="0.25">
      <c r="A48" s="196" t="s">
        <v>1140</v>
      </c>
      <c r="B48" s="196" t="s">
        <v>368</v>
      </c>
      <c r="C48" s="138" t="s">
        <v>514</v>
      </c>
      <c r="D48" s="186">
        <f ca="1">-SUMIFS(
  desp.m.ik[valor],
  desp.m.ik[variavel], $B48,
  desp.m.ik[mes], "&gt;="&amp;D$1,
  desp.m.ik[mes], "&lt;"&amp;EOMONTH(D$1,0)+1
)</f>
        <v>0</v>
      </c>
      <c r="E48" s="186">
        <f ca="1">-SUMIFS(
  desp.m.ik[valor],
  desp.m.ik[variavel], $B48,
  desp.m.ik[mes], "&gt;="&amp;E$1,
  desp.m.ik[mes], "&lt;"&amp;EOMONTH(E$1,0)+1
)</f>
        <v>0</v>
      </c>
      <c r="F48" s="186">
        <f ca="1">-SUMIFS(
  desp.m.ik[valor],
  desp.m.ik[variavel], $B48,
  desp.m.ik[mes], "&gt;="&amp;F$1,
  desp.m.ik[mes], "&lt;"&amp;EOMONTH(F$1,0)+1
)</f>
        <v>0</v>
      </c>
      <c r="G48" s="186">
        <f ca="1">-SUMIFS(
  desp.m.ik[valor],
  desp.m.ik[variavel], $B48,
  desp.m.ik[mes], "&gt;="&amp;G$1,
  desp.m.ik[mes], "&lt;"&amp;EOMONTH(G$1,0)+1
)</f>
        <v>0</v>
      </c>
      <c r="H48" s="186">
        <f ca="1">-SUMIFS(
  desp.m.ik[valor],
  desp.m.ik[variavel], $B48,
  desp.m.ik[mes], "&gt;="&amp;H$1,
  desp.m.ik[mes], "&lt;"&amp;EOMONTH(H$1,0)+1
)</f>
        <v>0</v>
      </c>
      <c r="I48" s="186">
        <f ca="1">-SUMIFS(
  desp.m.ik[valor],
  desp.m.ik[variavel], $B48,
  desp.m.ik[mes], "&gt;="&amp;I$1,
  desp.m.ik[mes], "&lt;"&amp;EOMONTH(I$1,0)+1
)</f>
        <v>0</v>
      </c>
      <c r="J48" s="186">
        <f ca="1">-SUMIFS(
  desp.m.ik[valor],
  desp.m.ik[variavel], $B48,
  desp.m.ik[mes], "&gt;="&amp;J$1,
  desp.m.ik[mes], "&lt;"&amp;EOMONTH(J$1,0)+1
)</f>
        <v>0</v>
      </c>
      <c r="K48" s="186">
        <f ca="1">-SUMIFS(
  desp.m.ik[valor],
  desp.m.ik[variavel], $B48,
  desp.m.ik[mes], "&gt;="&amp;K$1,
  desp.m.ik[mes], "&lt;"&amp;EOMONTH(K$1,0)+1
)</f>
        <v>0</v>
      </c>
      <c r="L48" s="186">
        <f ca="1">-SUMIFS(
  desp.m.ik[valor],
  desp.m.ik[variavel], $B48,
  desp.m.ik[mes], "&gt;="&amp;L$1,
  desp.m.ik[mes], "&lt;"&amp;EOMONTH(L$1,0)+1
)</f>
        <v>0</v>
      </c>
      <c r="M48" s="186">
        <f ca="1">-SUMIFS(
  desp.m.ik[valor],
  desp.m.ik[variavel], $B48,
  desp.m.ik[mes], "&gt;="&amp;M$1,
  desp.m.ik[mes], "&lt;"&amp;EOMONTH(M$1,0)+1
)</f>
        <v>0</v>
      </c>
      <c r="N48" s="186">
        <f ca="1">-SUMIFS(
  desp.m.ik[valor],
  desp.m.ik[variavel], $B48,
  desp.m.ik[mes], "&gt;="&amp;N$1,
  desp.m.ik[mes], "&lt;"&amp;EOMONTH(N$1,0)+1
)</f>
        <v>0</v>
      </c>
      <c r="O48" s="186">
        <f ca="1">-SUMIFS(
  desp.m.ik[valor],
  desp.m.ik[variavel], $B48,
  desp.m.ik[mes], "&gt;="&amp;O$1,
  desp.m.ik[mes], "&lt;"&amp;EOMONTH(O$1,0)+1
)</f>
        <v>0</v>
      </c>
      <c r="P48" s="186">
        <f ca="1">-SUMIFS(
  desp.m.ik[valor],
  desp.m.ik[variavel], $B48,
  desp.m.ik[mes], "&gt;="&amp;P$1,
  desp.m.ik[mes], "&lt;"&amp;EOMONTH(P$1,0)+1
)</f>
        <v>0</v>
      </c>
      <c r="Q48" s="186">
        <f ca="1">-SUMIFS(
  desp.m.ik[valor],
  desp.m.ik[variavel], $B48,
  desp.m.ik[mes], "&gt;="&amp;Q$1,
  desp.m.ik[mes], "&lt;"&amp;EOMONTH(Q$1,0)+1
)</f>
        <v>0</v>
      </c>
      <c r="R48" s="186">
        <f ca="1">-SUMIFS(
  desp.m.ik[valor],
  desp.m.ik[variavel], $B48,
  desp.m.ik[mes], "&gt;="&amp;R$1,
  desp.m.ik[mes], "&lt;"&amp;EOMONTH(R$1,0)+1
)</f>
        <v>0</v>
      </c>
      <c r="S48" s="186">
        <f ca="1">-SUMIFS(
  desp.m.ik[valor],
  desp.m.ik[variavel], $B48,
  desp.m.ik[mes], "&gt;="&amp;S$1,
  desp.m.ik[mes], "&lt;"&amp;EOMONTH(S$1,0)+1
)</f>
        <v>0</v>
      </c>
      <c r="T48" s="186">
        <f ca="1">-SUMIFS(
  desp.m.ik[valor],
  desp.m.ik[variavel], $B48,
  desp.m.ik[mes], "&gt;="&amp;T$1,
  desp.m.ik[mes], "&lt;"&amp;EOMONTH(T$1,0)+1
)</f>
        <v>0</v>
      </c>
      <c r="U48" s="186">
        <f ca="1">-SUMIFS(
  desp.m.ik[valor],
  desp.m.ik[variavel], $B48,
  desp.m.ik[mes], "&gt;="&amp;U$1,
  desp.m.ik[mes], "&lt;"&amp;EOMONTH(U$1,0)+1
)</f>
        <v>0</v>
      </c>
      <c r="V48" s="186">
        <f ca="1">-SUMIFS(
  desp.m.ik[valor],
  desp.m.ik[variavel], $B48,
  desp.m.ik[mes], "&gt;="&amp;V$1,
  desp.m.ik[mes], "&lt;"&amp;EOMONTH(V$1,0)+1
)</f>
        <v>0</v>
      </c>
      <c r="W48" s="186">
        <f ca="1">-SUMIFS(
  desp.m.ik[valor],
  desp.m.ik[variavel], $B48,
  desp.m.ik[mes], "&gt;="&amp;W$1,
  desp.m.ik[mes], "&lt;"&amp;EOMONTH(W$1,0)+1
)</f>
        <v>0</v>
      </c>
      <c r="X48" s="186">
        <f ca="1">-SUMIFS(
  desp.m.ik[valor],
  desp.m.ik[variavel], $B48,
  desp.m.ik[mes], "&gt;="&amp;X$1,
  desp.m.ik[mes], "&lt;"&amp;EOMONTH(X$1,0)+1
)</f>
        <v>0</v>
      </c>
      <c r="Y48" s="186">
        <f ca="1">-SUMIFS(
  desp.m.ik[valor],
  desp.m.ik[variavel], $B48,
  desp.m.ik[mes], "&gt;="&amp;Y$1,
  desp.m.ik[mes], "&lt;"&amp;EOMONTH(Y$1,0)+1
)</f>
        <v>0</v>
      </c>
      <c r="Z48" s="186">
        <f ca="1">-SUMIFS(
  desp.m.ik[valor],
  desp.m.ik[variavel], $B48,
  desp.m.ik[mes], "&gt;="&amp;Z$1,
  desp.m.ik[mes], "&lt;"&amp;EOMONTH(Z$1,0)+1
)</f>
        <v>0</v>
      </c>
      <c r="AA48" s="186">
        <f ca="1">-SUMIFS(
  desp.m.ik[valor],
  desp.m.ik[variavel], $B48,
  desp.m.ik[mes], "&gt;="&amp;AA$1,
  desp.m.ik[mes], "&lt;"&amp;EOMONTH(AA$1,0)+1
)</f>
        <v>0</v>
      </c>
      <c r="AC48" s="178">
        <f t="shared" ca="1" si="3"/>
        <v>0</v>
      </c>
      <c r="AE48" s="178">
        <f t="shared" ref="AE48" ca="1" si="12">SUM(D48:AA48)</f>
        <v>0</v>
      </c>
    </row>
    <row r="49" spans="1:31" hidden="1" outlineLevel="2" x14ac:dyDescent="0.25">
      <c r="A49" s="196" t="s">
        <v>1140</v>
      </c>
      <c r="B49" s="196" t="s">
        <v>371</v>
      </c>
      <c r="C49" s="138" t="s">
        <v>514</v>
      </c>
      <c r="D49" s="186">
        <f ca="1">-SUMIFS(
  desp.m.ik[valor],
  desp.m.ik[variavel], $B49,
  desp.m.ik[mes], "&gt;="&amp;D$1,
  desp.m.ik[mes], "&lt;"&amp;EOMONTH(D$1,0)+1
)</f>
        <v>0</v>
      </c>
      <c r="E49" s="186">
        <f ca="1">-SUMIFS(
  desp.m.ik[valor],
  desp.m.ik[variavel], $B49,
  desp.m.ik[mes], "&gt;="&amp;E$1,
  desp.m.ik[mes], "&lt;"&amp;EOMONTH(E$1,0)+1
)</f>
        <v>0</v>
      </c>
      <c r="F49" s="186">
        <f ca="1">-SUMIFS(
  desp.m.ik[valor],
  desp.m.ik[variavel], $B49,
  desp.m.ik[mes], "&gt;="&amp;F$1,
  desp.m.ik[mes], "&lt;"&amp;EOMONTH(F$1,0)+1
)</f>
        <v>0</v>
      </c>
      <c r="G49" s="186">
        <f ca="1">-SUMIFS(
  desp.m.ik[valor],
  desp.m.ik[variavel], $B49,
  desp.m.ik[mes], "&gt;="&amp;G$1,
  desp.m.ik[mes], "&lt;"&amp;EOMONTH(G$1,0)+1
)</f>
        <v>0</v>
      </c>
      <c r="H49" s="186">
        <f ca="1">-SUMIFS(
  desp.m.ik[valor],
  desp.m.ik[variavel], $B49,
  desp.m.ik[mes], "&gt;="&amp;H$1,
  desp.m.ik[mes], "&lt;"&amp;EOMONTH(H$1,0)+1
)</f>
        <v>0</v>
      </c>
      <c r="I49" s="186">
        <f ca="1">-SUMIFS(
  desp.m.ik[valor],
  desp.m.ik[variavel], $B49,
  desp.m.ik[mes], "&gt;="&amp;I$1,
  desp.m.ik[mes], "&lt;"&amp;EOMONTH(I$1,0)+1
)</f>
        <v>0</v>
      </c>
      <c r="J49" s="186">
        <f ca="1">-SUMIFS(
  desp.m.ik[valor],
  desp.m.ik[variavel], $B49,
  desp.m.ik[mes], "&gt;="&amp;J$1,
  desp.m.ik[mes], "&lt;"&amp;EOMONTH(J$1,0)+1
)</f>
        <v>0</v>
      </c>
      <c r="K49" s="186">
        <f ca="1">-SUMIFS(
  desp.m.ik[valor],
  desp.m.ik[variavel], $B49,
  desp.m.ik[mes], "&gt;="&amp;K$1,
  desp.m.ik[mes], "&lt;"&amp;EOMONTH(K$1,0)+1
)</f>
        <v>0</v>
      </c>
      <c r="L49" s="186">
        <f ca="1">-SUMIFS(
  desp.m.ik[valor],
  desp.m.ik[variavel], $B49,
  desp.m.ik[mes], "&gt;="&amp;L$1,
  desp.m.ik[mes], "&lt;"&amp;EOMONTH(L$1,0)+1
)</f>
        <v>0</v>
      </c>
      <c r="M49" s="186">
        <f ca="1">-SUMIFS(
  desp.m.ik[valor],
  desp.m.ik[variavel], $B49,
  desp.m.ik[mes], "&gt;="&amp;M$1,
  desp.m.ik[mes], "&lt;"&amp;EOMONTH(M$1,0)+1
)</f>
        <v>0</v>
      </c>
      <c r="N49" s="186">
        <f ca="1">-SUMIFS(
  desp.m.ik[valor],
  desp.m.ik[variavel], $B49,
  desp.m.ik[mes], "&gt;="&amp;N$1,
  desp.m.ik[mes], "&lt;"&amp;EOMONTH(N$1,0)+1
)</f>
        <v>0</v>
      </c>
      <c r="O49" s="186">
        <f ca="1">-SUMIFS(
  desp.m.ik[valor],
  desp.m.ik[variavel], $B49,
  desp.m.ik[mes], "&gt;="&amp;O$1,
  desp.m.ik[mes], "&lt;"&amp;EOMONTH(O$1,0)+1
)</f>
        <v>0</v>
      </c>
      <c r="P49" s="186">
        <f ca="1">-SUMIFS(
  desp.m.ik[valor],
  desp.m.ik[variavel], $B49,
  desp.m.ik[mes], "&gt;="&amp;P$1,
  desp.m.ik[mes], "&lt;"&amp;EOMONTH(P$1,0)+1
)</f>
        <v>0</v>
      </c>
      <c r="Q49" s="186">
        <f ca="1">-SUMIFS(
  desp.m.ik[valor],
  desp.m.ik[variavel], $B49,
  desp.m.ik[mes], "&gt;="&amp;Q$1,
  desp.m.ik[mes], "&lt;"&amp;EOMONTH(Q$1,0)+1
)</f>
        <v>0</v>
      </c>
      <c r="R49" s="186">
        <f ca="1">-SUMIFS(
  desp.m.ik[valor],
  desp.m.ik[variavel], $B49,
  desp.m.ik[mes], "&gt;="&amp;R$1,
  desp.m.ik[mes], "&lt;"&amp;EOMONTH(R$1,0)+1
)</f>
        <v>0</v>
      </c>
      <c r="S49" s="186">
        <f ca="1">-SUMIFS(
  desp.m.ik[valor],
  desp.m.ik[variavel], $B49,
  desp.m.ik[mes], "&gt;="&amp;S$1,
  desp.m.ik[mes], "&lt;"&amp;EOMONTH(S$1,0)+1
)</f>
        <v>0</v>
      </c>
      <c r="T49" s="186">
        <f ca="1">-SUMIFS(
  desp.m.ik[valor],
  desp.m.ik[variavel], $B49,
  desp.m.ik[mes], "&gt;="&amp;T$1,
  desp.m.ik[mes], "&lt;"&amp;EOMONTH(T$1,0)+1
)</f>
        <v>0</v>
      </c>
      <c r="U49" s="186">
        <f ca="1">-SUMIFS(
  desp.m.ik[valor],
  desp.m.ik[variavel], $B49,
  desp.m.ik[mes], "&gt;="&amp;U$1,
  desp.m.ik[mes], "&lt;"&amp;EOMONTH(U$1,0)+1
)</f>
        <v>0</v>
      </c>
      <c r="V49" s="186">
        <f ca="1">-SUMIFS(
  desp.m.ik[valor],
  desp.m.ik[variavel], $B49,
  desp.m.ik[mes], "&gt;="&amp;V$1,
  desp.m.ik[mes], "&lt;"&amp;EOMONTH(V$1,0)+1
)</f>
        <v>0</v>
      </c>
      <c r="W49" s="186">
        <f ca="1">-SUMIFS(
  desp.m.ik[valor],
  desp.m.ik[variavel], $B49,
  desp.m.ik[mes], "&gt;="&amp;W$1,
  desp.m.ik[mes], "&lt;"&amp;EOMONTH(W$1,0)+1
)</f>
        <v>0</v>
      </c>
      <c r="X49" s="186">
        <f ca="1">-SUMIFS(
  desp.m.ik[valor],
  desp.m.ik[variavel], $B49,
  desp.m.ik[mes], "&gt;="&amp;X$1,
  desp.m.ik[mes], "&lt;"&amp;EOMONTH(X$1,0)+1
)</f>
        <v>0</v>
      </c>
      <c r="Y49" s="186">
        <f ca="1">-SUMIFS(
  desp.m.ik[valor],
  desp.m.ik[variavel], $B49,
  desp.m.ik[mes], "&gt;="&amp;Y$1,
  desp.m.ik[mes], "&lt;"&amp;EOMONTH(Y$1,0)+1
)</f>
        <v>0</v>
      </c>
      <c r="Z49" s="186">
        <f ca="1">-SUMIFS(
  desp.m.ik[valor],
  desp.m.ik[variavel], $B49,
  desp.m.ik[mes], "&gt;="&amp;Z$1,
  desp.m.ik[mes], "&lt;"&amp;EOMONTH(Z$1,0)+1
)</f>
        <v>0</v>
      </c>
      <c r="AA49" s="186">
        <f ca="1">-SUMIFS(
  desp.m.ik[valor],
  desp.m.ik[variavel], $B49,
  desp.m.ik[mes], "&gt;="&amp;AA$1,
  desp.m.ik[mes], "&lt;"&amp;EOMONTH(AA$1,0)+1
)</f>
        <v>0</v>
      </c>
      <c r="AC49" s="178">
        <f t="shared" ca="1" si="3"/>
        <v>0</v>
      </c>
      <c r="AE49" s="178">
        <f t="shared" ref="AE49" ca="1" si="13">SUM(D49:AA49)</f>
        <v>0</v>
      </c>
    </row>
    <row r="50" spans="1:31" hidden="1" outlineLevel="2" x14ac:dyDescent="0.25">
      <c r="A50" s="196" t="s">
        <v>1140</v>
      </c>
      <c r="B50" s="196" t="s">
        <v>726</v>
      </c>
      <c r="C50" s="138" t="s">
        <v>514</v>
      </c>
      <c r="D50" s="186">
        <f ca="1">-SUMIFS(
  desp.m.ik[valor],
  desp.m.ik[variavel], $B50,
  desp.m.ik[mes], "&gt;="&amp;D$1,
  desp.m.ik[mes], "&lt;"&amp;EOMONTH(D$1,0)+1
)</f>
        <v>0</v>
      </c>
      <c r="E50" s="186">
        <f ca="1">-SUMIFS(
  desp.m.ik[valor],
  desp.m.ik[variavel], $B50,
  desp.m.ik[mes], "&gt;="&amp;E$1,
  desp.m.ik[mes], "&lt;"&amp;EOMONTH(E$1,0)+1
)</f>
        <v>0</v>
      </c>
      <c r="F50" s="186">
        <f ca="1">-SUMIFS(
  desp.m.ik[valor],
  desp.m.ik[variavel], $B50,
  desp.m.ik[mes], "&gt;="&amp;F$1,
  desp.m.ik[mes], "&lt;"&amp;EOMONTH(F$1,0)+1
)</f>
        <v>0</v>
      </c>
      <c r="G50" s="186">
        <f ca="1">-SUMIFS(
  desp.m.ik[valor],
  desp.m.ik[variavel], $B50,
  desp.m.ik[mes], "&gt;="&amp;G$1,
  desp.m.ik[mes], "&lt;"&amp;EOMONTH(G$1,0)+1
)</f>
        <v>0</v>
      </c>
      <c r="H50" s="186">
        <f ca="1">-SUMIFS(
  desp.m.ik[valor],
  desp.m.ik[variavel], $B50,
  desp.m.ik[mes], "&gt;="&amp;H$1,
  desp.m.ik[mes], "&lt;"&amp;EOMONTH(H$1,0)+1
)</f>
        <v>0</v>
      </c>
      <c r="I50" s="186">
        <f ca="1">-SUMIFS(
  desp.m.ik[valor],
  desp.m.ik[variavel], $B50,
  desp.m.ik[mes], "&gt;="&amp;I$1,
  desp.m.ik[mes], "&lt;"&amp;EOMONTH(I$1,0)+1
)</f>
        <v>0</v>
      </c>
      <c r="J50" s="186">
        <f ca="1">-SUMIFS(
  desp.m.ik[valor],
  desp.m.ik[variavel], $B50,
  desp.m.ik[mes], "&gt;="&amp;J$1,
  desp.m.ik[mes], "&lt;"&amp;EOMONTH(J$1,0)+1
)</f>
        <v>0</v>
      </c>
      <c r="K50" s="186">
        <f ca="1">-SUMIFS(
  desp.m.ik[valor],
  desp.m.ik[variavel], $B50,
  desp.m.ik[mes], "&gt;="&amp;K$1,
  desp.m.ik[mes], "&lt;"&amp;EOMONTH(K$1,0)+1
)</f>
        <v>0</v>
      </c>
      <c r="L50" s="186">
        <f ca="1">-SUMIFS(
  desp.m.ik[valor],
  desp.m.ik[variavel], $B50,
  desp.m.ik[mes], "&gt;="&amp;L$1,
  desp.m.ik[mes], "&lt;"&amp;EOMONTH(L$1,0)+1
)</f>
        <v>0</v>
      </c>
      <c r="M50" s="186">
        <f ca="1">-SUMIFS(
  desp.m.ik[valor],
  desp.m.ik[variavel], $B50,
  desp.m.ik[mes], "&gt;="&amp;M$1,
  desp.m.ik[mes], "&lt;"&amp;EOMONTH(M$1,0)+1
)</f>
        <v>0</v>
      </c>
      <c r="N50" s="186">
        <f ca="1">-SUMIFS(
  desp.m.ik[valor],
  desp.m.ik[variavel], $B50,
  desp.m.ik[mes], "&gt;="&amp;N$1,
  desp.m.ik[mes], "&lt;"&amp;EOMONTH(N$1,0)+1
)</f>
        <v>0</v>
      </c>
      <c r="O50" s="186">
        <f ca="1">-SUMIFS(
  desp.m.ik[valor],
  desp.m.ik[variavel], $B50,
  desp.m.ik[mes], "&gt;="&amp;O$1,
  desp.m.ik[mes], "&lt;"&amp;EOMONTH(O$1,0)+1
)</f>
        <v>0</v>
      </c>
      <c r="P50" s="186">
        <f ca="1">-SUMIFS(
  desp.m.ik[valor],
  desp.m.ik[variavel], $B50,
  desp.m.ik[mes], "&gt;="&amp;P$1,
  desp.m.ik[mes], "&lt;"&amp;EOMONTH(P$1,0)+1
)</f>
        <v>0</v>
      </c>
      <c r="Q50" s="186">
        <f ca="1">-SUMIFS(
  desp.m.ik[valor],
  desp.m.ik[variavel], $B50,
  desp.m.ik[mes], "&gt;="&amp;Q$1,
  desp.m.ik[mes], "&lt;"&amp;EOMONTH(Q$1,0)+1
)</f>
        <v>0</v>
      </c>
      <c r="R50" s="186">
        <f ca="1">-SUMIFS(
  desp.m.ik[valor],
  desp.m.ik[variavel], $B50,
  desp.m.ik[mes], "&gt;="&amp;R$1,
  desp.m.ik[mes], "&lt;"&amp;EOMONTH(R$1,0)+1
)</f>
        <v>0</v>
      </c>
      <c r="S50" s="186">
        <f ca="1">-SUMIFS(
  desp.m.ik[valor],
  desp.m.ik[variavel], $B50,
  desp.m.ik[mes], "&gt;="&amp;S$1,
  desp.m.ik[mes], "&lt;"&amp;EOMONTH(S$1,0)+1
)</f>
        <v>0</v>
      </c>
      <c r="T50" s="186">
        <f ca="1">-SUMIFS(
  desp.m.ik[valor],
  desp.m.ik[variavel], $B50,
  desp.m.ik[mes], "&gt;="&amp;T$1,
  desp.m.ik[mes], "&lt;"&amp;EOMONTH(T$1,0)+1
)</f>
        <v>0</v>
      </c>
      <c r="U50" s="186">
        <f ca="1">-SUMIFS(
  desp.m.ik[valor],
  desp.m.ik[variavel], $B50,
  desp.m.ik[mes], "&gt;="&amp;U$1,
  desp.m.ik[mes], "&lt;"&amp;EOMONTH(U$1,0)+1
)</f>
        <v>0</v>
      </c>
      <c r="V50" s="186">
        <f ca="1">-SUMIFS(
  desp.m.ik[valor],
  desp.m.ik[variavel], $B50,
  desp.m.ik[mes], "&gt;="&amp;V$1,
  desp.m.ik[mes], "&lt;"&amp;EOMONTH(V$1,0)+1
)</f>
        <v>0</v>
      </c>
      <c r="W50" s="186">
        <f ca="1">-SUMIFS(
  desp.m.ik[valor],
  desp.m.ik[variavel], $B50,
  desp.m.ik[mes], "&gt;="&amp;W$1,
  desp.m.ik[mes], "&lt;"&amp;EOMONTH(W$1,0)+1
)</f>
        <v>0</v>
      </c>
      <c r="X50" s="186">
        <f ca="1">-SUMIFS(
  desp.m.ik[valor],
  desp.m.ik[variavel], $B50,
  desp.m.ik[mes], "&gt;="&amp;X$1,
  desp.m.ik[mes], "&lt;"&amp;EOMONTH(X$1,0)+1
)</f>
        <v>0</v>
      </c>
      <c r="Y50" s="186">
        <f ca="1">-SUMIFS(
  desp.m.ik[valor],
  desp.m.ik[variavel], $B50,
  desp.m.ik[mes], "&gt;="&amp;Y$1,
  desp.m.ik[mes], "&lt;"&amp;EOMONTH(Y$1,0)+1
)</f>
        <v>0</v>
      </c>
      <c r="Z50" s="186">
        <f ca="1">-SUMIFS(
  desp.m.ik[valor],
  desp.m.ik[variavel], $B50,
  desp.m.ik[mes], "&gt;="&amp;Z$1,
  desp.m.ik[mes], "&lt;"&amp;EOMONTH(Z$1,0)+1
)</f>
        <v>0</v>
      </c>
      <c r="AA50" s="186">
        <f ca="1">-SUMIFS(
  desp.m.ik[valor],
  desp.m.ik[variavel], $B50,
  desp.m.ik[mes], "&gt;="&amp;AA$1,
  desp.m.ik[mes], "&lt;"&amp;EOMONTH(AA$1,0)+1
)</f>
        <v>0</v>
      </c>
      <c r="AC50" s="178">
        <f t="shared" ca="1" si="3"/>
        <v>0</v>
      </c>
      <c r="AE50" s="178">
        <f t="shared" ref="AE50" ca="1" si="14">SUM(D50:AA50)</f>
        <v>0</v>
      </c>
    </row>
    <row r="51" spans="1:31" hidden="1" outlineLevel="1" x14ac:dyDescent="0.25">
      <c r="A51" s="182" t="s">
        <v>548</v>
      </c>
      <c r="B51" s="182" t="s">
        <v>350</v>
      </c>
      <c r="C51" s="183" t="s">
        <v>514</v>
      </c>
      <c r="D51" s="184">
        <f t="shared" ref="D51:AA51" si="15">SUM(D$52:D$66)</f>
        <v>0</v>
      </c>
      <c r="E51" s="184">
        <f t="shared" si="15"/>
        <v>0</v>
      </c>
      <c r="F51" s="184">
        <f t="shared" si="15"/>
        <v>0</v>
      </c>
      <c r="G51" s="184">
        <f t="shared" si="15"/>
        <v>0</v>
      </c>
      <c r="H51" s="184">
        <f t="shared" si="15"/>
        <v>0</v>
      </c>
      <c r="I51" s="184">
        <f t="shared" si="15"/>
        <v>0</v>
      </c>
      <c r="J51" s="184">
        <f t="shared" si="15"/>
        <v>0</v>
      </c>
      <c r="K51" s="184">
        <f t="shared" si="15"/>
        <v>0</v>
      </c>
      <c r="L51" s="184">
        <f t="shared" si="15"/>
        <v>0</v>
      </c>
      <c r="M51" s="184">
        <f t="shared" si="15"/>
        <v>0</v>
      </c>
      <c r="N51" s="184">
        <f t="shared" si="15"/>
        <v>0</v>
      </c>
      <c r="O51" s="184">
        <f t="shared" si="15"/>
        <v>0</v>
      </c>
      <c r="P51" s="184">
        <f t="shared" si="15"/>
        <v>0</v>
      </c>
      <c r="Q51" s="184">
        <f t="shared" si="15"/>
        <v>0</v>
      </c>
      <c r="R51" s="184">
        <f t="shared" si="15"/>
        <v>0</v>
      </c>
      <c r="S51" s="184">
        <f t="shared" si="15"/>
        <v>0</v>
      </c>
      <c r="T51" s="184">
        <f t="shared" si="15"/>
        <v>0</v>
      </c>
      <c r="U51" s="184">
        <f t="shared" si="15"/>
        <v>0</v>
      </c>
      <c r="V51" s="184">
        <f t="shared" si="15"/>
        <v>0</v>
      </c>
      <c r="W51" s="184">
        <f t="shared" si="15"/>
        <v>0</v>
      </c>
      <c r="X51" s="184">
        <f t="shared" si="15"/>
        <v>0</v>
      </c>
      <c r="Y51" s="184">
        <f t="shared" si="15"/>
        <v>0</v>
      </c>
      <c r="Z51" s="184">
        <f t="shared" si="15"/>
        <v>0</v>
      </c>
      <c r="AA51" s="184">
        <f t="shared" si="15"/>
        <v>0</v>
      </c>
      <c r="AC51" s="280">
        <f t="shared" si="3"/>
        <v>0</v>
      </c>
      <c r="AE51" s="280">
        <f t="shared" si="1"/>
        <v>0</v>
      </c>
    </row>
    <row r="52" spans="1:31" hidden="1" outlineLevel="2" x14ac:dyDescent="0.25">
      <c r="A52" s="185" t="s">
        <v>550</v>
      </c>
      <c r="B52" s="185" t="s">
        <v>541</v>
      </c>
      <c r="C52" s="138" t="s">
        <v>514</v>
      </c>
      <c r="D52" s="186">
        <f>-SUMIFS(
  tb_desp[valor],
  tb_desp[nucleo], $B52,
  tb_desp[centro.negocio], $B$51,
  tb_desp[data.pagamento], "&gt;="&amp;D$1,
  tb_desp[data.pagamento], "&lt;"&amp;EOMONTH(D$1,0)+1,
  tb_desp[classe], "&lt;&gt;Financiamento"
)</f>
        <v>0</v>
      </c>
      <c r="E52" s="186">
        <f>-SUMIFS(
  tb_desp[valor],
  tb_desp[nucleo], $B52,
  tb_desp[centro.negocio], $B$51,
  tb_desp[data.pagamento], "&gt;="&amp;E$1,
  tb_desp[data.pagamento], "&lt;"&amp;EOMONTH(E$1,0)+1,
  tb_desp[classe], "&lt;&gt;Financiamento"
)</f>
        <v>0</v>
      </c>
      <c r="F52" s="186">
        <f>-SUMIFS(
  tb_desp[valor],
  tb_desp[nucleo], $B52,
  tb_desp[centro.negocio], $B$51,
  tb_desp[data.pagamento], "&gt;="&amp;F$1,
  tb_desp[data.pagamento], "&lt;"&amp;EOMONTH(F$1,0)+1,
  tb_desp[classe], "&lt;&gt;Financiamento"
)</f>
        <v>0</v>
      </c>
      <c r="G52" s="186">
        <f>-SUMIFS(
  tb_desp[valor],
  tb_desp[nucleo], $B52,
  tb_desp[centro.negocio], $B$51,
  tb_desp[data.pagamento], "&gt;="&amp;G$1,
  tb_desp[data.pagamento], "&lt;"&amp;EOMONTH(G$1,0)+1,
  tb_desp[classe], "&lt;&gt;Financiamento"
)</f>
        <v>0</v>
      </c>
      <c r="H52" s="186">
        <f>-SUMIFS(
  tb_desp[valor],
  tb_desp[nucleo], $B52,
  tb_desp[centro.negocio], $B$51,
  tb_desp[data.pagamento], "&gt;="&amp;H$1,
  tb_desp[data.pagamento], "&lt;"&amp;EOMONTH(H$1,0)+1,
  tb_desp[classe], "&lt;&gt;Financiamento"
)</f>
        <v>0</v>
      </c>
      <c r="I52" s="186">
        <f>-SUMIFS(
  tb_desp[valor],
  tb_desp[nucleo], $B52,
  tb_desp[centro.negocio], $B$51,
  tb_desp[data.pagamento], "&gt;="&amp;I$1,
  tb_desp[data.pagamento], "&lt;"&amp;EOMONTH(I$1,0)+1,
  tb_desp[classe], "&lt;&gt;Financiamento"
)</f>
        <v>0</v>
      </c>
      <c r="J52" s="186">
        <f>-SUMIFS(
  tb_desp[valor],
  tb_desp[nucleo], $B52,
  tb_desp[centro.negocio], $B$51,
  tb_desp[data.pagamento], "&gt;="&amp;J$1,
  tb_desp[data.pagamento], "&lt;"&amp;EOMONTH(J$1,0)+1,
  tb_desp[classe], "&lt;&gt;Financiamento"
)</f>
        <v>0</v>
      </c>
      <c r="K52" s="186">
        <f>-SUMIFS(
  tb_desp[valor],
  tb_desp[nucleo], $B52,
  tb_desp[centro.negocio], $B$51,
  tb_desp[data.pagamento], "&gt;="&amp;K$1,
  tb_desp[data.pagamento], "&lt;"&amp;EOMONTH(K$1,0)+1,
  tb_desp[classe], "&lt;&gt;Financiamento"
)</f>
        <v>0</v>
      </c>
      <c r="L52" s="186">
        <f>-SUMIFS(
  tb_desp[valor],
  tb_desp[nucleo], $B52,
  tb_desp[centro.negocio], $B$51,
  tb_desp[data.pagamento], "&gt;="&amp;L$1,
  tb_desp[data.pagamento], "&lt;"&amp;EOMONTH(L$1,0)+1,
  tb_desp[classe], "&lt;&gt;Financiamento"
)</f>
        <v>0</v>
      </c>
      <c r="M52" s="186">
        <f>-SUMIFS(
  tb_desp[valor],
  tb_desp[nucleo], $B52,
  tb_desp[centro.negocio], $B$51,
  tb_desp[data.pagamento], "&gt;="&amp;M$1,
  tb_desp[data.pagamento], "&lt;"&amp;EOMONTH(M$1,0)+1,
  tb_desp[classe], "&lt;&gt;Financiamento"
)</f>
        <v>0</v>
      </c>
      <c r="N52" s="186">
        <f>-SUMIFS(
  tb_desp[valor],
  tb_desp[nucleo], $B52,
  tb_desp[centro.negocio], $B$51,
  tb_desp[data.pagamento], "&gt;="&amp;N$1,
  tb_desp[data.pagamento], "&lt;"&amp;EOMONTH(N$1,0)+1,
  tb_desp[classe], "&lt;&gt;Financiamento"
)</f>
        <v>0</v>
      </c>
      <c r="O52" s="186">
        <f>-SUMIFS(
  tb_desp[valor],
  tb_desp[nucleo], $B52,
  tb_desp[centro.negocio], $B$51,
  tb_desp[data.pagamento], "&gt;="&amp;O$1,
  tb_desp[data.pagamento], "&lt;"&amp;EOMONTH(O$1,0)+1,
  tb_desp[classe], "&lt;&gt;Financiamento"
)</f>
        <v>0</v>
      </c>
      <c r="P52" s="186">
        <f>-SUMIFS(
  tb_desp[valor],
  tb_desp[nucleo], $B52,
  tb_desp[centro.negocio], $B$51,
  tb_desp[data.pagamento], "&gt;="&amp;P$1,
  tb_desp[data.pagamento], "&lt;"&amp;EOMONTH(P$1,0)+1,
  tb_desp[classe], "&lt;&gt;Financiamento"
)</f>
        <v>0</v>
      </c>
      <c r="Q52" s="186">
        <f>-SUMIFS(
  tb_desp[valor],
  tb_desp[nucleo], $B52,
  tb_desp[centro.negocio], $B$51,
  tb_desp[data.pagamento], "&gt;="&amp;Q$1,
  tb_desp[data.pagamento], "&lt;"&amp;EOMONTH(Q$1,0)+1,
  tb_desp[classe], "&lt;&gt;Financiamento"
)</f>
        <v>0</v>
      </c>
      <c r="R52" s="186">
        <f>-SUMIFS(
  tb_desp[valor],
  tb_desp[nucleo], $B52,
  tb_desp[centro.negocio], $B$51,
  tb_desp[data.pagamento], "&gt;="&amp;R$1,
  tb_desp[data.pagamento], "&lt;"&amp;EOMONTH(R$1,0)+1,
  tb_desp[classe], "&lt;&gt;Financiamento"
)</f>
        <v>0</v>
      </c>
      <c r="S52" s="186">
        <f>-SUMIFS(
  tb_desp[valor],
  tb_desp[nucleo], $B52,
  tb_desp[centro.negocio], $B$51,
  tb_desp[data.pagamento], "&gt;="&amp;S$1,
  tb_desp[data.pagamento], "&lt;"&amp;EOMONTH(S$1,0)+1,
  tb_desp[classe], "&lt;&gt;Financiamento"
)</f>
        <v>0</v>
      </c>
      <c r="T52" s="186">
        <f>-SUMIFS(
  tb_desp[valor],
  tb_desp[nucleo], $B52,
  tb_desp[centro.negocio], $B$51,
  tb_desp[data.pagamento], "&gt;="&amp;T$1,
  tb_desp[data.pagamento], "&lt;"&amp;EOMONTH(T$1,0)+1,
  tb_desp[classe], "&lt;&gt;Financiamento"
)</f>
        <v>0</v>
      </c>
      <c r="U52" s="186">
        <f>-SUMIFS(
  tb_desp[valor],
  tb_desp[nucleo], $B52,
  tb_desp[centro.negocio], $B$51,
  tb_desp[data.pagamento], "&gt;="&amp;U$1,
  tb_desp[data.pagamento], "&lt;"&amp;EOMONTH(U$1,0)+1,
  tb_desp[classe], "&lt;&gt;Financiamento"
)</f>
        <v>0</v>
      </c>
      <c r="V52" s="186">
        <f>-SUMIFS(
  tb_desp[valor],
  tb_desp[nucleo], $B52,
  tb_desp[centro.negocio], $B$51,
  tb_desp[data.pagamento], "&gt;="&amp;V$1,
  tb_desp[data.pagamento], "&lt;"&amp;EOMONTH(V$1,0)+1,
  tb_desp[classe], "&lt;&gt;Financiamento"
)</f>
        <v>0</v>
      </c>
      <c r="W52" s="186">
        <f>-SUMIFS(
  tb_desp[valor],
  tb_desp[nucleo], $B52,
  tb_desp[centro.negocio], $B$51,
  tb_desp[data.pagamento], "&gt;="&amp;W$1,
  tb_desp[data.pagamento], "&lt;"&amp;EOMONTH(W$1,0)+1,
  tb_desp[classe], "&lt;&gt;Financiamento"
)</f>
        <v>0</v>
      </c>
      <c r="X52" s="186">
        <f>-SUMIFS(
  tb_desp[valor],
  tb_desp[nucleo], $B52,
  tb_desp[centro.negocio], $B$51,
  tb_desp[data.pagamento], "&gt;="&amp;X$1,
  tb_desp[data.pagamento], "&lt;"&amp;EOMONTH(X$1,0)+1,
  tb_desp[classe], "&lt;&gt;Financiamento"
)</f>
        <v>0</v>
      </c>
      <c r="Y52" s="186">
        <f>-SUMIFS(
  tb_desp[valor],
  tb_desp[nucleo], $B52,
  tb_desp[centro.negocio], $B$51,
  tb_desp[data.pagamento], "&gt;="&amp;Y$1,
  tb_desp[data.pagamento], "&lt;"&amp;EOMONTH(Y$1,0)+1,
  tb_desp[classe], "&lt;&gt;Financiamento"
)</f>
        <v>0</v>
      </c>
      <c r="Z52" s="186">
        <f>-SUMIFS(
  tb_desp[valor],
  tb_desp[nucleo], $B52,
  tb_desp[centro.negocio], $B$51,
  tb_desp[data.pagamento], "&gt;="&amp;Z$1,
  tb_desp[data.pagamento], "&lt;"&amp;EOMONTH(Z$1,0)+1,
  tb_desp[classe], "&lt;&gt;Financiamento"
)</f>
        <v>0</v>
      </c>
      <c r="AA52" s="186">
        <f>-SUMIFS(
  tb_desp[valor],
  tb_desp[nucleo], $B52,
  tb_desp[centro.negocio], $B$51,
  tb_desp[data.pagamento], "&gt;="&amp;AA$1,
  tb_desp[data.pagamento], "&lt;"&amp;EOMONTH(AA$1,0)+1,
  tb_desp[classe], "&lt;&gt;Financiamento"
)</f>
        <v>0</v>
      </c>
      <c r="AC52" s="178">
        <f t="shared" si="3"/>
        <v>0</v>
      </c>
      <c r="AE52" s="178">
        <f t="shared" si="1"/>
        <v>0</v>
      </c>
    </row>
    <row r="53" spans="1:31" hidden="1" outlineLevel="2" x14ac:dyDescent="0.25">
      <c r="A53" s="185" t="s">
        <v>549</v>
      </c>
      <c r="B53" s="185" t="s">
        <v>546</v>
      </c>
      <c r="C53" s="138" t="s">
        <v>514</v>
      </c>
      <c r="D53" s="186">
        <f>-SUMIFS(
  tb_desp[valor],
  tb_desp[nucleo], $B53,
  tb_desp[centro.negocio], $B$51,
  tb_desp[data.pagamento], "&gt;="&amp;D$1,
  tb_desp[data.pagamento], "&lt;"&amp;EOMONTH(D$1,0)+1,
  tb_desp[classe], "&lt;&gt;Financiamento"
)</f>
        <v>0</v>
      </c>
      <c r="E53" s="186">
        <f>-SUMIFS(
  tb_desp[valor],
  tb_desp[nucleo], $B53,
  tb_desp[centro.negocio], $B$51,
  tb_desp[data.pagamento], "&gt;="&amp;E$1,
  tb_desp[data.pagamento], "&lt;"&amp;EOMONTH(E$1,0)+1,
  tb_desp[classe], "&lt;&gt;Financiamento"
)</f>
        <v>0</v>
      </c>
      <c r="F53" s="186">
        <f>-SUMIFS(
  tb_desp[valor],
  tb_desp[nucleo], $B53,
  tb_desp[centro.negocio], $B$51,
  tb_desp[data.pagamento], "&gt;="&amp;F$1,
  tb_desp[data.pagamento], "&lt;"&amp;EOMONTH(F$1,0)+1,
  tb_desp[classe], "&lt;&gt;Financiamento"
)</f>
        <v>0</v>
      </c>
      <c r="G53" s="186">
        <f>-SUMIFS(
  tb_desp[valor],
  tb_desp[nucleo], $B53,
  tb_desp[centro.negocio], $B$51,
  tb_desp[data.pagamento], "&gt;="&amp;G$1,
  tb_desp[data.pagamento], "&lt;"&amp;EOMONTH(G$1,0)+1,
  tb_desp[classe], "&lt;&gt;Financiamento"
)</f>
        <v>0</v>
      </c>
      <c r="H53" s="186">
        <f>-SUMIFS(
  tb_desp[valor],
  tb_desp[nucleo], $B53,
  tb_desp[centro.negocio], $B$51,
  tb_desp[data.pagamento], "&gt;="&amp;H$1,
  tb_desp[data.pagamento], "&lt;"&amp;EOMONTH(H$1,0)+1,
  tb_desp[classe], "&lt;&gt;Financiamento"
)</f>
        <v>0</v>
      </c>
      <c r="I53" s="186">
        <f>-SUMIFS(
  tb_desp[valor],
  tb_desp[nucleo], $B53,
  tb_desp[centro.negocio], $B$51,
  tb_desp[data.pagamento], "&gt;="&amp;I$1,
  tb_desp[data.pagamento], "&lt;"&amp;EOMONTH(I$1,0)+1,
  tb_desp[classe], "&lt;&gt;Financiamento"
)</f>
        <v>0</v>
      </c>
      <c r="J53" s="186">
        <f>-SUMIFS(
  tb_desp[valor],
  tb_desp[nucleo], $B53,
  tb_desp[centro.negocio], $B$51,
  tb_desp[data.pagamento], "&gt;="&amp;J$1,
  tb_desp[data.pagamento], "&lt;"&amp;EOMONTH(J$1,0)+1,
  tb_desp[classe], "&lt;&gt;Financiamento"
)</f>
        <v>0</v>
      </c>
      <c r="K53" s="186">
        <f>-SUMIFS(
  tb_desp[valor],
  tb_desp[nucleo], $B53,
  tb_desp[centro.negocio], $B$51,
  tb_desp[data.pagamento], "&gt;="&amp;K$1,
  tb_desp[data.pagamento], "&lt;"&amp;EOMONTH(K$1,0)+1,
  tb_desp[classe], "&lt;&gt;Financiamento"
)</f>
        <v>0</v>
      </c>
      <c r="L53" s="186">
        <f>-SUMIFS(
  tb_desp[valor],
  tb_desp[nucleo], $B53,
  tb_desp[centro.negocio], $B$51,
  tb_desp[data.pagamento], "&gt;="&amp;L$1,
  tb_desp[data.pagamento], "&lt;"&amp;EOMONTH(L$1,0)+1,
  tb_desp[classe], "&lt;&gt;Financiamento"
)</f>
        <v>0</v>
      </c>
      <c r="M53" s="186">
        <f>-SUMIFS(
  tb_desp[valor],
  tb_desp[nucleo], $B53,
  tb_desp[centro.negocio], $B$51,
  tb_desp[data.pagamento], "&gt;="&amp;M$1,
  tb_desp[data.pagamento], "&lt;"&amp;EOMONTH(M$1,0)+1,
  tb_desp[classe], "&lt;&gt;Financiamento"
)</f>
        <v>0</v>
      </c>
      <c r="N53" s="186">
        <f>-SUMIFS(
  tb_desp[valor],
  tb_desp[nucleo], $B53,
  tb_desp[centro.negocio], $B$51,
  tb_desp[data.pagamento], "&gt;="&amp;N$1,
  tb_desp[data.pagamento], "&lt;"&amp;EOMONTH(N$1,0)+1,
  tb_desp[classe], "&lt;&gt;Financiamento"
)</f>
        <v>0</v>
      </c>
      <c r="O53" s="186">
        <f>-SUMIFS(
  tb_desp[valor],
  tb_desp[nucleo], $B53,
  tb_desp[centro.negocio], $B$51,
  tb_desp[data.pagamento], "&gt;="&amp;O$1,
  tb_desp[data.pagamento], "&lt;"&amp;EOMONTH(O$1,0)+1,
  tb_desp[classe], "&lt;&gt;Financiamento"
)</f>
        <v>0</v>
      </c>
      <c r="P53" s="186">
        <f>-SUMIFS(
  tb_desp[valor],
  tb_desp[nucleo], $B53,
  tb_desp[centro.negocio], $B$51,
  tb_desp[data.pagamento], "&gt;="&amp;P$1,
  tb_desp[data.pagamento], "&lt;"&amp;EOMONTH(P$1,0)+1,
  tb_desp[classe], "&lt;&gt;Financiamento"
)</f>
        <v>0</v>
      </c>
      <c r="Q53" s="186">
        <f>-SUMIFS(
  tb_desp[valor],
  tb_desp[nucleo], $B53,
  tb_desp[centro.negocio], $B$51,
  tb_desp[data.pagamento], "&gt;="&amp;Q$1,
  tb_desp[data.pagamento], "&lt;"&amp;EOMONTH(Q$1,0)+1,
  tb_desp[classe], "&lt;&gt;Financiamento"
)</f>
        <v>0</v>
      </c>
      <c r="R53" s="186">
        <f>-SUMIFS(
  tb_desp[valor],
  tb_desp[nucleo], $B53,
  tb_desp[centro.negocio], $B$51,
  tb_desp[data.pagamento], "&gt;="&amp;R$1,
  tb_desp[data.pagamento], "&lt;"&amp;EOMONTH(R$1,0)+1,
  tb_desp[classe], "&lt;&gt;Financiamento"
)</f>
        <v>0</v>
      </c>
      <c r="S53" s="186">
        <f>-SUMIFS(
  tb_desp[valor],
  tb_desp[nucleo], $B53,
  tb_desp[centro.negocio], $B$51,
  tb_desp[data.pagamento], "&gt;="&amp;S$1,
  tb_desp[data.pagamento], "&lt;"&amp;EOMONTH(S$1,0)+1,
  tb_desp[classe], "&lt;&gt;Financiamento"
)</f>
        <v>0</v>
      </c>
      <c r="T53" s="186">
        <f>-SUMIFS(
  tb_desp[valor],
  tb_desp[nucleo], $B53,
  tb_desp[centro.negocio], $B$51,
  tb_desp[data.pagamento], "&gt;="&amp;T$1,
  tb_desp[data.pagamento], "&lt;"&amp;EOMONTH(T$1,0)+1,
  tb_desp[classe], "&lt;&gt;Financiamento"
)</f>
        <v>0</v>
      </c>
      <c r="U53" s="186">
        <f>-SUMIFS(
  tb_desp[valor],
  tb_desp[nucleo], $B53,
  tb_desp[centro.negocio], $B$51,
  tb_desp[data.pagamento], "&gt;="&amp;U$1,
  tb_desp[data.pagamento], "&lt;"&amp;EOMONTH(U$1,0)+1,
  tb_desp[classe], "&lt;&gt;Financiamento"
)</f>
        <v>0</v>
      </c>
      <c r="V53" s="186">
        <f>-SUMIFS(
  tb_desp[valor],
  tb_desp[nucleo], $B53,
  tb_desp[centro.negocio], $B$51,
  tb_desp[data.pagamento], "&gt;="&amp;V$1,
  tb_desp[data.pagamento], "&lt;"&amp;EOMONTH(V$1,0)+1,
  tb_desp[classe], "&lt;&gt;Financiamento"
)</f>
        <v>0</v>
      </c>
      <c r="W53" s="186">
        <f>-SUMIFS(
  tb_desp[valor],
  tb_desp[nucleo], $B53,
  tb_desp[centro.negocio], $B$51,
  tb_desp[data.pagamento], "&gt;="&amp;W$1,
  tb_desp[data.pagamento], "&lt;"&amp;EOMONTH(W$1,0)+1,
  tb_desp[classe], "&lt;&gt;Financiamento"
)</f>
        <v>0</v>
      </c>
      <c r="X53" s="186">
        <f>-SUMIFS(
  tb_desp[valor],
  tb_desp[nucleo], $B53,
  tb_desp[centro.negocio], $B$51,
  tb_desp[data.pagamento], "&gt;="&amp;X$1,
  tb_desp[data.pagamento], "&lt;"&amp;EOMONTH(X$1,0)+1,
  tb_desp[classe], "&lt;&gt;Financiamento"
)</f>
        <v>0</v>
      </c>
      <c r="Y53" s="186">
        <f>-SUMIFS(
  tb_desp[valor],
  tb_desp[nucleo], $B53,
  tb_desp[centro.negocio], $B$51,
  tb_desp[data.pagamento], "&gt;="&amp;Y$1,
  tb_desp[data.pagamento], "&lt;"&amp;EOMONTH(Y$1,0)+1,
  tb_desp[classe], "&lt;&gt;Financiamento"
)</f>
        <v>0</v>
      </c>
      <c r="Z53" s="186">
        <f>-SUMIFS(
  tb_desp[valor],
  tb_desp[nucleo], $B53,
  tb_desp[centro.negocio], $B$51,
  tb_desp[data.pagamento], "&gt;="&amp;Z$1,
  tb_desp[data.pagamento], "&lt;"&amp;EOMONTH(Z$1,0)+1,
  tb_desp[classe], "&lt;&gt;Financiamento"
)</f>
        <v>0</v>
      </c>
      <c r="AA53" s="186">
        <f>-SUMIFS(
  tb_desp[valor],
  tb_desp[nucleo], $B53,
  tb_desp[centro.negocio], $B$51,
  tb_desp[data.pagamento], "&gt;="&amp;AA$1,
  tb_desp[data.pagamento], "&lt;"&amp;EOMONTH(AA$1,0)+1,
  tb_desp[classe], "&lt;&gt;Financiamento"
)</f>
        <v>0</v>
      </c>
      <c r="AC53" s="178">
        <f t="shared" si="3"/>
        <v>0</v>
      </c>
      <c r="AE53" s="178">
        <f>SUM(D53:AA53)</f>
        <v>0</v>
      </c>
    </row>
    <row r="54" spans="1:31" hidden="1" outlineLevel="2" x14ac:dyDescent="0.25">
      <c r="A54" s="185" t="s">
        <v>553</v>
      </c>
      <c r="B54" s="185" t="s">
        <v>531</v>
      </c>
      <c r="C54" s="138" t="s">
        <v>514</v>
      </c>
      <c r="D54" s="186">
        <f>-SUMIFS(
  tb_desp[valor],
  tb_desp[nucleo], $B54,
  tb_desp[centro.negocio], $B$51,
  tb_desp[data.pagamento], "&gt;="&amp;D$1,
  tb_desp[data.pagamento], "&lt;"&amp;EOMONTH(D$1,0)+1,
  tb_desp[classe], "&lt;&gt;Financiamento"
)</f>
        <v>0</v>
      </c>
      <c r="E54" s="186">
        <f>-SUMIFS(
  tb_desp[valor],
  tb_desp[nucleo], $B54,
  tb_desp[centro.negocio], $B$51,
  tb_desp[data.pagamento], "&gt;="&amp;E$1,
  tb_desp[data.pagamento], "&lt;"&amp;EOMONTH(E$1,0)+1,
  tb_desp[classe], "&lt;&gt;Financiamento"
)</f>
        <v>0</v>
      </c>
      <c r="F54" s="186">
        <f>-SUMIFS(
  tb_desp[valor],
  tb_desp[nucleo], $B54,
  tb_desp[centro.negocio], $B$51,
  tb_desp[data.pagamento], "&gt;="&amp;F$1,
  tb_desp[data.pagamento], "&lt;"&amp;EOMONTH(F$1,0)+1,
  tb_desp[classe], "&lt;&gt;Financiamento"
)</f>
        <v>0</v>
      </c>
      <c r="G54" s="186">
        <f>-SUMIFS(
  tb_desp[valor],
  tb_desp[nucleo], $B54,
  tb_desp[centro.negocio], $B$51,
  tb_desp[data.pagamento], "&gt;="&amp;G$1,
  tb_desp[data.pagamento], "&lt;"&amp;EOMONTH(G$1,0)+1,
  tb_desp[classe], "&lt;&gt;Financiamento"
)</f>
        <v>0</v>
      </c>
      <c r="H54" s="186">
        <f>-SUMIFS(
  tb_desp[valor],
  tb_desp[nucleo], $B54,
  tb_desp[centro.negocio], $B$51,
  tb_desp[data.pagamento], "&gt;="&amp;H$1,
  tb_desp[data.pagamento], "&lt;"&amp;EOMONTH(H$1,0)+1,
  tb_desp[classe], "&lt;&gt;Financiamento"
)</f>
        <v>0</v>
      </c>
      <c r="I54" s="186">
        <f>-SUMIFS(
  tb_desp[valor],
  tb_desp[nucleo], $B54,
  tb_desp[centro.negocio], $B$51,
  tb_desp[data.pagamento], "&gt;="&amp;I$1,
  tb_desp[data.pagamento], "&lt;"&amp;EOMONTH(I$1,0)+1,
  tb_desp[classe], "&lt;&gt;Financiamento"
)</f>
        <v>0</v>
      </c>
      <c r="J54" s="186">
        <f>-SUMIFS(
  tb_desp[valor],
  tb_desp[nucleo], $B54,
  tb_desp[centro.negocio], $B$51,
  tb_desp[data.pagamento], "&gt;="&amp;J$1,
  tb_desp[data.pagamento], "&lt;"&amp;EOMONTH(J$1,0)+1,
  tb_desp[classe], "&lt;&gt;Financiamento"
)</f>
        <v>0</v>
      </c>
      <c r="K54" s="186">
        <f>-SUMIFS(
  tb_desp[valor],
  tb_desp[nucleo], $B54,
  tb_desp[centro.negocio], $B$51,
  tb_desp[data.pagamento], "&gt;="&amp;K$1,
  tb_desp[data.pagamento], "&lt;"&amp;EOMONTH(K$1,0)+1,
  tb_desp[classe], "&lt;&gt;Financiamento"
)</f>
        <v>0</v>
      </c>
      <c r="L54" s="186">
        <f>-SUMIFS(
  tb_desp[valor],
  tb_desp[nucleo], $B54,
  tb_desp[centro.negocio], $B$51,
  tb_desp[data.pagamento], "&gt;="&amp;L$1,
  tb_desp[data.pagamento], "&lt;"&amp;EOMONTH(L$1,0)+1,
  tb_desp[classe], "&lt;&gt;Financiamento"
)</f>
        <v>0</v>
      </c>
      <c r="M54" s="186">
        <f>-SUMIFS(
  tb_desp[valor],
  tb_desp[nucleo], $B54,
  tb_desp[centro.negocio], $B$51,
  tb_desp[data.pagamento], "&gt;="&amp;M$1,
  tb_desp[data.pagamento], "&lt;"&amp;EOMONTH(M$1,0)+1,
  tb_desp[classe], "&lt;&gt;Financiamento"
)</f>
        <v>0</v>
      </c>
      <c r="N54" s="186">
        <f>-SUMIFS(
  tb_desp[valor],
  tb_desp[nucleo], $B54,
  tb_desp[centro.negocio], $B$51,
  tb_desp[data.pagamento], "&gt;="&amp;N$1,
  tb_desp[data.pagamento], "&lt;"&amp;EOMONTH(N$1,0)+1,
  tb_desp[classe], "&lt;&gt;Financiamento"
)</f>
        <v>0</v>
      </c>
      <c r="O54" s="186">
        <f>-SUMIFS(
  tb_desp[valor],
  tb_desp[nucleo], $B54,
  tb_desp[centro.negocio], $B$51,
  tb_desp[data.pagamento], "&gt;="&amp;O$1,
  tb_desp[data.pagamento], "&lt;"&amp;EOMONTH(O$1,0)+1,
  tb_desp[classe], "&lt;&gt;Financiamento"
)</f>
        <v>0</v>
      </c>
      <c r="P54" s="186">
        <f>-SUMIFS(
  tb_desp[valor],
  tb_desp[nucleo], $B54,
  tb_desp[centro.negocio], $B$51,
  tb_desp[data.pagamento], "&gt;="&amp;P$1,
  tb_desp[data.pagamento], "&lt;"&amp;EOMONTH(P$1,0)+1,
  tb_desp[classe], "&lt;&gt;Financiamento"
)</f>
        <v>0</v>
      </c>
      <c r="Q54" s="186">
        <f>-SUMIFS(
  tb_desp[valor],
  tb_desp[nucleo], $B54,
  tb_desp[centro.negocio], $B$51,
  tb_desp[data.pagamento], "&gt;="&amp;Q$1,
  tb_desp[data.pagamento], "&lt;"&amp;EOMONTH(Q$1,0)+1,
  tb_desp[classe], "&lt;&gt;Financiamento"
)</f>
        <v>0</v>
      </c>
      <c r="R54" s="186">
        <f>-SUMIFS(
  tb_desp[valor],
  tb_desp[nucleo], $B54,
  tb_desp[centro.negocio], $B$51,
  tb_desp[data.pagamento], "&gt;="&amp;R$1,
  tb_desp[data.pagamento], "&lt;"&amp;EOMONTH(R$1,0)+1,
  tb_desp[classe], "&lt;&gt;Financiamento"
)</f>
        <v>0</v>
      </c>
      <c r="S54" s="186">
        <f>-SUMIFS(
  tb_desp[valor],
  tb_desp[nucleo], $B54,
  tb_desp[centro.negocio], $B$51,
  tb_desp[data.pagamento], "&gt;="&amp;S$1,
  tb_desp[data.pagamento], "&lt;"&amp;EOMONTH(S$1,0)+1,
  tb_desp[classe], "&lt;&gt;Financiamento"
)</f>
        <v>0</v>
      </c>
      <c r="T54" s="186">
        <f>-SUMIFS(
  tb_desp[valor],
  tb_desp[nucleo], $B54,
  tb_desp[centro.negocio], $B$51,
  tb_desp[data.pagamento], "&gt;="&amp;T$1,
  tb_desp[data.pagamento], "&lt;"&amp;EOMONTH(T$1,0)+1,
  tb_desp[classe], "&lt;&gt;Financiamento"
)</f>
        <v>0</v>
      </c>
      <c r="U54" s="186">
        <f>-SUMIFS(
  tb_desp[valor],
  tb_desp[nucleo], $B54,
  tb_desp[centro.negocio], $B$51,
  tb_desp[data.pagamento], "&gt;="&amp;U$1,
  tb_desp[data.pagamento], "&lt;"&amp;EOMONTH(U$1,0)+1,
  tb_desp[classe], "&lt;&gt;Financiamento"
)</f>
        <v>0</v>
      </c>
      <c r="V54" s="186">
        <f>-SUMIFS(
  tb_desp[valor],
  tb_desp[nucleo], $B54,
  tb_desp[centro.negocio], $B$51,
  tb_desp[data.pagamento], "&gt;="&amp;V$1,
  tb_desp[data.pagamento], "&lt;"&amp;EOMONTH(V$1,0)+1,
  tb_desp[classe], "&lt;&gt;Financiamento"
)</f>
        <v>0</v>
      </c>
      <c r="W54" s="186">
        <f>-SUMIFS(
  tb_desp[valor],
  tb_desp[nucleo], $B54,
  tb_desp[centro.negocio], $B$51,
  tb_desp[data.pagamento], "&gt;="&amp;W$1,
  tb_desp[data.pagamento], "&lt;"&amp;EOMONTH(W$1,0)+1,
  tb_desp[classe], "&lt;&gt;Financiamento"
)</f>
        <v>0</v>
      </c>
      <c r="X54" s="186">
        <f>-SUMIFS(
  tb_desp[valor],
  tb_desp[nucleo], $B54,
  tb_desp[centro.negocio], $B$51,
  tb_desp[data.pagamento], "&gt;="&amp;X$1,
  tb_desp[data.pagamento], "&lt;"&amp;EOMONTH(X$1,0)+1,
  tb_desp[classe], "&lt;&gt;Financiamento"
)</f>
        <v>0</v>
      </c>
      <c r="Y54" s="186">
        <f>-SUMIFS(
  tb_desp[valor],
  tb_desp[nucleo], $B54,
  tb_desp[centro.negocio], $B$51,
  tb_desp[data.pagamento], "&gt;="&amp;Y$1,
  tb_desp[data.pagamento], "&lt;"&amp;EOMONTH(Y$1,0)+1,
  tb_desp[classe], "&lt;&gt;Financiamento"
)</f>
        <v>0</v>
      </c>
      <c r="Z54" s="186">
        <f>-SUMIFS(
  tb_desp[valor],
  tb_desp[nucleo], $B54,
  tb_desp[centro.negocio], $B$51,
  tb_desp[data.pagamento], "&gt;="&amp;Z$1,
  tb_desp[data.pagamento], "&lt;"&amp;EOMONTH(Z$1,0)+1,
  tb_desp[classe], "&lt;&gt;Financiamento"
)</f>
        <v>0</v>
      </c>
      <c r="AA54" s="186">
        <f>-SUMIFS(
  tb_desp[valor],
  tb_desp[nucleo], $B54,
  tb_desp[centro.negocio], $B$51,
  tb_desp[data.pagamento], "&gt;="&amp;AA$1,
  tb_desp[data.pagamento], "&lt;"&amp;EOMONTH(AA$1,0)+1,
  tb_desp[classe], "&lt;&gt;Financiamento"
)</f>
        <v>0</v>
      </c>
      <c r="AC54" s="178">
        <f t="shared" si="3"/>
        <v>0</v>
      </c>
      <c r="AE54" s="178">
        <f>SUM(D54:AA54)</f>
        <v>0</v>
      </c>
    </row>
    <row r="55" spans="1:31" hidden="1" outlineLevel="2" x14ac:dyDescent="0.25">
      <c r="A55" s="185" t="s">
        <v>552</v>
      </c>
      <c r="B55" s="185" t="s">
        <v>537</v>
      </c>
      <c r="C55" s="138" t="s">
        <v>514</v>
      </c>
      <c r="D55" s="186">
        <f>-SUMIFS(
  tb_desp[valor],
  tb_desp[nucleo], $B55,
  tb_desp[centro.negocio], $B$51,
  tb_desp[data.pagamento], "&gt;="&amp;D$1,
  tb_desp[data.pagamento], "&lt;"&amp;EOMONTH(D$1,0)+1,
  tb_desp[classe], "&lt;&gt;Financiamento"
)</f>
        <v>0</v>
      </c>
      <c r="E55" s="186">
        <f>-SUMIFS(
  tb_desp[valor],
  tb_desp[nucleo], $B55,
  tb_desp[centro.negocio], $B$51,
  tb_desp[data.pagamento], "&gt;="&amp;E$1,
  tb_desp[data.pagamento], "&lt;"&amp;EOMONTH(E$1,0)+1,
  tb_desp[classe], "&lt;&gt;Financiamento"
)</f>
        <v>0</v>
      </c>
      <c r="F55" s="186">
        <f>-SUMIFS(
  tb_desp[valor],
  tb_desp[nucleo], $B55,
  tb_desp[centro.negocio], $B$51,
  tb_desp[data.pagamento], "&gt;="&amp;F$1,
  tb_desp[data.pagamento], "&lt;"&amp;EOMONTH(F$1,0)+1,
  tb_desp[classe], "&lt;&gt;Financiamento"
)</f>
        <v>0</v>
      </c>
      <c r="G55" s="186">
        <f>-SUMIFS(
  tb_desp[valor],
  tb_desp[nucleo], $B55,
  tb_desp[centro.negocio], $B$51,
  tb_desp[data.pagamento], "&gt;="&amp;G$1,
  tb_desp[data.pagamento], "&lt;"&amp;EOMONTH(G$1,0)+1,
  tb_desp[classe], "&lt;&gt;Financiamento"
)</f>
        <v>0</v>
      </c>
      <c r="H55" s="186">
        <f>-SUMIFS(
  tb_desp[valor],
  tb_desp[nucleo], $B55,
  tb_desp[centro.negocio], $B$51,
  tb_desp[data.pagamento], "&gt;="&amp;H$1,
  tb_desp[data.pagamento], "&lt;"&amp;EOMONTH(H$1,0)+1,
  tb_desp[classe], "&lt;&gt;Financiamento"
)</f>
        <v>0</v>
      </c>
      <c r="I55" s="186">
        <f>-SUMIFS(
  tb_desp[valor],
  tb_desp[nucleo], $B55,
  tb_desp[centro.negocio], $B$51,
  tb_desp[data.pagamento], "&gt;="&amp;I$1,
  tb_desp[data.pagamento], "&lt;"&amp;EOMONTH(I$1,0)+1,
  tb_desp[classe], "&lt;&gt;Financiamento"
)</f>
        <v>0</v>
      </c>
      <c r="J55" s="186">
        <f>-SUMIFS(
  tb_desp[valor],
  tb_desp[nucleo], $B55,
  tb_desp[centro.negocio], $B$51,
  tb_desp[data.pagamento], "&gt;="&amp;J$1,
  tb_desp[data.pagamento], "&lt;"&amp;EOMONTH(J$1,0)+1,
  tb_desp[classe], "&lt;&gt;Financiamento"
)</f>
        <v>0</v>
      </c>
      <c r="K55" s="186">
        <f>-SUMIFS(
  tb_desp[valor],
  tb_desp[nucleo], $B55,
  tb_desp[centro.negocio], $B$51,
  tb_desp[data.pagamento], "&gt;="&amp;K$1,
  tb_desp[data.pagamento], "&lt;"&amp;EOMONTH(K$1,0)+1,
  tb_desp[classe], "&lt;&gt;Financiamento"
)</f>
        <v>0</v>
      </c>
      <c r="L55" s="186">
        <f>-SUMIFS(
  tb_desp[valor],
  tb_desp[nucleo], $B55,
  tb_desp[centro.negocio], $B$51,
  tb_desp[data.pagamento], "&gt;="&amp;L$1,
  tb_desp[data.pagamento], "&lt;"&amp;EOMONTH(L$1,0)+1,
  tb_desp[classe], "&lt;&gt;Financiamento"
)</f>
        <v>0</v>
      </c>
      <c r="M55" s="186">
        <f>-SUMIFS(
  tb_desp[valor],
  tb_desp[nucleo], $B55,
  tb_desp[centro.negocio], $B$51,
  tb_desp[data.pagamento], "&gt;="&amp;M$1,
  tb_desp[data.pagamento], "&lt;"&amp;EOMONTH(M$1,0)+1,
  tb_desp[classe], "&lt;&gt;Financiamento"
)</f>
        <v>0</v>
      </c>
      <c r="N55" s="186">
        <f>-SUMIFS(
  tb_desp[valor],
  tb_desp[nucleo], $B55,
  tb_desp[centro.negocio], $B$51,
  tb_desp[data.pagamento], "&gt;="&amp;N$1,
  tb_desp[data.pagamento], "&lt;"&amp;EOMONTH(N$1,0)+1,
  tb_desp[classe], "&lt;&gt;Financiamento"
)</f>
        <v>0</v>
      </c>
      <c r="O55" s="186">
        <f>-SUMIFS(
  tb_desp[valor],
  tb_desp[nucleo], $B55,
  tb_desp[centro.negocio], $B$51,
  tb_desp[data.pagamento], "&gt;="&amp;O$1,
  tb_desp[data.pagamento], "&lt;"&amp;EOMONTH(O$1,0)+1,
  tb_desp[classe], "&lt;&gt;Financiamento"
)</f>
        <v>0</v>
      </c>
      <c r="P55" s="186">
        <f>-SUMIFS(
  tb_desp[valor],
  tb_desp[nucleo], $B55,
  tb_desp[centro.negocio], $B$51,
  tb_desp[data.pagamento], "&gt;="&amp;P$1,
  tb_desp[data.pagamento], "&lt;"&amp;EOMONTH(P$1,0)+1,
  tb_desp[classe], "&lt;&gt;Financiamento"
)</f>
        <v>0</v>
      </c>
      <c r="Q55" s="186">
        <f>-SUMIFS(
  tb_desp[valor],
  tb_desp[nucleo], $B55,
  tb_desp[centro.negocio], $B$51,
  tb_desp[data.pagamento], "&gt;="&amp;Q$1,
  tb_desp[data.pagamento], "&lt;"&amp;EOMONTH(Q$1,0)+1,
  tb_desp[classe], "&lt;&gt;Financiamento"
)</f>
        <v>0</v>
      </c>
      <c r="R55" s="186">
        <f>-SUMIFS(
  tb_desp[valor],
  tb_desp[nucleo], $B55,
  tb_desp[centro.negocio], $B$51,
  tb_desp[data.pagamento], "&gt;="&amp;R$1,
  tb_desp[data.pagamento], "&lt;"&amp;EOMONTH(R$1,0)+1,
  tb_desp[classe], "&lt;&gt;Financiamento"
)</f>
        <v>0</v>
      </c>
      <c r="S55" s="186">
        <f>-SUMIFS(
  tb_desp[valor],
  tb_desp[nucleo], $B55,
  tb_desp[centro.negocio], $B$51,
  tb_desp[data.pagamento], "&gt;="&amp;S$1,
  tb_desp[data.pagamento], "&lt;"&amp;EOMONTH(S$1,0)+1,
  tb_desp[classe], "&lt;&gt;Financiamento"
)</f>
        <v>0</v>
      </c>
      <c r="T55" s="186">
        <f>-SUMIFS(
  tb_desp[valor],
  tb_desp[nucleo], $B55,
  tb_desp[centro.negocio], $B$51,
  tb_desp[data.pagamento], "&gt;="&amp;T$1,
  tb_desp[data.pagamento], "&lt;"&amp;EOMONTH(T$1,0)+1,
  tb_desp[classe], "&lt;&gt;Financiamento"
)</f>
        <v>0</v>
      </c>
      <c r="U55" s="186">
        <f>-SUMIFS(
  tb_desp[valor],
  tb_desp[nucleo], $B55,
  tb_desp[centro.negocio], $B$51,
  tb_desp[data.pagamento], "&gt;="&amp;U$1,
  tb_desp[data.pagamento], "&lt;"&amp;EOMONTH(U$1,0)+1,
  tb_desp[classe], "&lt;&gt;Financiamento"
)</f>
        <v>0</v>
      </c>
      <c r="V55" s="186">
        <f>-SUMIFS(
  tb_desp[valor],
  tb_desp[nucleo], $B55,
  tb_desp[centro.negocio], $B$51,
  tb_desp[data.pagamento], "&gt;="&amp;V$1,
  tb_desp[data.pagamento], "&lt;"&amp;EOMONTH(V$1,0)+1,
  tb_desp[classe], "&lt;&gt;Financiamento"
)</f>
        <v>0</v>
      </c>
      <c r="W55" s="186">
        <f>-SUMIFS(
  tb_desp[valor],
  tb_desp[nucleo], $B55,
  tb_desp[centro.negocio], $B$51,
  tb_desp[data.pagamento], "&gt;="&amp;W$1,
  tb_desp[data.pagamento], "&lt;"&amp;EOMONTH(W$1,0)+1,
  tb_desp[classe], "&lt;&gt;Financiamento"
)</f>
        <v>0</v>
      </c>
      <c r="X55" s="186">
        <f>-SUMIFS(
  tb_desp[valor],
  tb_desp[nucleo], $B55,
  tb_desp[centro.negocio], $B$51,
  tb_desp[data.pagamento], "&gt;="&amp;X$1,
  tb_desp[data.pagamento], "&lt;"&amp;EOMONTH(X$1,0)+1,
  tb_desp[classe], "&lt;&gt;Financiamento"
)</f>
        <v>0</v>
      </c>
      <c r="Y55" s="186">
        <f>-SUMIFS(
  tb_desp[valor],
  tb_desp[nucleo], $B55,
  tb_desp[centro.negocio], $B$51,
  tb_desp[data.pagamento], "&gt;="&amp;Y$1,
  tb_desp[data.pagamento], "&lt;"&amp;EOMONTH(Y$1,0)+1,
  tb_desp[classe], "&lt;&gt;Financiamento"
)</f>
        <v>0</v>
      </c>
      <c r="Z55" s="186">
        <f>-SUMIFS(
  tb_desp[valor],
  tb_desp[nucleo], $B55,
  tb_desp[centro.negocio], $B$51,
  tb_desp[data.pagamento], "&gt;="&amp;Z$1,
  tb_desp[data.pagamento], "&lt;"&amp;EOMONTH(Z$1,0)+1,
  tb_desp[classe], "&lt;&gt;Financiamento"
)</f>
        <v>0</v>
      </c>
      <c r="AA55" s="186">
        <f>-SUMIFS(
  tb_desp[valor],
  tb_desp[nucleo], $B55,
  tb_desp[centro.negocio], $B$51,
  tb_desp[data.pagamento], "&gt;="&amp;AA$1,
  tb_desp[data.pagamento], "&lt;"&amp;EOMONTH(AA$1,0)+1,
  tb_desp[classe], "&lt;&gt;Financiamento"
)</f>
        <v>0</v>
      </c>
      <c r="AC55" s="178">
        <f t="shared" si="3"/>
        <v>0</v>
      </c>
      <c r="AE55" s="178">
        <f>SUM(D55:AA55)</f>
        <v>0</v>
      </c>
    </row>
    <row r="56" spans="1:31" hidden="1" outlineLevel="2" x14ac:dyDescent="0.25">
      <c r="A56" s="185" t="s">
        <v>915</v>
      </c>
      <c r="B56" s="185" t="s">
        <v>704</v>
      </c>
      <c r="C56" s="138" t="s">
        <v>514</v>
      </c>
      <c r="D56" s="186">
        <f>-SUMIFS(
  tb_desp[valor],
  tb_desp[nucleo], $B56,
  tb_desp[centro.negocio], $B$51,
  tb_desp[data.pagamento], "&gt;="&amp;D$1,
  tb_desp[data.pagamento], "&lt;"&amp;EOMONTH(D$1,0)+1,
  tb_desp[classe], "&lt;&gt;Financiamento"
)</f>
        <v>0</v>
      </c>
      <c r="E56" s="186">
        <f>-SUMIFS(
  tb_desp[valor],
  tb_desp[nucleo], $B56,
  tb_desp[centro.negocio], $B$51,
  tb_desp[data.pagamento], "&gt;="&amp;E$1,
  tb_desp[data.pagamento], "&lt;"&amp;EOMONTH(E$1,0)+1,
  tb_desp[classe], "&lt;&gt;Financiamento"
)</f>
        <v>0</v>
      </c>
      <c r="F56" s="186">
        <f>-SUMIFS(
  tb_desp[valor],
  tb_desp[nucleo], $B56,
  tb_desp[centro.negocio], $B$51,
  tb_desp[data.pagamento], "&gt;="&amp;F$1,
  tb_desp[data.pagamento], "&lt;"&amp;EOMONTH(F$1,0)+1,
  tb_desp[classe], "&lt;&gt;Financiamento"
)</f>
        <v>0</v>
      </c>
      <c r="G56" s="186">
        <f>-SUMIFS(
  tb_desp[valor],
  tb_desp[nucleo], $B56,
  tb_desp[centro.negocio], $B$51,
  tb_desp[data.pagamento], "&gt;="&amp;G$1,
  tb_desp[data.pagamento], "&lt;"&amp;EOMONTH(G$1,0)+1,
  tb_desp[classe], "&lt;&gt;Financiamento"
)</f>
        <v>0</v>
      </c>
      <c r="H56" s="186">
        <f>-SUMIFS(
  tb_desp[valor],
  tb_desp[nucleo], $B56,
  tb_desp[centro.negocio], $B$51,
  tb_desp[data.pagamento], "&gt;="&amp;H$1,
  tb_desp[data.pagamento], "&lt;"&amp;EOMONTH(H$1,0)+1,
  tb_desp[classe], "&lt;&gt;Financiamento"
)</f>
        <v>0</v>
      </c>
      <c r="I56" s="186">
        <f>-SUMIFS(
  tb_desp[valor],
  tb_desp[nucleo], $B56,
  tb_desp[centro.negocio], $B$51,
  tb_desp[data.pagamento], "&gt;="&amp;I$1,
  tb_desp[data.pagamento], "&lt;"&amp;EOMONTH(I$1,0)+1,
  tb_desp[classe], "&lt;&gt;Financiamento"
)</f>
        <v>0</v>
      </c>
      <c r="J56" s="186">
        <f>-SUMIFS(
  tb_desp[valor],
  tb_desp[nucleo], $B56,
  tb_desp[centro.negocio], $B$51,
  tb_desp[data.pagamento], "&gt;="&amp;J$1,
  tb_desp[data.pagamento], "&lt;"&amp;EOMONTH(J$1,0)+1,
  tb_desp[classe], "&lt;&gt;Financiamento"
)</f>
        <v>0</v>
      </c>
      <c r="K56" s="186">
        <f>-SUMIFS(
  tb_desp[valor],
  tb_desp[nucleo], $B56,
  tb_desp[centro.negocio], $B$51,
  tb_desp[data.pagamento], "&gt;="&amp;K$1,
  tb_desp[data.pagamento], "&lt;"&amp;EOMONTH(K$1,0)+1,
  tb_desp[classe], "&lt;&gt;Financiamento"
)</f>
        <v>0</v>
      </c>
      <c r="L56" s="186">
        <f>-SUMIFS(
  tb_desp[valor],
  tb_desp[nucleo], $B56,
  tb_desp[centro.negocio], $B$51,
  tb_desp[data.pagamento], "&gt;="&amp;L$1,
  tb_desp[data.pagamento], "&lt;"&amp;EOMONTH(L$1,0)+1,
  tb_desp[classe], "&lt;&gt;Financiamento"
)</f>
        <v>0</v>
      </c>
      <c r="M56" s="186">
        <f>-SUMIFS(
  tb_desp[valor],
  tb_desp[nucleo], $B56,
  tb_desp[centro.negocio], $B$51,
  tb_desp[data.pagamento], "&gt;="&amp;M$1,
  tb_desp[data.pagamento], "&lt;"&amp;EOMONTH(M$1,0)+1,
  tb_desp[classe], "&lt;&gt;Financiamento"
)</f>
        <v>0</v>
      </c>
      <c r="N56" s="186">
        <f>-SUMIFS(
  tb_desp[valor],
  tb_desp[nucleo], $B56,
  tb_desp[centro.negocio], $B$51,
  tb_desp[data.pagamento], "&gt;="&amp;N$1,
  tb_desp[data.pagamento], "&lt;"&amp;EOMONTH(N$1,0)+1,
  tb_desp[classe], "&lt;&gt;Financiamento"
)</f>
        <v>0</v>
      </c>
      <c r="O56" s="186">
        <f>-SUMIFS(
  tb_desp[valor],
  tb_desp[nucleo], $B56,
  tb_desp[centro.negocio], $B$51,
  tb_desp[data.pagamento], "&gt;="&amp;O$1,
  tb_desp[data.pagamento], "&lt;"&amp;EOMONTH(O$1,0)+1,
  tb_desp[classe], "&lt;&gt;Financiamento"
)</f>
        <v>0</v>
      </c>
      <c r="P56" s="186">
        <f>-SUMIFS(
  tb_desp[valor],
  tb_desp[nucleo], $B56,
  tb_desp[centro.negocio], $B$51,
  tb_desp[data.pagamento], "&gt;="&amp;P$1,
  tb_desp[data.pagamento], "&lt;"&amp;EOMONTH(P$1,0)+1,
  tb_desp[classe], "&lt;&gt;Financiamento"
)</f>
        <v>0</v>
      </c>
      <c r="Q56" s="186">
        <f>-SUMIFS(
  tb_desp[valor],
  tb_desp[nucleo], $B56,
  tb_desp[centro.negocio], $B$51,
  tb_desp[data.pagamento], "&gt;="&amp;Q$1,
  tb_desp[data.pagamento], "&lt;"&amp;EOMONTH(Q$1,0)+1,
  tb_desp[classe], "&lt;&gt;Financiamento"
)</f>
        <v>0</v>
      </c>
      <c r="R56" s="186">
        <f>-SUMIFS(
  tb_desp[valor],
  tb_desp[nucleo], $B56,
  tb_desp[centro.negocio], $B$51,
  tb_desp[data.pagamento], "&gt;="&amp;R$1,
  tb_desp[data.pagamento], "&lt;"&amp;EOMONTH(R$1,0)+1,
  tb_desp[classe], "&lt;&gt;Financiamento"
)</f>
        <v>0</v>
      </c>
      <c r="S56" s="186">
        <f>-SUMIFS(
  tb_desp[valor],
  tb_desp[nucleo], $B56,
  tb_desp[centro.negocio], $B$51,
  tb_desp[data.pagamento], "&gt;="&amp;S$1,
  tb_desp[data.pagamento], "&lt;"&amp;EOMONTH(S$1,0)+1,
  tb_desp[classe], "&lt;&gt;Financiamento"
)</f>
        <v>0</v>
      </c>
      <c r="T56" s="186">
        <f>-SUMIFS(
  tb_desp[valor],
  tb_desp[nucleo], $B56,
  tb_desp[centro.negocio], $B$51,
  tb_desp[data.pagamento], "&gt;="&amp;T$1,
  tb_desp[data.pagamento], "&lt;"&amp;EOMONTH(T$1,0)+1,
  tb_desp[classe], "&lt;&gt;Financiamento"
)</f>
        <v>0</v>
      </c>
      <c r="U56" s="186">
        <f>-SUMIFS(
  tb_desp[valor],
  tb_desp[nucleo], $B56,
  tb_desp[centro.negocio], $B$51,
  tb_desp[data.pagamento], "&gt;="&amp;U$1,
  tb_desp[data.pagamento], "&lt;"&amp;EOMONTH(U$1,0)+1,
  tb_desp[classe], "&lt;&gt;Financiamento"
)</f>
        <v>0</v>
      </c>
      <c r="V56" s="186">
        <f>-SUMIFS(
  tb_desp[valor],
  tb_desp[nucleo], $B56,
  tb_desp[centro.negocio], $B$51,
  tb_desp[data.pagamento], "&gt;="&amp;V$1,
  tb_desp[data.pagamento], "&lt;"&amp;EOMONTH(V$1,0)+1,
  tb_desp[classe], "&lt;&gt;Financiamento"
)</f>
        <v>0</v>
      </c>
      <c r="W56" s="186">
        <f>-SUMIFS(
  tb_desp[valor],
  tb_desp[nucleo], $B56,
  tb_desp[centro.negocio], $B$51,
  tb_desp[data.pagamento], "&gt;="&amp;W$1,
  tb_desp[data.pagamento], "&lt;"&amp;EOMONTH(W$1,0)+1,
  tb_desp[classe], "&lt;&gt;Financiamento"
)</f>
        <v>0</v>
      </c>
      <c r="X56" s="186">
        <f>-SUMIFS(
  tb_desp[valor],
  tb_desp[nucleo], $B56,
  tb_desp[centro.negocio], $B$51,
  tb_desp[data.pagamento], "&gt;="&amp;X$1,
  tb_desp[data.pagamento], "&lt;"&amp;EOMONTH(X$1,0)+1,
  tb_desp[classe], "&lt;&gt;Financiamento"
)</f>
        <v>0</v>
      </c>
      <c r="Y56" s="186">
        <f>-SUMIFS(
  tb_desp[valor],
  tb_desp[nucleo], $B56,
  tb_desp[centro.negocio], $B$51,
  tb_desp[data.pagamento], "&gt;="&amp;Y$1,
  tb_desp[data.pagamento], "&lt;"&amp;EOMONTH(Y$1,0)+1,
  tb_desp[classe], "&lt;&gt;Financiamento"
)</f>
        <v>0</v>
      </c>
      <c r="Z56" s="186">
        <f>-SUMIFS(
  tb_desp[valor],
  tb_desp[nucleo], $B56,
  tb_desp[centro.negocio], $B$51,
  tb_desp[data.pagamento], "&gt;="&amp;Z$1,
  tb_desp[data.pagamento], "&lt;"&amp;EOMONTH(Z$1,0)+1,
  tb_desp[classe], "&lt;&gt;Financiamento"
)</f>
        <v>0</v>
      </c>
      <c r="AA56" s="186">
        <f>-SUMIFS(
  tb_desp[valor],
  tb_desp[nucleo], $B56,
  tb_desp[centro.negocio], $B$51,
  tb_desp[data.pagamento], "&gt;="&amp;AA$1,
  tb_desp[data.pagamento], "&lt;"&amp;EOMONTH(AA$1,0)+1,
  tb_desp[classe], "&lt;&gt;Financiamento"
)</f>
        <v>0</v>
      </c>
      <c r="AC56" s="178">
        <f t="shared" si="3"/>
        <v>0</v>
      </c>
      <c r="AE56" s="178">
        <f t="shared" si="1"/>
        <v>0</v>
      </c>
    </row>
    <row r="57" spans="1:31" hidden="1" outlineLevel="2" x14ac:dyDescent="0.25">
      <c r="A57" s="185" t="s">
        <v>716</v>
      </c>
      <c r="B57" s="185" t="s">
        <v>533</v>
      </c>
      <c r="C57" s="138" t="s">
        <v>514</v>
      </c>
      <c r="D57" s="186">
        <f>-SUMIFS(
  tb_desp[valor],
  tb_desp[nucleo], $B57,
  tb_desp[centro.negocio], $B$51,
  tb_desp[data.pagamento], "&gt;="&amp;D$1,
  tb_desp[data.pagamento], "&lt;"&amp;EOMONTH(D$1,0)+1,
  tb_desp[classe], "&lt;&gt;Financiamento"
)</f>
        <v>0</v>
      </c>
      <c r="E57" s="186">
        <f>-SUMIFS(
  tb_desp[valor],
  tb_desp[nucleo], $B57,
  tb_desp[centro.negocio], $B$51,
  tb_desp[data.pagamento], "&gt;="&amp;E$1,
  tb_desp[data.pagamento], "&lt;"&amp;EOMONTH(E$1,0)+1,
  tb_desp[classe], "&lt;&gt;Financiamento"
)</f>
        <v>0</v>
      </c>
      <c r="F57" s="186">
        <f>-SUMIFS(
  tb_desp[valor],
  tb_desp[nucleo], $B57,
  tb_desp[centro.negocio], $B$51,
  tb_desp[data.pagamento], "&gt;="&amp;F$1,
  tb_desp[data.pagamento], "&lt;"&amp;EOMONTH(F$1,0)+1,
  tb_desp[classe], "&lt;&gt;Financiamento"
)</f>
        <v>0</v>
      </c>
      <c r="G57" s="186">
        <f>-SUMIFS(
  tb_desp[valor],
  tb_desp[nucleo], $B57,
  tb_desp[centro.negocio], $B$51,
  tb_desp[data.pagamento], "&gt;="&amp;G$1,
  tb_desp[data.pagamento], "&lt;"&amp;EOMONTH(G$1,0)+1,
  tb_desp[classe], "&lt;&gt;Financiamento"
)</f>
        <v>0</v>
      </c>
      <c r="H57" s="186">
        <f>-SUMIFS(
  tb_desp[valor],
  tb_desp[nucleo], $B57,
  tb_desp[centro.negocio], $B$51,
  tb_desp[data.pagamento], "&gt;="&amp;H$1,
  tb_desp[data.pagamento], "&lt;"&amp;EOMONTH(H$1,0)+1,
  tb_desp[classe], "&lt;&gt;Financiamento"
)</f>
        <v>0</v>
      </c>
      <c r="I57" s="186">
        <f>-SUMIFS(
  tb_desp[valor],
  tb_desp[nucleo], $B57,
  tb_desp[centro.negocio], $B$51,
  tb_desp[data.pagamento], "&gt;="&amp;I$1,
  tb_desp[data.pagamento], "&lt;"&amp;EOMONTH(I$1,0)+1,
  tb_desp[classe], "&lt;&gt;Financiamento"
)</f>
        <v>0</v>
      </c>
      <c r="J57" s="186">
        <f>-SUMIFS(
  tb_desp[valor],
  tb_desp[nucleo], $B57,
  tb_desp[centro.negocio], $B$51,
  tb_desp[data.pagamento], "&gt;="&amp;J$1,
  tb_desp[data.pagamento], "&lt;"&amp;EOMONTH(J$1,0)+1,
  tb_desp[classe], "&lt;&gt;Financiamento"
)</f>
        <v>0</v>
      </c>
      <c r="K57" s="186">
        <f>-SUMIFS(
  tb_desp[valor],
  tb_desp[nucleo], $B57,
  tb_desp[centro.negocio], $B$51,
  tb_desp[data.pagamento], "&gt;="&amp;K$1,
  tb_desp[data.pagamento], "&lt;"&amp;EOMONTH(K$1,0)+1,
  tb_desp[classe], "&lt;&gt;Financiamento"
)</f>
        <v>0</v>
      </c>
      <c r="L57" s="186">
        <f>-SUMIFS(
  tb_desp[valor],
  tb_desp[nucleo], $B57,
  tb_desp[centro.negocio], $B$51,
  tb_desp[data.pagamento], "&gt;="&amp;L$1,
  tb_desp[data.pagamento], "&lt;"&amp;EOMONTH(L$1,0)+1,
  tb_desp[classe], "&lt;&gt;Financiamento"
)</f>
        <v>0</v>
      </c>
      <c r="M57" s="186">
        <f>-SUMIFS(
  tb_desp[valor],
  tb_desp[nucleo], $B57,
  tb_desp[centro.negocio], $B$51,
  tb_desp[data.pagamento], "&gt;="&amp;M$1,
  tb_desp[data.pagamento], "&lt;"&amp;EOMONTH(M$1,0)+1,
  tb_desp[classe], "&lt;&gt;Financiamento"
)</f>
        <v>0</v>
      </c>
      <c r="N57" s="186">
        <f>-SUMIFS(
  tb_desp[valor],
  tb_desp[nucleo], $B57,
  tb_desp[centro.negocio], $B$51,
  tb_desp[data.pagamento], "&gt;="&amp;N$1,
  tb_desp[data.pagamento], "&lt;"&amp;EOMONTH(N$1,0)+1,
  tb_desp[classe], "&lt;&gt;Financiamento"
)</f>
        <v>0</v>
      </c>
      <c r="O57" s="186">
        <f>-SUMIFS(
  tb_desp[valor],
  tb_desp[nucleo], $B57,
  tb_desp[centro.negocio], $B$51,
  tb_desp[data.pagamento], "&gt;="&amp;O$1,
  tb_desp[data.pagamento], "&lt;"&amp;EOMONTH(O$1,0)+1,
  tb_desp[classe], "&lt;&gt;Financiamento"
)</f>
        <v>0</v>
      </c>
      <c r="P57" s="186">
        <f>-SUMIFS(
  tb_desp[valor],
  tb_desp[nucleo], $B57,
  tb_desp[centro.negocio], $B$51,
  tb_desp[data.pagamento], "&gt;="&amp;P$1,
  tb_desp[data.pagamento], "&lt;"&amp;EOMONTH(P$1,0)+1,
  tb_desp[classe], "&lt;&gt;Financiamento"
)</f>
        <v>0</v>
      </c>
      <c r="Q57" s="186">
        <f>-SUMIFS(
  tb_desp[valor],
  tb_desp[nucleo], $B57,
  tb_desp[centro.negocio], $B$51,
  tb_desp[data.pagamento], "&gt;="&amp;Q$1,
  tb_desp[data.pagamento], "&lt;"&amp;EOMONTH(Q$1,0)+1,
  tb_desp[classe], "&lt;&gt;Financiamento"
)</f>
        <v>0</v>
      </c>
      <c r="R57" s="186">
        <f>-SUMIFS(
  tb_desp[valor],
  tb_desp[nucleo], $B57,
  tb_desp[centro.negocio], $B$51,
  tb_desp[data.pagamento], "&gt;="&amp;R$1,
  tb_desp[data.pagamento], "&lt;"&amp;EOMONTH(R$1,0)+1,
  tb_desp[classe], "&lt;&gt;Financiamento"
)</f>
        <v>0</v>
      </c>
      <c r="S57" s="186">
        <f>-SUMIFS(
  tb_desp[valor],
  tb_desp[nucleo], $B57,
  tb_desp[centro.negocio], $B$51,
  tb_desp[data.pagamento], "&gt;="&amp;S$1,
  tb_desp[data.pagamento], "&lt;"&amp;EOMONTH(S$1,0)+1,
  tb_desp[classe], "&lt;&gt;Financiamento"
)</f>
        <v>0</v>
      </c>
      <c r="T57" s="186">
        <f>-SUMIFS(
  tb_desp[valor],
  tb_desp[nucleo], $B57,
  tb_desp[centro.negocio], $B$51,
  tb_desp[data.pagamento], "&gt;="&amp;T$1,
  tb_desp[data.pagamento], "&lt;"&amp;EOMONTH(T$1,0)+1,
  tb_desp[classe], "&lt;&gt;Financiamento"
)</f>
        <v>0</v>
      </c>
      <c r="U57" s="186">
        <f>-SUMIFS(
  tb_desp[valor],
  tb_desp[nucleo], $B57,
  tb_desp[centro.negocio], $B$51,
  tb_desp[data.pagamento], "&gt;="&amp;U$1,
  tb_desp[data.pagamento], "&lt;"&amp;EOMONTH(U$1,0)+1,
  tb_desp[classe], "&lt;&gt;Financiamento"
)</f>
        <v>0</v>
      </c>
      <c r="V57" s="186">
        <f>-SUMIFS(
  tb_desp[valor],
  tb_desp[nucleo], $B57,
  tb_desp[centro.negocio], $B$51,
  tb_desp[data.pagamento], "&gt;="&amp;V$1,
  tb_desp[data.pagamento], "&lt;"&amp;EOMONTH(V$1,0)+1,
  tb_desp[classe], "&lt;&gt;Financiamento"
)</f>
        <v>0</v>
      </c>
      <c r="W57" s="186">
        <f>-SUMIFS(
  tb_desp[valor],
  tb_desp[nucleo], $B57,
  tb_desp[centro.negocio], $B$51,
  tb_desp[data.pagamento], "&gt;="&amp;W$1,
  tb_desp[data.pagamento], "&lt;"&amp;EOMONTH(W$1,0)+1,
  tb_desp[classe], "&lt;&gt;Financiamento"
)</f>
        <v>0</v>
      </c>
      <c r="X57" s="186">
        <f>-SUMIFS(
  tb_desp[valor],
  tb_desp[nucleo], $B57,
  tb_desp[centro.negocio], $B$51,
  tb_desp[data.pagamento], "&gt;="&amp;X$1,
  tb_desp[data.pagamento], "&lt;"&amp;EOMONTH(X$1,0)+1,
  tb_desp[classe], "&lt;&gt;Financiamento"
)</f>
        <v>0</v>
      </c>
      <c r="Y57" s="186">
        <f>-SUMIFS(
  tb_desp[valor],
  tb_desp[nucleo], $B57,
  tb_desp[centro.negocio], $B$51,
  tb_desp[data.pagamento], "&gt;="&amp;Y$1,
  tb_desp[data.pagamento], "&lt;"&amp;EOMONTH(Y$1,0)+1,
  tb_desp[classe], "&lt;&gt;Financiamento"
)</f>
        <v>0</v>
      </c>
      <c r="Z57" s="186">
        <f>-SUMIFS(
  tb_desp[valor],
  tb_desp[nucleo], $B57,
  tb_desp[centro.negocio], $B$51,
  tb_desp[data.pagamento], "&gt;="&amp;Z$1,
  tb_desp[data.pagamento], "&lt;"&amp;EOMONTH(Z$1,0)+1,
  tb_desp[classe], "&lt;&gt;Financiamento"
)</f>
        <v>0</v>
      </c>
      <c r="AA57" s="186">
        <f>-SUMIFS(
  tb_desp[valor],
  tb_desp[nucleo], $B57,
  tb_desp[centro.negocio], $B$51,
  tb_desp[data.pagamento], "&gt;="&amp;AA$1,
  tb_desp[data.pagamento], "&lt;"&amp;EOMONTH(AA$1,0)+1,
  tb_desp[classe], "&lt;&gt;Financiamento"
)</f>
        <v>0</v>
      </c>
      <c r="AC57" s="178">
        <f t="shared" si="3"/>
        <v>0</v>
      </c>
      <c r="AE57" s="178">
        <f>SUM(D57:AA57)</f>
        <v>0</v>
      </c>
    </row>
    <row r="58" spans="1:31" hidden="1" outlineLevel="2" x14ac:dyDescent="0.25">
      <c r="A58" s="185" t="s">
        <v>551</v>
      </c>
      <c r="B58" s="185" t="s">
        <v>544</v>
      </c>
      <c r="C58" s="138" t="s">
        <v>514</v>
      </c>
      <c r="D58" s="186">
        <f>-SUMIFS(
  tb_desp[valor],
  tb_desp[nucleo], $B58,
  tb_desp[centro.negocio], $B$51,
  tb_desp[data.pagamento], "&gt;="&amp;D$1,
  tb_desp[data.pagamento], "&lt;"&amp;EOMONTH(D$1,0)+1,
  tb_desp[classe], "&lt;&gt;Financiamento"
)</f>
        <v>0</v>
      </c>
      <c r="E58" s="186">
        <f>-SUMIFS(
  tb_desp[valor],
  tb_desp[nucleo], $B58,
  tb_desp[centro.negocio], $B$51,
  tb_desp[data.pagamento], "&gt;="&amp;E$1,
  tb_desp[data.pagamento], "&lt;"&amp;EOMONTH(E$1,0)+1,
  tb_desp[classe], "&lt;&gt;Financiamento"
)</f>
        <v>0</v>
      </c>
      <c r="F58" s="186">
        <f>-SUMIFS(
  tb_desp[valor],
  tb_desp[nucleo], $B58,
  tb_desp[centro.negocio], $B$51,
  tb_desp[data.pagamento], "&gt;="&amp;F$1,
  tb_desp[data.pagamento], "&lt;"&amp;EOMONTH(F$1,0)+1,
  tb_desp[classe], "&lt;&gt;Financiamento"
)</f>
        <v>0</v>
      </c>
      <c r="G58" s="186">
        <f>-SUMIFS(
  tb_desp[valor],
  tb_desp[nucleo], $B58,
  tb_desp[centro.negocio], $B$51,
  tb_desp[data.pagamento], "&gt;="&amp;G$1,
  tb_desp[data.pagamento], "&lt;"&amp;EOMONTH(G$1,0)+1,
  tb_desp[classe], "&lt;&gt;Financiamento"
)</f>
        <v>0</v>
      </c>
      <c r="H58" s="186">
        <f>-SUMIFS(
  tb_desp[valor],
  tb_desp[nucleo], $B58,
  tb_desp[centro.negocio], $B$51,
  tb_desp[data.pagamento], "&gt;="&amp;H$1,
  tb_desp[data.pagamento], "&lt;"&amp;EOMONTH(H$1,0)+1,
  tb_desp[classe], "&lt;&gt;Financiamento"
)</f>
        <v>0</v>
      </c>
      <c r="I58" s="186">
        <f>-SUMIFS(
  tb_desp[valor],
  tb_desp[nucleo], $B58,
  tb_desp[centro.negocio], $B$51,
  tb_desp[data.pagamento], "&gt;="&amp;I$1,
  tb_desp[data.pagamento], "&lt;"&amp;EOMONTH(I$1,0)+1,
  tb_desp[classe], "&lt;&gt;Financiamento"
)</f>
        <v>0</v>
      </c>
      <c r="J58" s="186">
        <f>-SUMIFS(
  tb_desp[valor],
  tb_desp[nucleo], $B58,
  tb_desp[centro.negocio], $B$51,
  tb_desp[data.pagamento], "&gt;="&amp;J$1,
  tb_desp[data.pagamento], "&lt;"&amp;EOMONTH(J$1,0)+1,
  tb_desp[classe], "&lt;&gt;Financiamento"
)</f>
        <v>0</v>
      </c>
      <c r="K58" s="186">
        <f>-SUMIFS(
  tb_desp[valor],
  tb_desp[nucleo], $B58,
  tb_desp[centro.negocio], $B$51,
  tb_desp[data.pagamento], "&gt;="&amp;K$1,
  tb_desp[data.pagamento], "&lt;"&amp;EOMONTH(K$1,0)+1,
  tb_desp[classe], "&lt;&gt;Financiamento"
)</f>
        <v>0</v>
      </c>
      <c r="L58" s="186">
        <f>-SUMIFS(
  tb_desp[valor],
  tb_desp[nucleo], $B58,
  tb_desp[centro.negocio], $B$51,
  tb_desp[data.pagamento], "&gt;="&amp;L$1,
  tb_desp[data.pagamento], "&lt;"&amp;EOMONTH(L$1,0)+1,
  tb_desp[classe], "&lt;&gt;Financiamento"
)</f>
        <v>0</v>
      </c>
      <c r="M58" s="186">
        <f>-SUMIFS(
  tb_desp[valor],
  tb_desp[nucleo], $B58,
  tb_desp[centro.negocio], $B$51,
  tb_desp[data.pagamento], "&gt;="&amp;M$1,
  tb_desp[data.pagamento], "&lt;"&amp;EOMONTH(M$1,0)+1,
  tb_desp[classe], "&lt;&gt;Financiamento"
)</f>
        <v>0</v>
      </c>
      <c r="N58" s="186">
        <f>-SUMIFS(
  tb_desp[valor],
  tb_desp[nucleo], $B58,
  tb_desp[centro.negocio], $B$51,
  tb_desp[data.pagamento], "&gt;="&amp;N$1,
  tb_desp[data.pagamento], "&lt;"&amp;EOMONTH(N$1,0)+1,
  tb_desp[classe], "&lt;&gt;Financiamento"
)</f>
        <v>0</v>
      </c>
      <c r="O58" s="186">
        <f>-SUMIFS(
  tb_desp[valor],
  tb_desp[nucleo], $B58,
  tb_desp[centro.negocio], $B$51,
  tb_desp[data.pagamento], "&gt;="&amp;O$1,
  tb_desp[data.pagamento], "&lt;"&amp;EOMONTH(O$1,0)+1,
  tb_desp[classe], "&lt;&gt;Financiamento"
)</f>
        <v>0</v>
      </c>
      <c r="P58" s="186">
        <f>-SUMIFS(
  tb_desp[valor],
  tb_desp[nucleo], $B58,
  tb_desp[centro.negocio], $B$51,
  tb_desp[data.pagamento], "&gt;="&amp;P$1,
  tb_desp[data.pagamento], "&lt;"&amp;EOMONTH(P$1,0)+1,
  tb_desp[classe], "&lt;&gt;Financiamento"
)</f>
        <v>0</v>
      </c>
      <c r="Q58" s="186">
        <f>-SUMIFS(
  tb_desp[valor],
  tb_desp[nucleo], $B58,
  tb_desp[centro.negocio], $B$51,
  tb_desp[data.pagamento], "&gt;="&amp;Q$1,
  tb_desp[data.pagamento], "&lt;"&amp;EOMONTH(Q$1,0)+1,
  tb_desp[classe], "&lt;&gt;Financiamento"
)</f>
        <v>0</v>
      </c>
      <c r="R58" s="186">
        <f>-SUMIFS(
  tb_desp[valor],
  tb_desp[nucleo], $B58,
  tb_desp[centro.negocio], $B$51,
  tb_desp[data.pagamento], "&gt;="&amp;R$1,
  tb_desp[data.pagamento], "&lt;"&amp;EOMONTH(R$1,0)+1,
  tb_desp[classe], "&lt;&gt;Financiamento"
)</f>
        <v>0</v>
      </c>
      <c r="S58" s="186">
        <f>-SUMIFS(
  tb_desp[valor],
  tb_desp[nucleo], $B58,
  tb_desp[centro.negocio], $B$51,
  tb_desp[data.pagamento], "&gt;="&amp;S$1,
  tb_desp[data.pagamento], "&lt;"&amp;EOMONTH(S$1,0)+1,
  tb_desp[classe], "&lt;&gt;Financiamento"
)</f>
        <v>0</v>
      </c>
      <c r="T58" s="186">
        <f>-SUMIFS(
  tb_desp[valor],
  tb_desp[nucleo], $B58,
  tb_desp[centro.negocio], $B$51,
  tb_desp[data.pagamento], "&gt;="&amp;T$1,
  tb_desp[data.pagamento], "&lt;"&amp;EOMONTH(T$1,0)+1,
  tb_desp[classe], "&lt;&gt;Financiamento"
)</f>
        <v>0</v>
      </c>
      <c r="U58" s="186">
        <f>-SUMIFS(
  tb_desp[valor],
  tb_desp[nucleo], $B58,
  tb_desp[centro.negocio], $B$51,
  tb_desp[data.pagamento], "&gt;="&amp;U$1,
  tb_desp[data.pagamento], "&lt;"&amp;EOMONTH(U$1,0)+1,
  tb_desp[classe], "&lt;&gt;Financiamento"
)</f>
        <v>0</v>
      </c>
      <c r="V58" s="186">
        <f>-SUMIFS(
  tb_desp[valor],
  tb_desp[nucleo], $B58,
  tb_desp[centro.negocio], $B$51,
  tb_desp[data.pagamento], "&gt;="&amp;V$1,
  tb_desp[data.pagamento], "&lt;"&amp;EOMONTH(V$1,0)+1,
  tb_desp[classe], "&lt;&gt;Financiamento"
)</f>
        <v>0</v>
      </c>
      <c r="W58" s="186">
        <f>-SUMIFS(
  tb_desp[valor],
  tb_desp[nucleo], $B58,
  tb_desp[centro.negocio], $B$51,
  tb_desp[data.pagamento], "&gt;="&amp;W$1,
  tb_desp[data.pagamento], "&lt;"&amp;EOMONTH(W$1,0)+1,
  tb_desp[classe], "&lt;&gt;Financiamento"
)</f>
        <v>0</v>
      </c>
      <c r="X58" s="186">
        <f>-SUMIFS(
  tb_desp[valor],
  tb_desp[nucleo], $B58,
  tb_desp[centro.negocio], $B$51,
  tb_desp[data.pagamento], "&gt;="&amp;X$1,
  tb_desp[data.pagamento], "&lt;"&amp;EOMONTH(X$1,0)+1,
  tb_desp[classe], "&lt;&gt;Financiamento"
)</f>
        <v>0</v>
      </c>
      <c r="Y58" s="186">
        <f>-SUMIFS(
  tb_desp[valor],
  tb_desp[nucleo], $B58,
  tb_desp[centro.negocio], $B$51,
  tb_desp[data.pagamento], "&gt;="&amp;Y$1,
  tb_desp[data.pagamento], "&lt;"&amp;EOMONTH(Y$1,0)+1,
  tb_desp[classe], "&lt;&gt;Financiamento"
)</f>
        <v>0</v>
      </c>
      <c r="Z58" s="186">
        <f>-SUMIFS(
  tb_desp[valor],
  tb_desp[nucleo], $B58,
  tb_desp[centro.negocio], $B$51,
  tb_desp[data.pagamento], "&gt;="&amp;Z$1,
  tb_desp[data.pagamento], "&lt;"&amp;EOMONTH(Z$1,0)+1,
  tb_desp[classe], "&lt;&gt;Financiamento"
)</f>
        <v>0</v>
      </c>
      <c r="AA58" s="186">
        <f>-SUMIFS(
  tb_desp[valor],
  tb_desp[nucleo], $B58,
  tb_desp[centro.negocio], $B$51,
  tb_desp[data.pagamento], "&gt;="&amp;AA$1,
  tb_desp[data.pagamento], "&lt;"&amp;EOMONTH(AA$1,0)+1,
  tb_desp[classe], "&lt;&gt;Financiamento"
)</f>
        <v>0</v>
      </c>
      <c r="AC58" s="178">
        <f t="shared" si="3"/>
        <v>0</v>
      </c>
      <c r="AE58" s="178">
        <f t="shared" si="1"/>
        <v>0</v>
      </c>
    </row>
    <row r="59" spans="1:31" hidden="1" outlineLevel="2" x14ac:dyDescent="0.25">
      <c r="A59" s="185" t="s">
        <v>715</v>
      </c>
      <c r="B59" s="185" t="s">
        <v>556</v>
      </c>
      <c r="C59" s="138" t="s">
        <v>514</v>
      </c>
      <c r="D59" s="186">
        <f>-SUMIFS(
  tb_desp[valor],
  tb_desp[nucleo], $B59,
  tb_desp[centro.negocio], $B$51,
  tb_desp[data.pagamento], "&gt;="&amp;D$1,
  tb_desp[data.pagamento], "&lt;"&amp;EOMONTH(D$1,0)+1,
  tb_desp[classe], "&lt;&gt;Financiamento"
)</f>
        <v>0</v>
      </c>
      <c r="E59" s="186">
        <f>-SUMIFS(
  tb_desp[valor],
  tb_desp[nucleo], $B59,
  tb_desp[centro.negocio], $B$51,
  tb_desp[data.pagamento], "&gt;="&amp;E$1,
  tb_desp[data.pagamento], "&lt;"&amp;EOMONTH(E$1,0)+1,
  tb_desp[classe], "&lt;&gt;Financiamento"
)</f>
        <v>0</v>
      </c>
      <c r="F59" s="186">
        <f>-SUMIFS(
  tb_desp[valor],
  tb_desp[nucleo], $B59,
  tb_desp[centro.negocio], $B$51,
  tb_desp[data.pagamento], "&gt;="&amp;F$1,
  tb_desp[data.pagamento], "&lt;"&amp;EOMONTH(F$1,0)+1,
  tb_desp[classe], "&lt;&gt;Financiamento"
)</f>
        <v>0</v>
      </c>
      <c r="G59" s="186">
        <f>-SUMIFS(
  tb_desp[valor],
  tb_desp[nucleo], $B59,
  tb_desp[centro.negocio], $B$51,
  tb_desp[data.pagamento], "&gt;="&amp;G$1,
  tb_desp[data.pagamento], "&lt;"&amp;EOMONTH(G$1,0)+1,
  tb_desp[classe], "&lt;&gt;Financiamento"
)</f>
        <v>0</v>
      </c>
      <c r="H59" s="186">
        <f>-SUMIFS(
  tb_desp[valor],
  tb_desp[nucleo], $B59,
  tb_desp[centro.negocio], $B$51,
  tb_desp[data.pagamento], "&gt;="&amp;H$1,
  tb_desp[data.pagamento], "&lt;"&amp;EOMONTH(H$1,0)+1,
  tb_desp[classe], "&lt;&gt;Financiamento"
)</f>
        <v>0</v>
      </c>
      <c r="I59" s="186">
        <f>-SUMIFS(
  tb_desp[valor],
  tb_desp[nucleo], $B59,
  tb_desp[centro.negocio], $B$51,
  tb_desp[data.pagamento], "&gt;="&amp;I$1,
  tb_desp[data.pagamento], "&lt;"&amp;EOMONTH(I$1,0)+1,
  tb_desp[classe], "&lt;&gt;Financiamento"
)</f>
        <v>0</v>
      </c>
      <c r="J59" s="186">
        <f>-SUMIFS(
  tb_desp[valor],
  tb_desp[nucleo], $B59,
  tb_desp[centro.negocio], $B$51,
  tb_desp[data.pagamento], "&gt;="&amp;J$1,
  tb_desp[data.pagamento], "&lt;"&amp;EOMONTH(J$1,0)+1,
  tb_desp[classe], "&lt;&gt;Financiamento"
)</f>
        <v>0</v>
      </c>
      <c r="K59" s="186">
        <f>-SUMIFS(
  tb_desp[valor],
  tb_desp[nucleo], $B59,
  tb_desp[centro.negocio], $B$51,
  tb_desp[data.pagamento], "&gt;="&amp;K$1,
  tb_desp[data.pagamento], "&lt;"&amp;EOMONTH(K$1,0)+1,
  tb_desp[classe], "&lt;&gt;Financiamento"
)</f>
        <v>0</v>
      </c>
      <c r="L59" s="186">
        <f>-SUMIFS(
  tb_desp[valor],
  tb_desp[nucleo], $B59,
  tb_desp[centro.negocio], $B$51,
  tb_desp[data.pagamento], "&gt;="&amp;L$1,
  tb_desp[data.pagamento], "&lt;"&amp;EOMONTH(L$1,0)+1,
  tb_desp[classe], "&lt;&gt;Financiamento"
)</f>
        <v>0</v>
      </c>
      <c r="M59" s="186">
        <f>-SUMIFS(
  tb_desp[valor],
  tb_desp[nucleo], $B59,
  tb_desp[centro.negocio], $B$51,
  tb_desp[data.pagamento], "&gt;="&amp;M$1,
  tb_desp[data.pagamento], "&lt;"&amp;EOMONTH(M$1,0)+1,
  tb_desp[classe], "&lt;&gt;Financiamento"
)</f>
        <v>0</v>
      </c>
      <c r="N59" s="186">
        <f>-SUMIFS(
  tb_desp[valor],
  tb_desp[nucleo], $B59,
  tb_desp[centro.negocio], $B$51,
  tb_desp[data.pagamento], "&gt;="&amp;N$1,
  tb_desp[data.pagamento], "&lt;"&amp;EOMONTH(N$1,0)+1,
  tb_desp[classe], "&lt;&gt;Financiamento"
)</f>
        <v>0</v>
      </c>
      <c r="O59" s="186">
        <f>-SUMIFS(
  tb_desp[valor],
  tb_desp[nucleo], $B59,
  tb_desp[centro.negocio], $B$51,
  tb_desp[data.pagamento], "&gt;="&amp;O$1,
  tb_desp[data.pagamento], "&lt;"&amp;EOMONTH(O$1,0)+1,
  tb_desp[classe], "&lt;&gt;Financiamento"
)</f>
        <v>0</v>
      </c>
      <c r="P59" s="186">
        <f>-SUMIFS(
  tb_desp[valor],
  tb_desp[nucleo], $B59,
  tb_desp[centro.negocio], $B$51,
  tb_desp[data.pagamento], "&gt;="&amp;P$1,
  tb_desp[data.pagamento], "&lt;"&amp;EOMONTH(P$1,0)+1,
  tb_desp[classe], "&lt;&gt;Financiamento"
)</f>
        <v>0</v>
      </c>
      <c r="Q59" s="186">
        <f>-SUMIFS(
  tb_desp[valor],
  tb_desp[nucleo], $B59,
  tb_desp[centro.negocio], $B$51,
  tb_desp[data.pagamento], "&gt;="&amp;Q$1,
  tb_desp[data.pagamento], "&lt;"&amp;EOMONTH(Q$1,0)+1,
  tb_desp[classe], "&lt;&gt;Financiamento"
)</f>
        <v>0</v>
      </c>
      <c r="R59" s="186">
        <f>-SUMIFS(
  tb_desp[valor],
  tb_desp[nucleo], $B59,
  tb_desp[centro.negocio], $B$51,
  tb_desp[data.pagamento], "&gt;="&amp;R$1,
  tb_desp[data.pagamento], "&lt;"&amp;EOMONTH(R$1,0)+1,
  tb_desp[classe], "&lt;&gt;Financiamento"
)</f>
        <v>0</v>
      </c>
      <c r="S59" s="186">
        <f>-SUMIFS(
  tb_desp[valor],
  tb_desp[nucleo], $B59,
  tb_desp[centro.negocio], $B$51,
  tb_desp[data.pagamento], "&gt;="&amp;S$1,
  tb_desp[data.pagamento], "&lt;"&amp;EOMONTH(S$1,0)+1,
  tb_desp[classe], "&lt;&gt;Financiamento"
)</f>
        <v>0</v>
      </c>
      <c r="T59" s="186">
        <f>-SUMIFS(
  tb_desp[valor],
  tb_desp[nucleo], $B59,
  tb_desp[centro.negocio], $B$51,
  tb_desp[data.pagamento], "&gt;="&amp;T$1,
  tb_desp[data.pagamento], "&lt;"&amp;EOMONTH(T$1,0)+1,
  tb_desp[classe], "&lt;&gt;Financiamento"
)</f>
        <v>0</v>
      </c>
      <c r="U59" s="186">
        <f>-SUMIFS(
  tb_desp[valor],
  tb_desp[nucleo], $B59,
  tb_desp[centro.negocio], $B$51,
  tb_desp[data.pagamento], "&gt;="&amp;U$1,
  tb_desp[data.pagamento], "&lt;"&amp;EOMONTH(U$1,0)+1,
  tb_desp[classe], "&lt;&gt;Financiamento"
)</f>
        <v>0</v>
      </c>
      <c r="V59" s="186">
        <f>-SUMIFS(
  tb_desp[valor],
  tb_desp[nucleo], $B59,
  tb_desp[centro.negocio], $B$51,
  tb_desp[data.pagamento], "&gt;="&amp;V$1,
  tb_desp[data.pagamento], "&lt;"&amp;EOMONTH(V$1,0)+1,
  tb_desp[classe], "&lt;&gt;Financiamento"
)</f>
        <v>0</v>
      </c>
      <c r="W59" s="186">
        <f>-SUMIFS(
  tb_desp[valor],
  tb_desp[nucleo], $B59,
  tb_desp[centro.negocio], $B$51,
  tb_desp[data.pagamento], "&gt;="&amp;W$1,
  tb_desp[data.pagamento], "&lt;"&amp;EOMONTH(W$1,0)+1,
  tb_desp[classe], "&lt;&gt;Financiamento"
)</f>
        <v>0</v>
      </c>
      <c r="X59" s="186">
        <f>-SUMIFS(
  tb_desp[valor],
  tb_desp[nucleo], $B59,
  tb_desp[centro.negocio], $B$51,
  tb_desp[data.pagamento], "&gt;="&amp;X$1,
  tb_desp[data.pagamento], "&lt;"&amp;EOMONTH(X$1,0)+1,
  tb_desp[classe], "&lt;&gt;Financiamento"
)</f>
        <v>0</v>
      </c>
      <c r="Y59" s="186">
        <f>-SUMIFS(
  tb_desp[valor],
  tb_desp[nucleo], $B59,
  tb_desp[centro.negocio], $B$51,
  tb_desp[data.pagamento], "&gt;="&amp;Y$1,
  tb_desp[data.pagamento], "&lt;"&amp;EOMONTH(Y$1,0)+1,
  tb_desp[classe], "&lt;&gt;Financiamento"
)</f>
        <v>0</v>
      </c>
      <c r="Z59" s="186">
        <f>-SUMIFS(
  tb_desp[valor],
  tb_desp[nucleo], $B59,
  tb_desp[centro.negocio], $B$51,
  tb_desp[data.pagamento], "&gt;="&amp;Z$1,
  tb_desp[data.pagamento], "&lt;"&amp;EOMONTH(Z$1,0)+1,
  tb_desp[classe], "&lt;&gt;Financiamento"
)</f>
        <v>0</v>
      </c>
      <c r="AA59" s="186">
        <f>-SUMIFS(
  tb_desp[valor],
  tb_desp[nucleo], $B59,
  tb_desp[centro.negocio], $B$51,
  tb_desp[data.pagamento], "&gt;="&amp;AA$1,
  tb_desp[data.pagamento], "&lt;"&amp;EOMONTH(AA$1,0)+1,
  tb_desp[classe], "&lt;&gt;Financiamento"
)</f>
        <v>0</v>
      </c>
      <c r="AC59" s="178">
        <f t="shared" si="3"/>
        <v>0</v>
      </c>
      <c r="AE59" s="178">
        <f t="shared" si="1"/>
        <v>0</v>
      </c>
    </row>
    <row r="60" spans="1:31" hidden="1" outlineLevel="2" x14ac:dyDescent="0.25">
      <c r="A60" s="185" t="s">
        <v>554</v>
      </c>
      <c r="B60" s="185" t="s">
        <v>539</v>
      </c>
      <c r="C60" s="138" t="s">
        <v>514</v>
      </c>
      <c r="D60" s="186">
        <f>-SUMIFS(
  tb_desp[valor],
  tb_desp[nucleo], $B60,
  tb_desp[centro.negocio], $B$51,
  tb_desp[data.pagamento], "&gt;="&amp;D$1,
  tb_desp[data.pagamento], "&lt;"&amp;EOMONTH(D$1,0)+1,
  tb_desp[classe], "&lt;&gt;Financiamento"
)</f>
        <v>0</v>
      </c>
      <c r="E60" s="186">
        <f>-SUMIFS(
  tb_desp[valor],
  tb_desp[nucleo], $B60,
  tb_desp[centro.negocio], $B$51,
  tb_desp[data.pagamento], "&gt;="&amp;E$1,
  tb_desp[data.pagamento], "&lt;"&amp;EOMONTH(E$1,0)+1,
  tb_desp[classe], "&lt;&gt;Financiamento"
)</f>
        <v>0</v>
      </c>
      <c r="F60" s="186">
        <f>-SUMIFS(
  tb_desp[valor],
  tb_desp[nucleo], $B60,
  tb_desp[centro.negocio], $B$51,
  tb_desp[data.pagamento], "&gt;="&amp;F$1,
  tb_desp[data.pagamento], "&lt;"&amp;EOMONTH(F$1,0)+1,
  tb_desp[classe], "&lt;&gt;Financiamento"
)</f>
        <v>0</v>
      </c>
      <c r="G60" s="186">
        <f>-SUMIFS(
  tb_desp[valor],
  tb_desp[nucleo], $B60,
  tb_desp[centro.negocio], $B$51,
  tb_desp[data.pagamento], "&gt;="&amp;G$1,
  tb_desp[data.pagamento], "&lt;"&amp;EOMONTH(G$1,0)+1,
  tb_desp[classe], "&lt;&gt;Financiamento"
)</f>
        <v>0</v>
      </c>
      <c r="H60" s="186">
        <f>-SUMIFS(
  tb_desp[valor],
  tb_desp[nucleo], $B60,
  tb_desp[centro.negocio], $B$51,
  tb_desp[data.pagamento], "&gt;="&amp;H$1,
  tb_desp[data.pagamento], "&lt;"&amp;EOMONTH(H$1,0)+1,
  tb_desp[classe], "&lt;&gt;Financiamento"
)</f>
        <v>0</v>
      </c>
      <c r="I60" s="186">
        <f>-SUMIFS(
  tb_desp[valor],
  tb_desp[nucleo], $B60,
  tb_desp[centro.negocio], $B$51,
  tb_desp[data.pagamento], "&gt;="&amp;I$1,
  tb_desp[data.pagamento], "&lt;"&amp;EOMONTH(I$1,0)+1,
  tb_desp[classe], "&lt;&gt;Financiamento"
)</f>
        <v>0</v>
      </c>
      <c r="J60" s="186">
        <f>-SUMIFS(
  tb_desp[valor],
  tb_desp[nucleo], $B60,
  tb_desp[centro.negocio], $B$51,
  tb_desp[data.pagamento], "&gt;="&amp;J$1,
  tb_desp[data.pagamento], "&lt;"&amp;EOMONTH(J$1,0)+1,
  tb_desp[classe], "&lt;&gt;Financiamento"
)</f>
        <v>0</v>
      </c>
      <c r="K60" s="186">
        <f>-SUMIFS(
  tb_desp[valor],
  tb_desp[nucleo], $B60,
  tb_desp[centro.negocio], $B$51,
  tb_desp[data.pagamento], "&gt;="&amp;K$1,
  tb_desp[data.pagamento], "&lt;"&amp;EOMONTH(K$1,0)+1,
  tb_desp[classe], "&lt;&gt;Financiamento"
)</f>
        <v>0</v>
      </c>
      <c r="L60" s="186">
        <f>-SUMIFS(
  tb_desp[valor],
  tb_desp[nucleo], $B60,
  tb_desp[centro.negocio], $B$51,
  tb_desp[data.pagamento], "&gt;="&amp;L$1,
  tb_desp[data.pagamento], "&lt;"&amp;EOMONTH(L$1,0)+1,
  tb_desp[classe], "&lt;&gt;Financiamento"
)</f>
        <v>0</v>
      </c>
      <c r="M60" s="186">
        <f>-SUMIFS(
  tb_desp[valor],
  tb_desp[nucleo], $B60,
  tb_desp[centro.negocio], $B$51,
  tb_desp[data.pagamento], "&gt;="&amp;M$1,
  tb_desp[data.pagamento], "&lt;"&amp;EOMONTH(M$1,0)+1,
  tb_desp[classe], "&lt;&gt;Financiamento"
)</f>
        <v>0</v>
      </c>
      <c r="N60" s="186">
        <f>-SUMIFS(
  tb_desp[valor],
  tb_desp[nucleo], $B60,
  tb_desp[centro.negocio], $B$51,
  tb_desp[data.pagamento], "&gt;="&amp;N$1,
  tb_desp[data.pagamento], "&lt;"&amp;EOMONTH(N$1,0)+1,
  tb_desp[classe], "&lt;&gt;Financiamento"
)</f>
        <v>0</v>
      </c>
      <c r="O60" s="186">
        <f>-SUMIFS(
  tb_desp[valor],
  tb_desp[nucleo], $B60,
  tb_desp[centro.negocio], $B$51,
  tb_desp[data.pagamento], "&gt;="&amp;O$1,
  tb_desp[data.pagamento], "&lt;"&amp;EOMONTH(O$1,0)+1,
  tb_desp[classe], "&lt;&gt;Financiamento"
)</f>
        <v>0</v>
      </c>
      <c r="P60" s="186">
        <f>-SUMIFS(
  tb_desp[valor],
  tb_desp[nucleo], $B60,
  tb_desp[centro.negocio], $B$51,
  tb_desp[data.pagamento], "&gt;="&amp;P$1,
  tb_desp[data.pagamento], "&lt;"&amp;EOMONTH(P$1,0)+1,
  tb_desp[classe], "&lt;&gt;Financiamento"
)</f>
        <v>0</v>
      </c>
      <c r="Q60" s="186">
        <f>-SUMIFS(
  tb_desp[valor],
  tb_desp[nucleo], $B60,
  tb_desp[centro.negocio], $B$51,
  tb_desp[data.pagamento], "&gt;="&amp;Q$1,
  tb_desp[data.pagamento], "&lt;"&amp;EOMONTH(Q$1,0)+1,
  tb_desp[classe], "&lt;&gt;Financiamento"
)</f>
        <v>0</v>
      </c>
      <c r="R60" s="186">
        <f>-SUMIFS(
  tb_desp[valor],
  tb_desp[nucleo], $B60,
  tb_desp[centro.negocio], $B$51,
  tb_desp[data.pagamento], "&gt;="&amp;R$1,
  tb_desp[data.pagamento], "&lt;"&amp;EOMONTH(R$1,0)+1,
  tb_desp[classe], "&lt;&gt;Financiamento"
)</f>
        <v>0</v>
      </c>
      <c r="S60" s="186">
        <f>-SUMIFS(
  tb_desp[valor],
  tb_desp[nucleo], $B60,
  tb_desp[centro.negocio], $B$51,
  tb_desp[data.pagamento], "&gt;="&amp;S$1,
  tb_desp[data.pagamento], "&lt;"&amp;EOMONTH(S$1,0)+1,
  tb_desp[classe], "&lt;&gt;Financiamento"
)</f>
        <v>0</v>
      </c>
      <c r="T60" s="186">
        <f>-SUMIFS(
  tb_desp[valor],
  tb_desp[nucleo], $B60,
  tb_desp[centro.negocio], $B$51,
  tb_desp[data.pagamento], "&gt;="&amp;T$1,
  tb_desp[data.pagamento], "&lt;"&amp;EOMONTH(T$1,0)+1,
  tb_desp[classe], "&lt;&gt;Financiamento"
)</f>
        <v>0</v>
      </c>
      <c r="U60" s="186">
        <f>-SUMIFS(
  tb_desp[valor],
  tb_desp[nucleo], $B60,
  tb_desp[centro.negocio], $B$51,
  tb_desp[data.pagamento], "&gt;="&amp;U$1,
  tb_desp[data.pagamento], "&lt;"&amp;EOMONTH(U$1,0)+1,
  tb_desp[classe], "&lt;&gt;Financiamento"
)</f>
        <v>0</v>
      </c>
      <c r="V60" s="186">
        <f>-SUMIFS(
  tb_desp[valor],
  tb_desp[nucleo], $B60,
  tb_desp[centro.negocio], $B$51,
  tb_desp[data.pagamento], "&gt;="&amp;V$1,
  tb_desp[data.pagamento], "&lt;"&amp;EOMONTH(V$1,0)+1,
  tb_desp[classe], "&lt;&gt;Financiamento"
)</f>
        <v>0</v>
      </c>
      <c r="W60" s="186">
        <f>-SUMIFS(
  tb_desp[valor],
  tb_desp[nucleo], $B60,
  tb_desp[centro.negocio], $B$51,
  tb_desp[data.pagamento], "&gt;="&amp;W$1,
  tb_desp[data.pagamento], "&lt;"&amp;EOMONTH(W$1,0)+1,
  tb_desp[classe], "&lt;&gt;Financiamento"
)</f>
        <v>0</v>
      </c>
      <c r="X60" s="186">
        <f>-SUMIFS(
  tb_desp[valor],
  tb_desp[nucleo], $B60,
  tb_desp[centro.negocio], $B$51,
  tb_desp[data.pagamento], "&gt;="&amp;X$1,
  tb_desp[data.pagamento], "&lt;"&amp;EOMONTH(X$1,0)+1,
  tb_desp[classe], "&lt;&gt;Financiamento"
)</f>
        <v>0</v>
      </c>
      <c r="Y60" s="186">
        <f>-SUMIFS(
  tb_desp[valor],
  tb_desp[nucleo], $B60,
  tb_desp[centro.negocio], $B$51,
  tb_desp[data.pagamento], "&gt;="&amp;Y$1,
  tb_desp[data.pagamento], "&lt;"&amp;EOMONTH(Y$1,0)+1,
  tb_desp[classe], "&lt;&gt;Financiamento"
)</f>
        <v>0</v>
      </c>
      <c r="Z60" s="186">
        <f>-SUMIFS(
  tb_desp[valor],
  tb_desp[nucleo], $B60,
  tb_desp[centro.negocio], $B$51,
  tb_desp[data.pagamento], "&gt;="&amp;Z$1,
  tb_desp[data.pagamento], "&lt;"&amp;EOMONTH(Z$1,0)+1,
  tb_desp[classe], "&lt;&gt;Financiamento"
)</f>
        <v>0</v>
      </c>
      <c r="AA60" s="186">
        <f>-SUMIFS(
  tb_desp[valor],
  tb_desp[nucleo], $B60,
  tb_desp[centro.negocio], $B$51,
  tb_desp[data.pagamento], "&gt;="&amp;AA$1,
  tb_desp[data.pagamento], "&lt;"&amp;EOMONTH(AA$1,0)+1,
  tb_desp[classe], "&lt;&gt;Financiamento"
)</f>
        <v>0</v>
      </c>
      <c r="AC60" s="178">
        <f t="shared" si="3"/>
        <v>0</v>
      </c>
      <c r="AE60" s="178">
        <f t="shared" si="1"/>
        <v>0</v>
      </c>
    </row>
    <row r="61" spans="1:31" hidden="1" outlineLevel="2" x14ac:dyDescent="0.25">
      <c r="A61" s="185" t="s">
        <v>719</v>
      </c>
      <c r="B61" s="185" t="s">
        <v>1040</v>
      </c>
      <c r="C61" s="138" t="s">
        <v>514</v>
      </c>
      <c r="D61" s="186">
        <f>-SUMIFS(
  tb_desp[valor],
  tb_desp[nucleo], $B61,
  tb_desp[centro.negocio], $B$51,
  tb_desp[data.pagamento], "&gt;="&amp;D$1,
  tb_desp[data.pagamento], "&lt;"&amp;EOMONTH(D$1,0)+1,
  tb_desp[classe], "&lt;&gt;Financiamento"
)</f>
        <v>0</v>
      </c>
      <c r="E61" s="186">
        <f>-SUMIFS(
  tb_desp[valor],
  tb_desp[nucleo], $B61,
  tb_desp[centro.negocio], $B$51,
  tb_desp[data.pagamento], "&gt;="&amp;E$1,
  tb_desp[data.pagamento], "&lt;"&amp;EOMONTH(E$1,0)+1,
  tb_desp[classe], "&lt;&gt;Financiamento"
)</f>
        <v>0</v>
      </c>
      <c r="F61" s="186">
        <f>-SUMIFS(
  tb_desp[valor],
  tb_desp[nucleo], $B61,
  tb_desp[centro.negocio], $B$51,
  tb_desp[data.pagamento], "&gt;="&amp;F$1,
  tb_desp[data.pagamento], "&lt;"&amp;EOMONTH(F$1,0)+1,
  tb_desp[classe], "&lt;&gt;Financiamento"
)</f>
        <v>0</v>
      </c>
      <c r="G61" s="186">
        <f>-SUMIFS(
  tb_desp[valor],
  tb_desp[nucleo], $B61,
  tb_desp[centro.negocio], $B$51,
  tb_desp[data.pagamento], "&gt;="&amp;G$1,
  tb_desp[data.pagamento], "&lt;"&amp;EOMONTH(G$1,0)+1,
  tb_desp[classe], "&lt;&gt;Financiamento"
)</f>
        <v>0</v>
      </c>
      <c r="H61" s="186">
        <f>-SUMIFS(
  tb_desp[valor],
  tb_desp[nucleo], $B61,
  tb_desp[centro.negocio], $B$51,
  tb_desp[data.pagamento], "&gt;="&amp;H$1,
  tb_desp[data.pagamento], "&lt;"&amp;EOMONTH(H$1,0)+1,
  tb_desp[classe], "&lt;&gt;Financiamento"
)</f>
        <v>0</v>
      </c>
      <c r="I61" s="186">
        <f>-SUMIFS(
  tb_desp[valor],
  tb_desp[nucleo], $B61,
  tb_desp[centro.negocio], $B$51,
  tb_desp[data.pagamento], "&gt;="&amp;I$1,
  tb_desp[data.pagamento], "&lt;"&amp;EOMONTH(I$1,0)+1,
  tb_desp[classe], "&lt;&gt;Financiamento"
)</f>
        <v>0</v>
      </c>
      <c r="J61" s="186">
        <f>-SUMIFS(
  tb_desp[valor],
  tb_desp[nucleo], $B61,
  tb_desp[centro.negocio], $B$51,
  tb_desp[data.pagamento], "&gt;="&amp;J$1,
  tb_desp[data.pagamento], "&lt;"&amp;EOMONTH(J$1,0)+1,
  tb_desp[classe], "&lt;&gt;Financiamento"
)</f>
        <v>0</v>
      </c>
      <c r="K61" s="186">
        <f>-SUMIFS(
  tb_desp[valor],
  tb_desp[nucleo], $B61,
  tb_desp[centro.negocio], $B$51,
  tb_desp[data.pagamento], "&gt;="&amp;K$1,
  tb_desp[data.pagamento], "&lt;"&amp;EOMONTH(K$1,0)+1,
  tb_desp[classe], "&lt;&gt;Financiamento"
)</f>
        <v>0</v>
      </c>
      <c r="L61" s="186">
        <f>-SUMIFS(
  tb_desp[valor],
  tb_desp[nucleo], $B61,
  tb_desp[centro.negocio], $B$51,
  tb_desp[data.pagamento], "&gt;="&amp;L$1,
  tb_desp[data.pagamento], "&lt;"&amp;EOMONTH(L$1,0)+1,
  tb_desp[classe], "&lt;&gt;Financiamento"
)</f>
        <v>0</v>
      </c>
      <c r="M61" s="186">
        <f>-SUMIFS(
  tb_desp[valor],
  tb_desp[nucleo], $B61,
  tb_desp[centro.negocio], $B$51,
  tb_desp[data.pagamento], "&gt;="&amp;M$1,
  tb_desp[data.pagamento], "&lt;"&amp;EOMONTH(M$1,0)+1,
  tb_desp[classe], "&lt;&gt;Financiamento"
)</f>
        <v>0</v>
      </c>
      <c r="N61" s="186">
        <f>-SUMIFS(
  tb_desp[valor],
  tb_desp[nucleo], $B61,
  tb_desp[centro.negocio], $B$51,
  tb_desp[data.pagamento], "&gt;="&amp;N$1,
  tb_desp[data.pagamento], "&lt;"&amp;EOMONTH(N$1,0)+1,
  tb_desp[classe], "&lt;&gt;Financiamento"
)</f>
        <v>0</v>
      </c>
      <c r="O61" s="186">
        <f>-SUMIFS(
  tb_desp[valor],
  tb_desp[nucleo], $B61,
  tb_desp[centro.negocio], $B$51,
  tb_desp[data.pagamento], "&gt;="&amp;O$1,
  tb_desp[data.pagamento], "&lt;"&amp;EOMONTH(O$1,0)+1,
  tb_desp[classe], "&lt;&gt;Financiamento"
)</f>
        <v>0</v>
      </c>
      <c r="P61" s="186">
        <f>-SUMIFS(
  tb_desp[valor],
  tb_desp[nucleo], $B61,
  tb_desp[centro.negocio], $B$51,
  tb_desp[data.pagamento], "&gt;="&amp;P$1,
  tb_desp[data.pagamento], "&lt;"&amp;EOMONTH(P$1,0)+1,
  tb_desp[classe], "&lt;&gt;Financiamento"
)</f>
        <v>0</v>
      </c>
      <c r="Q61" s="186">
        <f>-SUMIFS(
  tb_desp[valor],
  tb_desp[nucleo], $B61,
  tb_desp[centro.negocio], $B$51,
  tb_desp[data.pagamento], "&gt;="&amp;Q$1,
  tb_desp[data.pagamento], "&lt;"&amp;EOMONTH(Q$1,0)+1,
  tb_desp[classe], "&lt;&gt;Financiamento"
)</f>
        <v>0</v>
      </c>
      <c r="R61" s="186">
        <f>-SUMIFS(
  tb_desp[valor],
  tb_desp[nucleo], $B61,
  tb_desp[centro.negocio], $B$51,
  tb_desp[data.pagamento], "&gt;="&amp;R$1,
  tb_desp[data.pagamento], "&lt;"&amp;EOMONTH(R$1,0)+1,
  tb_desp[classe], "&lt;&gt;Financiamento"
)</f>
        <v>0</v>
      </c>
      <c r="S61" s="186">
        <f>-SUMIFS(
  tb_desp[valor],
  tb_desp[nucleo], $B61,
  tb_desp[centro.negocio], $B$51,
  tb_desp[data.pagamento], "&gt;="&amp;S$1,
  tb_desp[data.pagamento], "&lt;"&amp;EOMONTH(S$1,0)+1,
  tb_desp[classe], "&lt;&gt;Financiamento"
)</f>
        <v>0</v>
      </c>
      <c r="T61" s="186">
        <f>-SUMIFS(
  tb_desp[valor],
  tb_desp[nucleo], $B61,
  tb_desp[centro.negocio], $B$51,
  tb_desp[data.pagamento], "&gt;="&amp;T$1,
  tb_desp[data.pagamento], "&lt;"&amp;EOMONTH(T$1,0)+1,
  tb_desp[classe], "&lt;&gt;Financiamento"
)</f>
        <v>0</v>
      </c>
      <c r="U61" s="186">
        <f>-SUMIFS(
  tb_desp[valor],
  tb_desp[nucleo], $B61,
  tb_desp[centro.negocio], $B$51,
  tb_desp[data.pagamento], "&gt;="&amp;U$1,
  tb_desp[data.pagamento], "&lt;"&amp;EOMONTH(U$1,0)+1,
  tb_desp[classe], "&lt;&gt;Financiamento"
)</f>
        <v>0</v>
      </c>
      <c r="V61" s="186">
        <f>-SUMIFS(
  tb_desp[valor],
  tb_desp[nucleo], $B61,
  tb_desp[centro.negocio], $B$51,
  tb_desp[data.pagamento], "&gt;="&amp;V$1,
  tb_desp[data.pagamento], "&lt;"&amp;EOMONTH(V$1,0)+1,
  tb_desp[classe], "&lt;&gt;Financiamento"
)</f>
        <v>0</v>
      </c>
      <c r="W61" s="186">
        <f>-SUMIFS(
  tb_desp[valor],
  tb_desp[nucleo], $B61,
  tb_desp[centro.negocio], $B$51,
  tb_desp[data.pagamento], "&gt;="&amp;W$1,
  tb_desp[data.pagamento], "&lt;"&amp;EOMONTH(W$1,0)+1,
  tb_desp[classe], "&lt;&gt;Financiamento"
)</f>
        <v>0</v>
      </c>
      <c r="X61" s="186">
        <f>-SUMIFS(
  tb_desp[valor],
  tb_desp[nucleo], $B61,
  tb_desp[centro.negocio], $B$51,
  tb_desp[data.pagamento], "&gt;="&amp;X$1,
  tb_desp[data.pagamento], "&lt;"&amp;EOMONTH(X$1,0)+1,
  tb_desp[classe], "&lt;&gt;Financiamento"
)</f>
        <v>0</v>
      </c>
      <c r="Y61" s="186">
        <f>-SUMIFS(
  tb_desp[valor],
  tb_desp[nucleo], $B61,
  tb_desp[centro.negocio], $B$51,
  tb_desp[data.pagamento], "&gt;="&amp;Y$1,
  tb_desp[data.pagamento], "&lt;"&amp;EOMONTH(Y$1,0)+1,
  tb_desp[classe], "&lt;&gt;Financiamento"
)</f>
        <v>0</v>
      </c>
      <c r="Z61" s="186">
        <f>-SUMIFS(
  tb_desp[valor],
  tb_desp[nucleo], $B61,
  tb_desp[centro.negocio], $B$51,
  tb_desp[data.pagamento], "&gt;="&amp;Z$1,
  tb_desp[data.pagamento], "&lt;"&amp;EOMONTH(Z$1,0)+1,
  tb_desp[classe], "&lt;&gt;Financiamento"
)</f>
        <v>0</v>
      </c>
      <c r="AA61" s="186">
        <f>-SUMIFS(
  tb_desp[valor],
  tb_desp[nucleo], $B61,
  tb_desp[centro.negocio], $B$51,
  tb_desp[data.pagamento], "&gt;="&amp;AA$1,
  tb_desp[data.pagamento], "&lt;"&amp;EOMONTH(AA$1,0)+1,
  tb_desp[classe], "&lt;&gt;Financiamento"
)</f>
        <v>0</v>
      </c>
      <c r="AC61" s="178">
        <f t="shared" si="3"/>
        <v>0</v>
      </c>
      <c r="AE61" s="178">
        <f t="shared" si="1"/>
        <v>0</v>
      </c>
    </row>
    <row r="62" spans="1:31" hidden="1" outlineLevel="2" x14ac:dyDescent="0.25">
      <c r="A62" s="185" t="s">
        <v>1039</v>
      </c>
      <c r="B62" s="185" t="s">
        <v>1006</v>
      </c>
      <c r="C62" s="138" t="s">
        <v>514</v>
      </c>
      <c r="D62" s="186">
        <f>-SUMIFS(
  tb_desp[valor],
  tb_desp[nucleo], $B62,
  tb_desp[centro.negocio], $B$51,
  tb_desp[data.pagamento], "&gt;="&amp;D$1,
  tb_desp[data.pagamento], "&lt;"&amp;EOMONTH(D$1,0)+1,
  tb_desp[classe], "&lt;&gt;Financiamento"
)</f>
        <v>0</v>
      </c>
      <c r="E62" s="186">
        <f>-SUMIFS(
  tb_desp[valor],
  tb_desp[nucleo], $B62,
  tb_desp[centro.negocio], $B$51,
  tb_desp[data.pagamento], "&gt;="&amp;E$1,
  tb_desp[data.pagamento], "&lt;"&amp;EOMONTH(E$1,0)+1,
  tb_desp[classe], "&lt;&gt;Financiamento"
)</f>
        <v>0</v>
      </c>
      <c r="F62" s="186">
        <f>-SUMIFS(
  tb_desp[valor],
  tb_desp[nucleo], $B62,
  tb_desp[centro.negocio], $B$51,
  tb_desp[data.pagamento], "&gt;="&amp;F$1,
  tb_desp[data.pagamento], "&lt;"&amp;EOMONTH(F$1,0)+1,
  tb_desp[classe], "&lt;&gt;Financiamento"
)</f>
        <v>0</v>
      </c>
      <c r="G62" s="186">
        <f>-SUMIFS(
  tb_desp[valor],
  tb_desp[nucleo], $B62,
  tb_desp[centro.negocio], $B$51,
  tb_desp[data.pagamento], "&gt;="&amp;G$1,
  tb_desp[data.pagamento], "&lt;"&amp;EOMONTH(G$1,0)+1,
  tb_desp[classe], "&lt;&gt;Financiamento"
)</f>
        <v>0</v>
      </c>
      <c r="H62" s="186">
        <f>-SUMIFS(
  tb_desp[valor],
  tb_desp[nucleo], $B62,
  tb_desp[centro.negocio], $B$51,
  tb_desp[data.pagamento], "&gt;="&amp;H$1,
  tb_desp[data.pagamento], "&lt;"&amp;EOMONTH(H$1,0)+1,
  tb_desp[classe], "&lt;&gt;Financiamento"
)</f>
        <v>0</v>
      </c>
      <c r="I62" s="186">
        <f>-SUMIFS(
  tb_desp[valor],
  tb_desp[nucleo], $B62,
  tb_desp[centro.negocio], $B$51,
  tb_desp[data.pagamento], "&gt;="&amp;I$1,
  tb_desp[data.pagamento], "&lt;"&amp;EOMONTH(I$1,0)+1,
  tb_desp[classe], "&lt;&gt;Financiamento"
)</f>
        <v>0</v>
      </c>
      <c r="J62" s="186">
        <f>-SUMIFS(
  tb_desp[valor],
  tb_desp[nucleo], $B62,
  tb_desp[centro.negocio], $B$51,
  tb_desp[data.pagamento], "&gt;="&amp;J$1,
  tb_desp[data.pagamento], "&lt;"&amp;EOMONTH(J$1,0)+1,
  tb_desp[classe], "&lt;&gt;Financiamento"
)</f>
        <v>0</v>
      </c>
      <c r="K62" s="186">
        <f>-SUMIFS(
  tb_desp[valor],
  tb_desp[nucleo], $B62,
  tb_desp[centro.negocio], $B$51,
  tb_desp[data.pagamento], "&gt;="&amp;K$1,
  tb_desp[data.pagamento], "&lt;"&amp;EOMONTH(K$1,0)+1,
  tb_desp[classe], "&lt;&gt;Financiamento"
)</f>
        <v>0</v>
      </c>
      <c r="L62" s="186">
        <f>-SUMIFS(
  tb_desp[valor],
  tb_desp[nucleo], $B62,
  tb_desp[centro.negocio], $B$51,
  tb_desp[data.pagamento], "&gt;="&amp;L$1,
  tb_desp[data.pagamento], "&lt;"&amp;EOMONTH(L$1,0)+1,
  tb_desp[classe], "&lt;&gt;Financiamento"
)</f>
        <v>0</v>
      </c>
      <c r="M62" s="186">
        <f>-SUMIFS(
  tb_desp[valor],
  tb_desp[nucleo], $B62,
  tb_desp[centro.negocio], $B$51,
  tb_desp[data.pagamento], "&gt;="&amp;M$1,
  tb_desp[data.pagamento], "&lt;"&amp;EOMONTH(M$1,0)+1,
  tb_desp[classe], "&lt;&gt;Financiamento"
)</f>
        <v>0</v>
      </c>
      <c r="N62" s="186">
        <f>-SUMIFS(
  tb_desp[valor],
  tb_desp[nucleo], $B62,
  tb_desp[centro.negocio], $B$51,
  tb_desp[data.pagamento], "&gt;="&amp;N$1,
  tb_desp[data.pagamento], "&lt;"&amp;EOMONTH(N$1,0)+1,
  tb_desp[classe], "&lt;&gt;Financiamento"
)</f>
        <v>0</v>
      </c>
      <c r="O62" s="186">
        <f>-SUMIFS(
  tb_desp[valor],
  tb_desp[nucleo], $B62,
  tb_desp[centro.negocio], $B$51,
  tb_desp[data.pagamento], "&gt;="&amp;O$1,
  tb_desp[data.pagamento], "&lt;"&amp;EOMONTH(O$1,0)+1,
  tb_desp[classe], "&lt;&gt;Financiamento"
)</f>
        <v>0</v>
      </c>
      <c r="P62" s="186">
        <f>-SUMIFS(
  tb_desp[valor],
  tb_desp[nucleo], $B62,
  tb_desp[centro.negocio], $B$51,
  tb_desp[data.pagamento], "&gt;="&amp;P$1,
  tb_desp[data.pagamento], "&lt;"&amp;EOMONTH(P$1,0)+1,
  tb_desp[classe], "&lt;&gt;Financiamento"
)</f>
        <v>0</v>
      </c>
      <c r="Q62" s="186">
        <f>-SUMIFS(
  tb_desp[valor],
  tb_desp[nucleo], $B62,
  tb_desp[centro.negocio], $B$51,
  tb_desp[data.pagamento], "&gt;="&amp;Q$1,
  tb_desp[data.pagamento], "&lt;"&amp;EOMONTH(Q$1,0)+1,
  tb_desp[classe], "&lt;&gt;Financiamento"
)</f>
        <v>0</v>
      </c>
      <c r="R62" s="186">
        <f>-SUMIFS(
  tb_desp[valor],
  tb_desp[nucleo], $B62,
  tb_desp[centro.negocio], $B$51,
  tb_desp[data.pagamento], "&gt;="&amp;R$1,
  tb_desp[data.pagamento], "&lt;"&amp;EOMONTH(R$1,0)+1,
  tb_desp[classe], "&lt;&gt;Financiamento"
)</f>
        <v>0</v>
      </c>
      <c r="S62" s="186">
        <f>-SUMIFS(
  tb_desp[valor],
  tb_desp[nucleo], $B62,
  tb_desp[centro.negocio], $B$51,
  tb_desp[data.pagamento], "&gt;="&amp;S$1,
  tb_desp[data.pagamento], "&lt;"&amp;EOMONTH(S$1,0)+1,
  tb_desp[classe], "&lt;&gt;Financiamento"
)</f>
        <v>0</v>
      </c>
      <c r="T62" s="186">
        <f>-SUMIFS(
  tb_desp[valor],
  tb_desp[nucleo], $B62,
  tb_desp[centro.negocio], $B$51,
  tb_desp[data.pagamento], "&gt;="&amp;T$1,
  tb_desp[data.pagamento], "&lt;"&amp;EOMONTH(T$1,0)+1,
  tb_desp[classe], "&lt;&gt;Financiamento"
)</f>
        <v>0</v>
      </c>
      <c r="U62" s="186">
        <f>-SUMIFS(
  tb_desp[valor],
  tb_desp[nucleo], $B62,
  tb_desp[centro.negocio], $B$51,
  tb_desp[data.pagamento], "&gt;="&amp;U$1,
  tb_desp[data.pagamento], "&lt;"&amp;EOMONTH(U$1,0)+1,
  tb_desp[classe], "&lt;&gt;Financiamento"
)</f>
        <v>0</v>
      </c>
      <c r="V62" s="186">
        <f>-SUMIFS(
  tb_desp[valor],
  tb_desp[nucleo], $B62,
  tb_desp[centro.negocio], $B$51,
  tb_desp[data.pagamento], "&gt;="&amp;V$1,
  tb_desp[data.pagamento], "&lt;"&amp;EOMONTH(V$1,0)+1,
  tb_desp[classe], "&lt;&gt;Financiamento"
)</f>
        <v>0</v>
      </c>
      <c r="W62" s="186">
        <f>-SUMIFS(
  tb_desp[valor],
  tb_desp[nucleo], $B62,
  tb_desp[centro.negocio], $B$51,
  tb_desp[data.pagamento], "&gt;="&amp;W$1,
  tb_desp[data.pagamento], "&lt;"&amp;EOMONTH(W$1,0)+1,
  tb_desp[classe], "&lt;&gt;Financiamento"
)</f>
        <v>0</v>
      </c>
      <c r="X62" s="186">
        <f>-SUMIFS(
  tb_desp[valor],
  tb_desp[nucleo], $B62,
  tb_desp[centro.negocio], $B$51,
  tb_desp[data.pagamento], "&gt;="&amp;X$1,
  tb_desp[data.pagamento], "&lt;"&amp;EOMONTH(X$1,0)+1,
  tb_desp[classe], "&lt;&gt;Financiamento"
)</f>
        <v>0</v>
      </c>
      <c r="Y62" s="186">
        <f>-SUMIFS(
  tb_desp[valor],
  tb_desp[nucleo], $B62,
  tb_desp[centro.negocio], $B$51,
  tb_desp[data.pagamento], "&gt;="&amp;Y$1,
  tb_desp[data.pagamento], "&lt;"&amp;EOMONTH(Y$1,0)+1,
  tb_desp[classe], "&lt;&gt;Financiamento"
)</f>
        <v>0</v>
      </c>
      <c r="Z62" s="186">
        <f>-SUMIFS(
  tb_desp[valor],
  tb_desp[nucleo], $B62,
  tb_desp[centro.negocio], $B$51,
  tb_desp[data.pagamento], "&gt;="&amp;Z$1,
  tb_desp[data.pagamento], "&lt;"&amp;EOMONTH(Z$1,0)+1,
  tb_desp[classe], "&lt;&gt;Financiamento"
)</f>
        <v>0</v>
      </c>
      <c r="AA62" s="186">
        <f>-SUMIFS(
  tb_desp[valor],
  tb_desp[nucleo], $B62,
  tb_desp[centro.negocio], $B$51,
  tb_desp[data.pagamento], "&gt;="&amp;AA$1,
  tb_desp[data.pagamento], "&lt;"&amp;EOMONTH(AA$1,0)+1,
  tb_desp[classe], "&lt;&gt;Financiamento"
)</f>
        <v>0</v>
      </c>
      <c r="AC62" s="178">
        <f t="shared" si="3"/>
        <v>0</v>
      </c>
      <c r="AE62" s="178">
        <f>SUM(D62:AA62)</f>
        <v>0</v>
      </c>
    </row>
    <row r="63" spans="1:31" hidden="1" outlineLevel="2" x14ac:dyDescent="0.25">
      <c r="A63" s="185" t="s">
        <v>718</v>
      </c>
      <c r="B63" s="185" t="s">
        <v>558</v>
      </c>
      <c r="C63" s="138" t="s">
        <v>514</v>
      </c>
      <c r="D63" s="186">
        <f>-SUMIFS(
  tb_desp[valor],
  tb_desp[nucleo], $B63,
  tb_desp[centro.negocio], $B$51,
  tb_desp[data.pagamento], "&gt;="&amp;D$1,
  tb_desp[data.pagamento], "&lt;"&amp;EOMONTH(D$1,0)+1,
  tb_desp[classe], "&lt;&gt;Financiamento"
)</f>
        <v>0</v>
      </c>
      <c r="E63" s="186">
        <f>-SUMIFS(
  tb_desp[valor],
  tb_desp[nucleo], $B63,
  tb_desp[centro.negocio], $B$51,
  tb_desp[data.pagamento], "&gt;="&amp;E$1,
  tb_desp[data.pagamento], "&lt;"&amp;EOMONTH(E$1,0)+1,
  tb_desp[classe], "&lt;&gt;Financiamento"
)</f>
        <v>0</v>
      </c>
      <c r="F63" s="186">
        <f>-SUMIFS(
  tb_desp[valor],
  tb_desp[nucleo], $B63,
  tb_desp[centro.negocio], $B$51,
  tb_desp[data.pagamento], "&gt;="&amp;F$1,
  tb_desp[data.pagamento], "&lt;"&amp;EOMONTH(F$1,0)+1,
  tb_desp[classe], "&lt;&gt;Financiamento"
)</f>
        <v>0</v>
      </c>
      <c r="G63" s="186">
        <f>-SUMIFS(
  tb_desp[valor],
  tb_desp[nucleo], $B63,
  tb_desp[centro.negocio], $B$51,
  tb_desp[data.pagamento], "&gt;="&amp;G$1,
  tb_desp[data.pagamento], "&lt;"&amp;EOMONTH(G$1,0)+1,
  tb_desp[classe], "&lt;&gt;Financiamento"
)</f>
        <v>0</v>
      </c>
      <c r="H63" s="186">
        <f>-SUMIFS(
  tb_desp[valor],
  tb_desp[nucleo], $B63,
  tb_desp[centro.negocio], $B$51,
  tb_desp[data.pagamento], "&gt;="&amp;H$1,
  tb_desp[data.pagamento], "&lt;"&amp;EOMONTH(H$1,0)+1,
  tb_desp[classe], "&lt;&gt;Financiamento"
)</f>
        <v>0</v>
      </c>
      <c r="I63" s="186">
        <f>-SUMIFS(
  tb_desp[valor],
  tb_desp[nucleo], $B63,
  tb_desp[centro.negocio], $B$51,
  tb_desp[data.pagamento], "&gt;="&amp;I$1,
  tb_desp[data.pagamento], "&lt;"&amp;EOMONTH(I$1,0)+1,
  tb_desp[classe], "&lt;&gt;Financiamento"
)</f>
        <v>0</v>
      </c>
      <c r="J63" s="186">
        <f>-SUMIFS(
  tb_desp[valor],
  tb_desp[nucleo], $B63,
  tb_desp[centro.negocio], $B$51,
  tb_desp[data.pagamento], "&gt;="&amp;J$1,
  tb_desp[data.pagamento], "&lt;"&amp;EOMONTH(J$1,0)+1,
  tb_desp[classe], "&lt;&gt;Financiamento"
)</f>
        <v>0</v>
      </c>
      <c r="K63" s="186">
        <f>-SUMIFS(
  tb_desp[valor],
  tb_desp[nucleo], $B63,
  tb_desp[centro.negocio], $B$51,
  tb_desp[data.pagamento], "&gt;="&amp;K$1,
  tb_desp[data.pagamento], "&lt;"&amp;EOMONTH(K$1,0)+1,
  tb_desp[classe], "&lt;&gt;Financiamento"
)</f>
        <v>0</v>
      </c>
      <c r="L63" s="186">
        <f>-SUMIFS(
  tb_desp[valor],
  tb_desp[nucleo], $B63,
  tb_desp[centro.negocio], $B$51,
  tb_desp[data.pagamento], "&gt;="&amp;L$1,
  tb_desp[data.pagamento], "&lt;"&amp;EOMONTH(L$1,0)+1,
  tb_desp[classe], "&lt;&gt;Financiamento"
)</f>
        <v>0</v>
      </c>
      <c r="M63" s="186">
        <f>-SUMIFS(
  tb_desp[valor],
  tb_desp[nucleo], $B63,
  tb_desp[centro.negocio], $B$51,
  tb_desp[data.pagamento], "&gt;="&amp;M$1,
  tb_desp[data.pagamento], "&lt;"&amp;EOMONTH(M$1,0)+1,
  tb_desp[classe], "&lt;&gt;Financiamento"
)</f>
        <v>0</v>
      </c>
      <c r="N63" s="186">
        <f>-SUMIFS(
  tb_desp[valor],
  tb_desp[nucleo], $B63,
  tb_desp[centro.negocio], $B$51,
  tb_desp[data.pagamento], "&gt;="&amp;N$1,
  tb_desp[data.pagamento], "&lt;"&amp;EOMONTH(N$1,0)+1,
  tb_desp[classe], "&lt;&gt;Financiamento"
)</f>
        <v>0</v>
      </c>
      <c r="O63" s="186">
        <f>-SUMIFS(
  tb_desp[valor],
  tb_desp[nucleo], $B63,
  tb_desp[centro.negocio], $B$51,
  tb_desp[data.pagamento], "&gt;="&amp;O$1,
  tb_desp[data.pagamento], "&lt;"&amp;EOMONTH(O$1,0)+1,
  tb_desp[classe], "&lt;&gt;Financiamento"
)</f>
        <v>0</v>
      </c>
      <c r="P63" s="186">
        <f>-SUMIFS(
  tb_desp[valor],
  tb_desp[nucleo], $B63,
  tb_desp[centro.negocio], $B$51,
  tb_desp[data.pagamento], "&gt;="&amp;P$1,
  tb_desp[data.pagamento], "&lt;"&amp;EOMONTH(P$1,0)+1,
  tb_desp[classe], "&lt;&gt;Financiamento"
)</f>
        <v>0</v>
      </c>
      <c r="Q63" s="186">
        <f>-SUMIFS(
  tb_desp[valor],
  tb_desp[nucleo], $B63,
  tb_desp[centro.negocio], $B$51,
  tb_desp[data.pagamento], "&gt;="&amp;Q$1,
  tb_desp[data.pagamento], "&lt;"&amp;EOMONTH(Q$1,0)+1,
  tb_desp[classe], "&lt;&gt;Financiamento"
)</f>
        <v>0</v>
      </c>
      <c r="R63" s="186">
        <f>-SUMIFS(
  tb_desp[valor],
  tb_desp[nucleo], $B63,
  tb_desp[centro.negocio], $B$51,
  tb_desp[data.pagamento], "&gt;="&amp;R$1,
  tb_desp[data.pagamento], "&lt;"&amp;EOMONTH(R$1,0)+1,
  tb_desp[classe], "&lt;&gt;Financiamento"
)</f>
        <v>0</v>
      </c>
      <c r="S63" s="186">
        <f>-SUMIFS(
  tb_desp[valor],
  tb_desp[nucleo], $B63,
  tb_desp[centro.negocio], $B$51,
  tb_desp[data.pagamento], "&gt;="&amp;S$1,
  tb_desp[data.pagamento], "&lt;"&amp;EOMONTH(S$1,0)+1,
  tb_desp[classe], "&lt;&gt;Financiamento"
)</f>
        <v>0</v>
      </c>
      <c r="T63" s="186">
        <f>-SUMIFS(
  tb_desp[valor],
  tb_desp[nucleo], $B63,
  tb_desp[centro.negocio], $B$51,
  tb_desp[data.pagamento], "&gt;="&amp;T$1,
  tb_desp[data.pagamento], "&lt;"&amp;EOMONTH(T$1,0)+1,
  tb_desp[classe], "&lt;&gt;Financiamento"
)</f>
        <v>0</v>
      </c>
      <c r="U63" s="186">
        <f>-SUMIFS(
  tb_desp[valor],
  tb_desp[nucleo], $B63,
  tb_desp[centro.negocio], $B$51,
  tb_desp[data.pagamento], "&gt;="&amp;U$1,
  tb_desp[data.pagamento], "&lt;"&amp;EOMONTH(U$1,0)+1,
  tb_desp[classe], "&lt;&gt;Financiamento"
)</f>
        <v>0</v>
      </c>
      <c r="V63" s="186">
        <f>-SUMIFS(
  tb_desp[valor],
  tb_desp[nucleo], $B63,
  tb_desp[centro.negocio], $B$51,
  tb_desp[data.pagamento], "&gt;="&amp;V$1,
  tb_desp[data.pagamento], "&lt;"&amp;EOMONTH(V$1,0)+1,
  tb_desp[classe], "&lt;&gt;Financiamento"
)</f>
        <v>0</v>
      </c>
      <c r="W63" s="186">
        <f>-SUMIFS(
  tb_desp[valor],
  tb_desp[nucleo], $B63,
  tb_desp[centro.negocio], $B$51,
  tb_desp[data.pagamento], "&gt;="&amp;W$1,
  tb_desp[data.pagamento], "&lt;"&amp;EOMONTH(W$1,0)+1,
  tb_desp[classe], "&lt;&gt;Financiamento"
)</f>
        <v>0</v>
      </c>
      <c r="X63" s="186">
        <f>-SUMIFS(
  tb_desp[valor],
  tb_desp[nucleo], $B63,
  tb_desp[centro.negocio], $B$51,
  tb_desp[data.pagamento], "&gt;="&amp;X$1,
  tb_desp[data.pagamento], "&lt;"&amp;EOMONTH(X$1,0)+1,
  tb_desp[classe], "&lt;&gt;Financiamento"
)</f>
        <v>0</v>
      </c>
      <c r="Y63" s="186">
        <f>-SUMIFS(
  tb_desp[valor],
  tb_desp[nucleo], $B63,
  tb_desp[centro.negocio], $B$51,
  tb_desp[data.pagamento], "&gt;="&amp;Y$1,
  tb_desp[data.pagamento], "&lt;"&amp;EOMONTH(Y$1,0)+1,
  tb_desp[classe], "&lt;&gt;Financiamento"
)</f>
        <v>0</v>
      </c>
      <c r="Z63" s="186">
        <f>-SUMIFS(
  tb_desp[valor],
  tb_desp[nucleo], $B63,
  tb_desp[centro.negocio], $B$51,
  tb_desp[data.pagamento], "&gt;="&amp;Z$1,
  tb_desp[data.pagamento], "&lt;"&amp;EOMONTH(Z$1,0)+1,
  tb_desp[classe], "&lt;&gt;Financiamento"
)</f>
        <v>0</v>
      </c>
      <c r="AA63" s="186">
        <f>-SUMIFS(
  tb_desp[valor],
  tb_desp[nucleo], $B63,
  tb_desp[centro.negocio], $B$51,
  tb_desp[data.pagamento], "&gt;="&amp;AA$1,
  tb_desp[data.pagamento], "&lt;"&amp;EOMONTH(AA$1,0)+1,
  tb_desp[classe], "&lt;&gt;Financiamento"
)</f>
        <v>0</v>
      </c>
      <c r="AC63" s="178">
        <f t="shared" si="3"/>
        <v>0</v>
      </c>
      <c r="AE63" s="178">
        <f>SUM(D63:AA63)</f>
        <v>0</v>
      </c>
    </row>
    <row r="64" spans="1:31" hidden="1" outlineLevel="2" x14ac:dyDescent="0.25">
      <c r="A64" s="185" t="s">
        <v>555</v>
      </c>
      <c r="B64" s="185" t="s">
        <v>535</v>
      </c>
      <c r="C64" s="138" t="s">
        <v>514</v>
      </c>
      <c r="D64" s="186">
        <f>-SUMIFS(
  tb_desp[valor],
  tb_desp[nucleo], $B64,
  tb_desp[centro.negocio], $B$51,
  tb_desp[data.pagamento], "&gt;="&amp;D$1,
  tb_desp[data.pagamento], "&lt;"&amp;EOMONTH(D$1,0)+1,
  tb_desp[classe], "&lt;&gt;Financiamento"
)</f>
        <v>0</v>
      </c>
      <c r="E64" s="186">
        <f>-SUMIFS(
  tb_desp[valor],
  tb_desp[nucleo], $B64,
  tb_desp[centro.negocio], $B$51,
  tb_desp[data.pagamento], "&gt;="&amp;E$1,
  tb_desp[data.pagamento], "&lt;"&amp;EOMONTH(E$1,0)+1,
  tb_desp[classe], "&lt;&gt;Financiamento"
)</f>
        <v>0</v>
      </c>
      <c r="F64" s="186">
        <f>-SUMIFS(
  tb_desp[valor],
  tb_desp[nucleo], $B64,
  tb_desp[centro.negocio], $B$51,
  tb_desp[data.pagamento], "&gt;="&amp;F$1,
  tb_desp[data.pagamento], "&lt;"&amp;EOMONTH(F$1,0)+1,
  tb_desp[classe], "&lt;&gt;Financiamento"
)</f>
        <v>0</v>
      </c>
      <c r="G64" s="186">
        <f>-SUMIFS(
  tb_desp[valor],
  tb_desp[nucleo], $B64,
  tb_desp[centro.negocio], $B$51,
  tb_desp[data.pagamento], "&gt;="&amp;G$1,
  tb_desp[data.pagamento], "&lt;"&amp;EOMONTH(G$1,0)+1,
  tb_desp[classe], "&lt;&gt;Financiamento"
)</f>
        <v>0</v>
      </c>
      <c r="H64" s="186">
        <f>-SUMIFS(
  tb_desp[valor],
  tb_desp[nucleo], $B64,
  tb_desp[centro.negocio], $B$51,
  tb_desp[data.pagamento], "&gt;="&amp;H$1,
  tb_desp[data.pagamento], "&lt;"&amp;EOMONTH(H$1,0)+1,
  tb_desp[classe], "&lt;&gt;Financiamento"
)</f>
        <v>0</v>
      </c>
      <c r="I64" s="186">
        <f>-SUMIFS(
  tb_desp[valor],
  tb_desp[nucleo], $B64,
  tb_desp[centro.negocio], $B$51,
  tb_desp[data.pagamento], "&gt;="&amp;I$1,
  tb_desp[data.pagamento], "&lt;"&amp;EOMONTH(I$1,0)+1,
  tb_desp[classe], "&lt;&gt;Financiamento"
)</f>
        <v>0</v>
      </c>
      <c r="J64" s="186">
        <f>-SUMIFS(
  tb_desp[valor],
  tb_desp[nucleo], $B64,
  tb_desp[centro.negocio], $B$51,
  tb_desp[data.pagamento], "&gt;="&amp;J$1,
  tb_desp[data.pagamento], "&lt;"&amp;EOMONTH(J$1,0)+1,
  tb_desp[classe], "&lt;&gt;Financiamento"
)</f>
        <v>0</v>
      </c>
      <c r="K64" s="186">
        <f>-SUMIFS(
  tb_desp[valor],
  tb_desp[nucleo], $B64,
  tb_desp[centro.negocio], $B$51,
  tb_desp[data.pagamento], "&gt;="&amp;K$1,
  tb_desp[data.pagamento], "&lt;"&amp;EOMONTH(K$1,0)+1,
  tb_desp[classe], "&lt;&gt;Financiamento"
)</f>
        <v>0</v>
      </c>
      <c r="L64" s="186">
        <f>-SUMIFS(
  tb_desp[valor],
  tb_desp[nucleo], $B64,
  tb_desp[centro.negocio], $B$51,
  tb_desp[data.pagamento], "&gt;="&amp;L$1,
  tb_desp[data.pagamento], "&lt;"&amp;EOMONTH(L$1,0)+1,
  tb_desp[classe], "&lt;&gt;Financiamento"
)</f>
        <v>0</v>
      </c>
      <c r="M64" s="186">
        <f>-SUMIFS(
  tb_desp[valor],
  tb_desp[nucleo], $B64,
  tb_desp[centro.negocio], $B$51,
  tb_desp[data.pagamento], "&gt;="&amp;M$1,
  tb_desp[data.pagamento], "&lt;"&amp;EOMONTH(M$1,0)+1,
  tb_desp[classe], "&lt;&gt;Financiamento"
)</f>
        <v>0</v>
      </c>
      <c r="N64" s="186">
        <f>-SUMIFS(
  tb_desp[valor],
  tb_desp[nucleo], $B64,
  tb_desp[centro.negocio], $B$51,
  tb_desp[data.pagamento], "&gt;="&amp;N$1,
  tb_desp[data.pagamento], "&lt;"&amp;EOMONTH(N$1,0)+1,
  tb_desp[classe], "&lt;&gt;Financiamento"
)</f>
        <v>0</v>
      </c>
      <c r="O64" s="186">
        <f>-SUMIFS(
  tb_desp[valor],
  tb_desp[nucleo], $B64,
  tb_desp[centro.negocio], $B$51,
  tb_desp[data.pagamento], "&gt;="&amp;O$1,
  tb_desp[data.pagamento], "&lt;"&amp;EOMONTH(O$1,0)+1,
  tb_desp[classe], "&lt;&gt;Financiamento"
)</f>
        <v>0</v>
      </c>
      <c r="P64" s="186">
        <f>-SUMIFS(
  tb_desp[valor],
  tb_desp[nucleo], $B64,
  tb_desp[centro.negocio], $B$51,
  tb_desp[data.pagamento], "&gt;="&amp;P$1,
  tb_desp[data.pagamento], "&lt;"&amp;EOMONTH(P$1,0)+1,
  tb_desp[classe], "&lt;&gt;Financiamento"
)</f>
        <v>0</v>
      </c>
      <c r="Q64" s="186">
        <f>-SUMIFS(
  tb_desp[valor],
  tb_desp[nucleo], $B64,
  tb_desp[centro.negocio], $B$51,
  tb_desp[data.pagamento], "&gt;="&amp;Q$1,
  tb_desp[data.pagamento], "&lt;"&amp;EOMONTH(Q$1,0)+1,
  tb_desp[classe], "&lt;&gt;Financiamento"
)</f>
        <v>0</v>
      </c>
      <c r="R64" s="186">
        <f>-SUMIFS(
  tb_desp[valor],
  tb_desp[nucleo], $B64,
  tb_desp[centro.negocio], $B$51,
  tb_desp[data.pagamento], "&gt;="&amp;R$1,
  tb_desp[data.pagamento], "&lt;"&amp;EOMONTH(R$1,0)+1,
  tb_desp[classe], "&lt;&gt;Financiamento"
)</f>
        <v>0</v>
      </c>
      <c r="S64" s="186">
        <f>-SUMIFS(
  tb_desp[valor],
  tb_desp[nucleo], $B64,
  tb_desp[centro.negocio], $B$51,
  tb_desp[data.pagamento], "&gt;="&amp;S$1,
  tb_desp[data.pagamento], "&lt;"&amp;EOMONTH(S$1,0)+1,
  tb_desp[classe], "&lt;&gt;Financiamento"
)</f>
        <v>0</v>
      </c>
      <c r="T64" s="186">
        <f>-SUMIFS(
  tb_desp[valor],
  tb_desp[nucleo], $B64,
  tb_desp[centro.negocio], $B$51,
  tb_desp[data.pagamento], "&gt;="&amp;T$1,
  tb_desp[data.pagamento], "&lt;"&amp;EOMONTH(T$1,0)+1,
  tb_desp[classe], "&lt;&gt;Financiamento"
)</f>
        <v>0</v>
      </c>
      <c r="U64" s="186">
        <f>-SUMIFS(
  tb_desp[valor],
  tb_desp[nucleo], $B64,
  tb_desp[centro.negocio], $B$51,
  tb_desp[data.pagamento], "&gt;="&amp;U$1,
  tb_desp[data.pagamento], "&lt;"&amp;EOMONTH(U$1,0)+1,
  tb_desp[classe], "&lt;&gt;Financiamento"
)</f>
        <v>0</v>
      </c>
      <c r="V64" s="186">
        <f>-SUMIFS(
  tb_desp[valor],
  tb_desp[nucleo], $B64,
  tb_desp[centro.negocio], $B$51,
  tb_desp[data.pagamento], "&gt;="&amp;V$1,
  tb_desp[data.pagamento], "&lt;"&amp;EOMONTH(V$1,0)+1,
  tb_desp[classe], "&lt;&gt;Financiamento"
)</f>
        <v>0</v>
      </c>
      <c r="W64" s="186">
        <f>-SUMIFS(
  tb_desp[valor],
  tb_desp[nucleo], $B64,
  tb_desp[centro.negocio], $B$51,
  tb_desp[data.pagamento], "&gt;="&amp;W$1,
  tb_desp[data.pagamento], "&lt;"&amp;EOMONTH(W$1,0)+1,
  tb_desp[classe], "&lt;&gt;Financiamento"
)</f>
        <v>0</v>
      </c>
      <c r="X64" s="186">
        <f>-SUMIFS(
  tb_desp[valor],
  tb_desp[nucleo], $B64,
  tb_desp[centro.negocio], $B$51,
  tb_desp[data.pagamento], "&gt;="&amp;X$1,
  tb_desp[data.pagamento], "&lt;"&amp;EOMONTH(X$1,0)+1,
  tb_desp[classe], "&lt;&gt;Financiamento"
)</f>
        <v>0</v>
      </c>
      <c r="Y64" s="186">
        <f>-SUMIFS(
  tb_desp[valor],
  tb_desp[nucleo], $B64,
  tb_desp[centro.negocio], $B$51,
  tb_desp[data.pagamento], "&gt;="&amp;Y$1,
  tb_desp[data.pagamento], "&lt;"&amp;EOMONTH(Y$1,0)+1,
  tb_desp[classe], "&lt;&gt;Financiamento"
)</f>
        <v>0</v>
      </c>
      <c r="Z64" s="186">
        <f>-SUMIFS(
  tb_desp[valor],
  tb_desp[nucleo], $B64,
  tb_desp[centro.negocio], $B$51,
  tb_desp[data.pagamento], "&gt;="&amp;Z$1,
  tb_desp[data.pagamento], "&lt;"&amp;EOMONTH(Z$1,0)+1,
  tb_desp[classe], "&lt;&gt;Financiamento"
)</f>
        <v>0</v>
      </c>
      <c r="AA64" s="186">
        <f>-SUMIFS(
  tb_desp[valor],
  tb_desp[nucleo], $B64,
  tb_desp[centro.negocio], $B$51,
  tb_desp[data.pagamento], "&gt;="&amp;AA$1,
  tb_desp[data.pagamento], "&lt;"&amp;EOMONTH(AA$1,0)+1,
  tb_desp[classe], "&lt;&gt;Financiamento"
)</f>
        <v>0</v>
      </c>
      <c r="AC64" s="178">
        <f t="shared" si="3"/>
        <v>0</v>
      </c>
      <c r="AE64" s="178">
        <f t="shared" si="1"/>
        <v>0</v>
      </c>
    </row>
    <row r="65" spans="1:31" hidden="1" outlineLevel="2" x14ac:dyDescent="0.25">
      <c r="A65" s="185" t="s">
        <v>717</v>
      </c>
      <c r="B65" s="185" t="s">
        <v>557</v>
      </c>
      <c r="C65" s="138" t="s">
        <v>514</v>
      </c>
      <c r="D65" s="186">
        <f>-SUMIFS(
  tb_desp[valor],
  tb_desp[nucleo], $B65,
  tb_desp[centro.negocio], $B$51,
  tb_desp[data.pagamento], "&gt;="&amp;D$1,
  tb_desp[data.pagamento], "&lt;"&amp;EOMONTH(D$1,0)+1,
  tb_desp[classe], "&lt;&gt;Financiamento"
)</f>
        <v>0</v>
      </c>
      <c r="E65" s="186">
        <f>-SUMIFS(
  tb_desp[valor],
  tb_desp[nucleo], $B65,
  tb_desp[centro.negocio], $B$51,
  tb_desp[data.pagamento], "&gt;="&amp;E$1,
  tb_desp[data.pagamento], "&lt;"&amp;EOMONTH(E$1,0)+1,
  tb_desp[classe], "&lt;&gt;Financiamento"
)</f>
        <v>0</v>
      </c>
      <c r="F65" s="186">
        <f>-SUMIFS(
  tb_desp[valor],
  tb_desp[nucleo], $B65,
  tb_desp[centro.negocio], $B$51,
  tb_desp[data.pagamento], "&gt;="&amp;F$1,
  tb_desp[data.pagamento], "&lt;"&amp;EOMONTH(F$1,0)+1,
  tb_desp[classe], "&lt;&gt;Financiamento"
)</f>
        <v>0</v>
      </c>
      <c r="G65" s="186">
        <f>-SUMIFS(
  tb_desp[valor],
  tb_desp[nucleo], $B65,
  tb_desp[centro.negocio], $B$51,
  tb_desp[data.pagamento], "&gt;="&amp;G$1,
  tb_desp[data.pagamento], "&lt;"&amp;EOMONTH(G$1,0)+1,
  tb_desp[classe], "&lt;&gt;Financiamento"
)</f>
        <v>0</v>
      </c>
      <c r="H65" s="186">
        <f>-SUMIFS(
  tb_desp[valor],
  tb_desp[nucleo], $B65,
  tb_desp[centro.negocio], $B$51,
  tb_desp[data.pagamento], "&gt;="&amp;H$1,
  tb_desp[data.pagamento], "&lt;"&amp;EOMONTH(H$1,0)+1,
  tb_desp[classe], "&lt;&gt;Financiamento"
)</f>
        <v>0</v>
      </c>
      <c r="I65" s="186">
        <f>-SUMIFS(
  tb_desp[valor],
  tb_desp[nucleo], $B65,
  tb_desp[centro.negocio], $B$51,
  tb_desp[data.pagamento], "&gt;="&amp;I$1,
  tb_desp[data.pagamento], "&lt;"&amp;EOMONTH(I$1,0)+1,
  tb_desp[classe], "&lt;&gt;Financiamento"
)</f>
        <v>0</v>
      </c>
      <c r="J65" s="186">
        <f>-SUMIFS(
  tb_desp[valor],
  tb_desp[nucleo], $B65,
  tb_desp[centro.negocio], $B$51,
  tb_desp[data.pagamento], "&gt;="&amp;J$1,
  tb_desp[data.pagamento], "&lt;"&amp;EOMONTH(J$1,0)+1,
  tb_desp[classe], "&lt;&gt;Financiamento"
)</f>
        <v>0</v>
      </c>
      <c r="K65" s="186">
        <f>-SUMIFS(
  tb_desp[valor],
  tb_desp[nucleo], $B65,
  tb_desp[centro.negocio], $B$51,
  tb_desp[data.pagamento], "&gt;="&amp;K$1,
  tb_desp[data.pagamento], "&lt;"&amp;EOMONTH(K$1,0)+1,
  tb_desp[classe], "&lt;&gt;Financiamento"
)</f>
        <v>0</v>
      </c>
      <c r="L65" s="186">
        <f>-SUMIFS(
  tb_desp[valor],
  tb_desp[nucleo], $B65,
  tb_desp[centro.negocio], $B$51,
  tb_desp[data.pagamento], "&gt;="&amp;L$1,
  tb_desp[data.pagamento], "&lt;"&amp;EOMONTH(L$1,0)+1,
  tb_desp[classe], "&lt;&gt;Financiamento"
)</f>
        <v>0</v>
      </c>
      <c r="M65" s="186">
        <f>-SUMIFS(
  tb_desp[valor],
  tb_desp[nucleo], $B65,
  tb_desp[centro.negocio], $B$51,
  tb_desp[data.pagamento], "&gt;="&amp;M$1,
  tb_desp[data.pagamento], "&lt;"&amp;EOMONTH(M$1,0)+1,
  tb_desp[classe], "&lt;&gt;Financiamento"
)</f>
        <v>0</v>
      </c>
      <c r="N65" s="186">
        <f>-SUMIFS(
  tb_desp[valor],
  tb_desp[nucleo], $B65,
  tb_desp[centro.negocio], $B$51,
  tb_desp[data.pagamento], "&gt;="&amp;N$1,
  tb_desp[data.pagamento], "&lt;"&amp;EOMONTH(N$1,0)+1,
  tb_desp[classe], "&lt;&gt;Financiamento"
)</f>
        <v>0</v>
      </c>
      <c r="O65" s="186">
        <f>-SUMIFS(
  tb_desp[valor],
  tb_desp[nucleo], $B65,
  tb_desp[centro.negocio], $B$51,
  tb_desp[data.pagamento], "&gt;="&amp;O$1,
  tb_desp[data.pagamento], "&lt;"&amp;EOMONTH(O$1,0)+1,
  tb_desp[classe], "&lt;&gt;Financiamento"
)</f>
        <v>0</v>
      </c>
      <c r="P65" s="186">
        <f>-SUMIFS(
  tb_desp[valor],
  tb_desp[nucleo], $B65,
  tb_desp[centro.negocio], $B$51,
  tb_desp[data.pagamento], "&gt;="&amp;P$1,
  tb_desp[data.pagamento], "&lt;"&amp;EOMONTH(P$1,0)+1,
  tb_desp[classe], "&lt;&gt;Financiamento"
)</f>
        <v>0</v>
      </c>
      <c r="Q65" s="186">
        <f>-SUMIFS(
  tb_desp[valor],
  tb_desp[nucleo], $B65,
  tb_desp[centro.negocio], $B$51,
  tb_desp[data.pagamento], "&gt;="&amp;Q$1,
  tb_desp[data.pagamento], "&lt;"&amp;EOMONTH(Q$1,0)+1,
  tb_desp[classe], "&lt;&gt;Financiamento"
)</f>
        <v>0</v>
      </c>
      <c r="R65" s="186">
        <f>-SUMIFS(
  tb_desp[valor],
  tb_desp[nucleo], $B65,
  tb_desp[centro.negocio], $B$51,
  tb_desp[data.pagamento], "&gt;="&amp;R$1,
  tb_desp[data.pagamento], "&lt;"&amp;EOMONTH(R$1,0)+1,
  tb_desp[classe], "&lt;&gt;Financiamento"
)</f>
        <v>0</v>
      </c>
      <c r="S65" s="186">
        <f>-SUMIFS(
  tb_desp[valor],
  tb_desp[nucleo], $B65,
  tb_desp[centro.negocio], $B$51,
  tb_desp[data.pagamento], "&gt;="&amp;S$1,
  tb_desp[data.pagamento], "&lt;"&amp;EOMONTH(S$1,0)+1,
  tb_desp[classe], "&lt;&gt;Financiamento"
)</f>
        <v>0</v>
      </c>
      <c r="T65" s="186">
        <f>-SUMIFS(
  tb_desp[valor],
  tb_desp[nucleo], $B65,
  tb_desp[centro.negocio], $B$51,
  tb_desp[data.pagamento], "&gt;="&amp;T$1,
  tb_desp[data.pagamento], "&lt;"&amp;EOMONTH(T$1,0)+1,
  tb_desp[classe], "&lt;&gt;Financiamento"
)</f>
        <v>0</v>
      </c>
      <c r="U65" s="186">
        <f>-SUMIFS(
  tb_desp[valor],
  tb_desp[nucleo], $B65,
  tb_desp[centro.negocio], $B$51,
  tb_desp[data.pagamento], "&gt;="&amp;U$1,
  tb_desp[data.pagamento], "&lt;"&amp;EOMONTH(U$1,0)+1,
  tb_desp[classe], "&lt;&gt;Financiamento"
)</f>
        <v>0</v>
      </c>
      <c r="V65" s="186">
        <f>-SUMIFS(
  tb_desp[valor],
  tb_desp[nucleo], $B65,
  tb_desp[centro.negocio], $B$51,
  tb_desp[data.pagamento], "&gt;="&amp;V$1,
  tb_desp[data.pagamento], "&lt;"&amp;EOMONTH(V$1,0)+1,
  tb_desp[classe], "&lt;&gt;Financiamento"
)</f>
        <v>0</v>
      </c>
      <c r="W65" s="186">
        <f>-SUMIFS(
  tb_desp[valor],
  tb_desp[nucleo], $B65,
  tb_desp[centro.negocio], $B$51,
  tb_desp[data.pagamento], "&gt;="&amp;W$1,
  tb_desp[data.pagamento], "&lt;"&amp;EOMONTH(W$1,0)+1,
  tb_desp[classe], "&lt;&gt;Financiamento"
)</f>
        <v>0</v>
      </c>
      <c r="X65" s="186">
        <f>-SUMIFS(
  tb_desp[valor],
  tb_desp[nucleo], $B65,
  tb_desp[centro.negocio], $B$51,
  tb_desp[data.pagamento], "&gt;="&amp;X$1,
  tb_desp[data.pagamento], "&lt;"&amp;EOMONTH(X$1,0)+1,
  tb_desp[classe], "&lt;&gt;Financiamento"
)</f>
        <v>0</v>
      </c>
      <c r="Y65" s="186">
        <f>-SUMIFS(
  tb_desp[valor],
  tb_desp[nucleo], $B65,
  tb_desp[centro.negocio], $B$51,
  tb_desp[data.pagamento], "&gt;="&amp;Y$1,
  tb_desp[data.pagamento], "&lt;"&amp;EOMONTH(Y$1,0)+1,
  tb_desp[classe], "&lt;&gt;Financiamento"
)</f>
        <v>0</v>
      </c>
      <c r="Z65" s="186">
        <f>-SUMIFS(
  tb_desp[valor],
  tb_desp[nucleo], $B65,
  tb_desp[centro.negocio], $B$51,
  tb_desp[data.pagamento], "&gt;="&amp;Z$1,
  tb_desp[data.pagamento], "&lt;"&amp;EOMONTH(Z$1,0)+1,
  tb_desp[classe], "&lt;&gt;Financiamento"
)</f>
        <v>0</v>
      </c>
      <c r="AA65" s="186">
        <f>-SUMIFS(
  tb_desp[valor],
  tb_desp[nucleo], $B65,
  tb_desp[centro.negocio], $B$51,
  tb_desp[data.pagamento], "&gt;="&amp;AA$1,
  tb_desp[data.pagamento], "&lt;"&amp;EOMONTH(AA$1,0)+1,
  tb_desp[classe], "&lt;&gt;Financiamento"
)</f>
        <v>0</v>
      </c>
      <c r="AC65" s="178">
        <f t="shared" si="3"/>
        <v>0</v>
      </c>
      <c r="AE65" s="178">
        <f t="shared" si="1"/>
        <v>0</v>
      </c>
    </row>
    <row r="66" spans="1:31" hidden="1" outlineLevel="2" x14ac:dyDescent="0.25">
      <c r="A66" s="185" t="s">
        <v>919</v>
      </c>
      <c r="B66" s="185" t="s">
        <v>562</v>
      </c>
      <c r="C66" s="138" t="s">
        <v>514</v>
      </c>
      <c r="D66" s="186">
        <f>-SUMIFS(
  tb_desp[valor],
  tb_desp[nucleo], $B66,
  tb_desp[centro.negocio], $B$51,
  tb_desp[data.pagamento], "&gt;="&amp;D$1,
  tb_desp[data.pagamento], "&lt;"&amp;EOMONTH(D$1,0)+1,
  tb_desp[classe], "&lt;&gt;Financiamento"
)</f>
        <v>0</v>
      </c>
      <c r="E66" s="186">
        <f>-SUMIFS(
  tb_desp[valor],
  tb_desp[nucleo], $B66,
  tb_desp[centro.negocio], $B$51,
  tb_desp[data.pagamento], "&gt;="&amp;E$1,
  tb_desp[data.pagamento], "&lt;"&amp;EOMONTH(E$1,0)+1,
  tb_desp[classe], "&lt;&gt;Financiamento"
)</f>
        <v>0</v>
      </c>
      <c r="F66" s="186">
        <f>-SUMIFS(
  tb_desp[valor],
  tb_desp[nucleo], $B66,
  tb_desp[centro.negocio], $B$51,
  tb_desp[data.pagamento], "&gt;="&amp;F$1,
  tb_desp[data.pagamento], "&lt;"&amp;EOMONTH(F$1,0)+1,
  tb_desp[classe], "&lt;&gt;Financiamento"
)</f>
        <v>0</v>
      </c>
      <c r="G66" s="186">
        <f>-SUMIFS(
  tb_desp[valor],
  tb_desp[nucleo], $B66,
  tb_desp[centro.negocio], $B$51,
  tb_desp[data.pagamento], "&gt;="&amp;G$1,
  tb_desp[data.pagamento], "&lt;"&amp;EOMONTH(G$1,0)+1,
  tb_desp[classe], "&lt;&gt;Financiamento"
)</f>
        <v>0</v>
      </c>
      <c r="H66" s="186">
        <f>-SUMIFS(
  tb_desp[valor],
  tb_desp[nucleo], $B66,
  tb_desp[centro.negocio], $B$51,
  tb_desp[data.pagamento], "&gt;="&amp;H$1,
  tb_desp[data.pagamento], "&lt;"&amp;EOMONTH(H$1,0)+1,
  tb_desp[classe], "&lt;&gt;Financiamento"
)</f>
        <v>0</v>
      </c>
      <c r="I66" s="186">
        <f>-SUMIFS(
  tb_desp[valor],
  tb_desp[nucleo], $B66,
  tb_desp[centro.negocio], $B$51,
  tb_desp[data.pagamento], "&gt;="&amp;I$1,
  tb_desp[data.pagamento], "&lt;"&amp;EOMONTH(I$1,0)+1,
  tb_desp[classe], "&lt;&gt;Financiamento"
)</f>
        <v>0</v>
      </c>
      <c r="J66" s="186">
        <f>-SUMIFS(
  tb_desp[valor],
  tb_desp[nucleo], $B66,
  tb_desp[centro.negocio], $B$51,
  tb_desp[data.pagamento], "&gt;="&amp;J$1,
  tb_desp[data.pagamento], "&lt;"&amp;EOMONTH(J$1,0)+1,
  tb_desp[classe], "&lt;&gt;Financiamento"
)</f>
        <v>0</v>
      </c>
      <c r="K66" s="186">
        <f>-SUMIFS(
  tb_desp[valor],
  tb_desp[nucleo], $B66,
  tb_desp[centro.negocio], $B$51,
  tb_desp[data.pagamento], "&gt;="&amp;K$1,
  tb_desp[data.pagamento], "&lt;"&amp;EOMONTH(K$1,0)+1,
  tb_desp[classe], "&lt;&gt;Financiamento"
)</f>
        <v>0</v>
      </c>
      <c r="L66" s="186">
        <f>-SUMIFS(
  tb_desp[valor],
  tb_desp[nucleo], $B66,
  tb_desp[centro.negocio], $B$51,
  tb_desp[data.pagamento], "&gt;="&amp;L$1,
  tb_desp[data.pagamento], "&lt;"&amp;EOMONTH(L$1,0)+1,
  tb_desp[classe], "&lt;&gt;Financiamento"
)</f>
        <v>0</v>
      </c>
      <c r="M66" s="186">
        <f>-SUMIFS(
  tb_desp[valor],
  tb_desp[nucleo], $B66,
  tb_desp[centro.negocio], $B$51,
  tb_desp[data.pagamento], "&gt;="&amp;M$1,
  tb_desp[data.pagamento], "&lt;"&amp;EOMONTH(M$1,0)+1,
  tb_desp[classe], "&lt;&gt;Financiamento"
)</f>
        <v>0</v>
      </c>
      <c r="N66" s="186">
        <f>-SUMIFS(
  tb_desp[valor],
  tb_desp[nucleo], $B66,
  tb_desp[centro.negocio], $B$51,
  tb_desp[data.pagamento], "&gt;="&amp;N$1,
  tb_desp[data.pagamento], "&lt;"&amp;EOMONTH(N$1,0)+1,
  tb_desp[classe], "&lt;&gt;Financiamento"
)</f>
        <v>0</v>
      </c>
      <c r="O66" s="186">
        <f>-SUMIFS(
  tb_desp[valor],
  tb_desp[nucleo], $B66,
  tb_desp[centro.negocio], $B$51,
  tb_desp[data.pagamento], "&gt;="&amp;O$1,
  tb_desp[data.pagamento], "&lt;"&amp;EOMONTH(O$1,0)+1,
  tb_desp[classe], "&lt;&gt;Financiamento"
)</f>
        <v>0</v>
      </c>
      <c r="P66" s="186">
        <f>-SUMIFS(
  tb_desp[valor],
  tb_desp[nucleo], $B66,
  tb_desp[centro.negocio], $B$51,
  tb_desp[data.pagamento], "&gt;="&amp;P$1,
  tb_desp[data.pagamento], "&lt;"&amp;EOMONTH(P$1,0)+1,
  tb_desp[classe], "&lt;&gt;Financiamento"
)</f>
        <v>0</v>
      </c>
      <c r="Q66" s="186">
        <f>-SUMIFS(
  tb_desp[valor],
  tb_desp[nucleo], $B66,
  tb_desp[centro.negocio], $B$51,
  tb_desp[data.pagamento], "&gt;="&amp;Q$1,
  tb_desp[data.pagamento], "&lt;"&amp;EOMONTH(Q$1,0)+1,
  tb_desp[classe], "&lt;&gt;Financiamento"
)</f>
        <v>0</v>
      </c>
      <c r="R66" s="186">
        <f>-SUMIFS(
  tb_desp[valor],
  tb_desp[nucleo], $B66,
  tb_desp[centro.negocio], $B$51,
  tb_desp[data.pagamento], "&gt;="&amp;R$1,
  tb_desp[data.pagamento], "&lt;"&amp;EOMONTH(R$1,0)+1,
  tb_desp[classe], "&lt;&gt;Financiamento"
)</f>
        <v>0</v>
      </c>
      <c r="S66" s="186">
        <f>-SUMIFS(
  tb_desp[valor],
  tb_desp[nucleo], $B66,
  tb_desp[centro.negocio], $B$51,
  tb_desp[data.pagamento], "&gt;="&amp;S$1,
  tb_desp[data.pagamento], "&lt;"&amp;EOMONTH(S$1,0)+1,
  tb_desp[classe], "&lt;&gt;Financiamento"
)</f>
        <v>0</v>
      </c>
      <c r="T66" s="186">
        <f>-SUMIFS(
  tb_desp[valor],
  tb_desp[nucleo], $B66,
  tb_desp[centro.negocio], $B$51,
  tb_desp[data.pagamento], "&gt;="&amp;T$1,
  tb_desp[data.pagamento], "&lt;"&amp;EOMONTH(T$1,0)+1,
  tb_desp[classe], "&lt;&gt;Financiamento"
)</f>
        <v>0</v>
      </c>
      <c r="U66" s="186">
        <f>-SUMIFS(
  tb_desp[valor],
  tb_desp[nucleo], $B66,
  tb_desp[centro.negocio], $B$51,
  tb_desp[data.pagamento], "&gt;="&amp;U$1,
  tb_desp[data.pagamento], "&lt;"&amp;EOMONTH(U$1,0)+1,
  tb_desp[classe], "&lt;&gt;Financiamento"
)</f>
        <v>0</v>
      </c>
      <c r="V66" s="186">
        <f>-SUMIFS(
  tb_desp[valor],
  tb_desp[nucleo], $B66,
  tb_desp[centro.negocio], $B$51,
  tb_desp[data.pagamento], "&gt;="&amp;V$1,
  tb_desp[data.pagamento], "&lt;"&amp;EOMONTH(V$1,0)+1,
  tb_desp[classe], "&lt;&gt;Financiamento"
)</f>
        <v>0</v>
      </c>
      <c r="W66" s="186">
        <f>-SUMIFS(
  tb_desp[valor],
  tb_desp[nucleo], $B66,
  tb_desp[centro.negocio], $B$51,
  tb_desp[data.pagamento], "&gt;="&amp;W$1,
  tb_desp[data.pagamento], "&lt;"&amp;EOMONTH(W$1,0)+1,
  tb_desp[classe], "&lt;&gt;Financiamento"
)</f>
        <v>0</v>
      </c>
      <c r="X66" s="186">
        <f>-SUMIFS(
  tb_desp[valor],
  tb_desp[nucleo], $B66,
  tb_desp[centro.negocio], $B$51,
  tb_desp[data.pagamento], "&gt;="&amp;X$1,
  tb_desp[data.pagamento], "&lt;"&amp;EOMONTH(X$1,0)+1,
  tb_desp[classe], "&lt;&gt;Financiamento"
)</f>
        <v>0</v>
      </c>
      <c r="Y66" s="186">
        <f>-SUMIFS(
  tb_desp[valor],
  tb_desp[nucleo], $B66,
  tb_desp[centro.negocio], $B$51,
  tb_desp[data.pagamento], "&gt;="&amp;Y$1,
  tb_desp[data.pagamento], "&lt;"&amp;EOMONTH(Y$1,0)+1,
  tb_desp[classe], "&lt;&gt;Financiamento"
)</f>
        <v>0</v>
      </c>
      <c r="Z66" s="186">
        <f>-SUMIFS(
  tb_desp[valor],
  tb_desp[nucleo], $B66,
  tb_desp[centro.negocio], $B$51,
  tb_desp[data.pagamento], "&gt;="&amp;Z$1,
  tb_desp[data.pagamento], "&lt;"&amp;EOMONTH(Z$1,0)+1,
  tb_desp[classe], "&lt;&gt;Financiamento"
)</f>
        <v>0</v>
      </c>
      <c r="AA66" s="186">
        <f>-SUMIFS(
  tb_desp[valor],
  tb_desp[nucleo], $B66,
  tb_desp[centro.negocio], $B$51,
  tb_desp[data.pagamento], "&gt;="&amp;AA$1,
  tb_desp[data.pagamento], "&lt;"&amp;EOMONTH(AA$1,0)+1,
  tb_desp[classe], "&lt;&gt;Financiamento"
)</f>
        <v>0</v>
      </c>
      <c r="AC66" s="178">
        <f t="shared" si="3"/>
        <v>0</v>
      </c>
      <c r="AE66" s="178">
        <f t="shared" si="1"/>
        <v>0</v>
      </c>
    </row>
    <row r="67" spans="1:31" hidden="1" outlineLevel="1" x14ac:dyDescent="0.25">
      <c r="A67" s="182" t="s">
        <v>1186</v>
      </c>
      <c r="B67" s="182" t="s">
        <v>373</v>
      </c>
      <c r="C67" s="183" t="s">
        <v>514</v>
      </c>
      <c r="D67" s="184">
        <f t="shared" ref="D67:AA67" ca="1" si="16">SUM(D$68:D$70)</f>
        <v>0</v>
      </c>
      <c r="E67" s="184">
        <f t="shared" ca="1" si="16"/>
        <v>0</v>
      </c>
      <c r="F67" s="184">
        <f t="shared" ca="1" si="16"/>
        <v>0</v>
      </c>
      <c r="G67" s="184">
        <f t="shared" ca="1" si="16"/>
        <v>0</v>
      </c>
      <c r="H67" s="184">
        <f t="shared" ca="1" si="16"/>
        <v>0</v>
      </c>
      <c r="I67" s="184">
        <f t="shared" ca="1" si="16"/>
        <v>0</v>
      </c>
      <c r="J67" s="184">
        <f t="shared" ca="1" si="16"/>
        <v>0</v>
      </c>
      <c r="K67" s="184">
        <f t="shared" ca="1" si="16"/>
        <v>0</v>
      </c>
      <c r="L67" s="184">
        <f t="shared" ca="1" si="16"/>
        <v>0</v>
      </c>
      <c r="M67" s="184">
        <f t="shared" ca="1" si="16"/>
        <v>0</v>
      </c>
      <c r="N67" s="184">
        <f t="shared" ca="1" si="16"/>
        <v>0</v>
      </c>
      <c r="O67" s="184">
        <f t="shared" ca="1" si="16"/>
        <v>0</v>
      </c>
      <c r="P67" s="184">
        <f t="shared" ca="1" si="16"/>
        <v>0</v>
      </c>
      <c r="Q67" s="184">
        <f t="shared" ca="1" si="16"/>
        <v>0</v>
      </c>
      <c r="R67" s="184">
        <f t="shared" ca="1" si="16"/>
        <v>0</v>
      </c>
      <c r="S67" s="184">
        <f t="shared" ca="1" si="16"/>
        <v>0</v>
      </c>
      <c r="T67" s="184">
        <f t="shared" ca="1" si="16"/>
        <v>0</v>
      </c>
      <c r="U67" s="184">
        <f t="shared" ca="1" si="16"/>
        <v>0</v>
      </c>
      <c r="V67" s="184">
        <f t="shared" ca="1" si="16"/>
        <v>0</v>
      </c>
      <c r="W67" s="184">
        <f t="shared" ca="1" si="16"/>
        <v>0</v>
      </c>
      <c r="X67" s="184">
        <f t="shared" ca="1" si="16"/>
        <v>0</v>
      </c>
      <c r="Y67" s="184">
        <f t="shared" ca="1" si="16"/>
        <v>0</v>
      </c>
      <c r="Z67" s="184">
        <f t="shared" ca="1" si="16"/>
        <v>0</v>
      </c>
      <c r="AA67" s="184">
        <f t="shared" ca="1" si="16"/>
        <v>0</v>
      </c>
      <c r="AC67" s="280">
        <f t="shared" ref="AC67:AC131" ca="1" si="17">SUM(D67:U67)</f>
        <v>0</v>
      </c>
      <c r="AE67" s="280">
        <f ca="1">SUM(D67:AA67)</f>
        <v>0</v>
      </c>
    </row>
    <row r="68" spans="1:31" hidden="1" outlineLevel="2" x14ac:dyDescent="0.25">
      <c r="A68" s="185" t="s">
        <v>1187</v>
      </c>
      <c r="B68" s="185" t="s">
        <v>494</v>
      </c>
      <c r="C68" s="138" t="s">
        <v>514</v>
      </c>
      <c r="D68" s="186">
        <f ca="1">-SUMIFS(
  desp.m.ik[valor],
  desp.m.ik[nucleo], $B68,
  desp.m.ik[variavel], $B$67,
  desp.m.ik[mes], "&gt;="&amp;D$1,
  desp.m.ik[mes], "&lt;"&amp;EOMONTH(D$1,0)+1
)</f>
        <v>0</v>
      </c>
      <c r="E68" s="186">
        <f ca="1">-SUMIFS(
  desp.m.ik[valor],
  desp.m.ik[nucleo], $B68,
  desp.m.ik[variavel], $B$67,
  desp.m.ik[mes], "&gt;="&amp;E$1,
  desp.m.ik[mes], "&lt;"&amp;EOMONTH(E$1,0)+1
)</f>
        <v>0</v>
      </c>
      <c r="F68" s="186">
        <f ca="1">-SUMIFS(
  desp.m.ik[valor],
  desp.m.ik[nucleo], $B68,
  desp.m.ik[variavel], $B$67,
  desp.m.ik[mes], "&gt;="&amp;F$1,
  desp.m.ik[mes], "&lt;"&amp;EOMONTH(F$1,0)+1
)</f>
        <v>0</v>
      </c>
      <c r="G68" s="186">
        <f ca="1">-SUMIFS(
  desp.m.ik[valor],
  desp.m.ik[nucleo], $B68,
  desp.m.ik[variavel], $B$67,
  desp.m.ik[mes], "&gt;="&amp;G$1,
  desp.m.ik[mes], "&lt;"&amp;EOMONTH(G$1,0)+1
)</f>
        <v>0</v>
      </c>
      <c r="H68" s="186">
        <f ca="1">-SUMIFS(
  desp.m.ik[valor],
  desp.m.ik[nucleo], $B68,
  desp.m.ik[variavel], $B$67,
  desp.m.ik[mes], "&gt;="&amp;H$1,
  desp.m.ik[mes], "&lt;"&amp;EOMONTH(H$1,0)+1
)</f>
        <v>0</v>
      </c>
      <c r="I68" s="186">
        <f ca="1">-SUMIFS(
  desp.m.ik[valor],
  desp.m.ik[nucleo], $B68,
  desp.m.ik[variavel], $B$67,
  desp.m.ik[mes], "&gt;="&amp;I$1,
  desp.m.ik[mes], "&lt;"&amp;EOMONTH(I$1,0)+1
)</f>
        <v>0</v>
      </c>
      <c r="J68" s="186">
        <f ca="1">-SUMIFS(
  desp.m.ik[valor],
  desp.m.ik[nucleo], $B68,
  desp.m.ik[variavel], $B$67,
  desp.m.ik[mes], "&gt;="&amp;J$1,
  desp.m.ik[mes], "&lt;"&amp;EOMONTH(J$1,0)+1
)</f>
        <v>0</v>
      </c>
      <c r="K68" s="186">
        <f ca="1">-SUMIFS(
  desp.m.ik[valor],
  desp.m.ik[nucleo], $B68,
  desp.m.ik[variavel], $B$67,
  desp.m.ik[mes], "&gt;="&amp;K$1,
  desp.m.ik[mes], "&lt;"&amp;EOMONTH(K$1,0)+1
)</f>
        <v>0</v>
      </c>
      <c r="L68" s="186">
        <f ca="1">-SUMIFS(
  desp.m.ik[valor],
  desp.m.ik[nucleo], $B68,
  desp.m.ik[variavel], $B$67,
  desp.m.ik[mes], "&gt;="&amp;L$1,
  desp.m.ik[mes], "&lt;"&amp;EOMONTH(L$1,0)+1
)</f>
        <v>0</v>
      </c>
      <c r="M68" s="186">
        <f ca="1">-SUMIFS(
  desp.m.ik[valor],
  desp.m.ik[nucleo], $B68,
  desp.m.ik[variavel], $B$67,
  desp.m.ik[mes], "&gt;="&amp;M$1,
  desp.m.ik[mes], "&lt;"&amp;EOMONTH(M$1,0)+1
)</f>
        <v>0</v>
      </c>
      <c r="N68" s="186">
        <f ca="1">-SUMIFS(
  desp.m.ik[valor],
  desp.m.ik[nucleo], $B68,
  desp.m.ik[variavel], $B$67,
  desp.m.ik[mes], "&gt;="&amp;N$1,
  desp.m.ik[mes], "&lt;"&amp;EOMONTH(N$1,0)+1
)</f>
        <v>0</v>
      </c>
      <c r="O68" s="186">
        <f ca="1">-SUMIFS(
  desp.m.ik[valor],
  desp.m.ik[nucleo], $B68,
  desp.m.ik[variavel], $B$67,
  desp.m.ik[mes], "&gt;="&amp;O$1,
  desp.m.ik[mes], "&lt;"&amp;EOMONTH(O$1,0)+1
)</f>
        <v>0</v>
      </c>
      <c r="P68" s="186">
        <f ca="1">-SUMIFS(
  desp.m.ik[valor],
  desp.m.ik[nucleo], $B68,
  desp.m.ik[variavel], $B$67,
  desp.m.ik[mes], "&gt;="&amp;P$1,
  desp.m.ik[mes], "&lt;"&amp;EOMONTH(P$1,0)+1
)</f>
        <v>0</v>
      </c>
      <c r="Q68" s="186">
        <f ca="1">-SUMIFS(
  desp.m.ik[valor],
  desp.m.ik[nucleo], $B68,
  desp.m.ik[variavel], $B$67,
  desp.m.ik[mes], "&gt;="&amp;Q$1,
  desp.m.ik[mes], "&lt;"&amp;EOMONTH(Q$1,0)+1
)</f>
        <v>0</v>
      </c>
      <c r="R68" s="186">
        <f ca="1">-SUMIFS(
  desp.m.ik[valor],
  desp.m.ik[nucleo], $B68,
  desp.m.ik[variavel], $B$67,
  desp.m.ik[mes], "&gt;="&amp;R$1,
  desp.m.ik[mes], "&lt;"&amp;EOMONTH(R$1,0)+1
)</f>
        <v>0</v>
      </c>
      <c r="S68" s="186">
        <f ca="1">-SUMIFS(
  desp.m.ik[valor],
  desp.m.ik[nucleo], $B68,
  desp.m.ik[variavel], $B$67,
  desp.m.ik[mes], "&gt;="&amp;S$1,
  desp.m.ik[mes], "&lt;"&amp;EOMONTH(S$1,0)+1
)</f>
        <v>0</v>
      </c>
      <c r="T68" s="186">
        <f ca="1">-SUMIFS(
  desp.m.ik[valor],
  desp.m.ik[nucleo], $B68,
  desp.m.ik[variavel], $B$67,
  desp.m.ik[mes], "&gt;="&amp;T$1,
  desp.m.ik[mes], "&lt;"&amp;EOMONTH(T$1,0)+1
)</f>
        <v>0</v>
      </c>
      <c r="U68" s="186">
        <f ca="1">-SUMIFS(
  desp.m.ik[valor],
  desp.m.ik[nucleo], $B68,
  desp.m.ik[variavel], $B$67,
  desp.m.ik[mes], "&gt;="&amp;U$1,
  desp.m.ik[mes], "&lt;"&amp;EOMONTH(U$1,0)+1
)</f>
        <v>0</v>
      </c>
      <c r="V68" s="186">
        <f ca="1">-SUMIFS(
  desp.m.ik[valor],
  desp.m.ik[nucleo], $B68,
  desp.m.ik[variavel], $B$67,
  desp.m.ik[mes], "&gt;="&amp;V$1,
  desp.m.ik[mes], "&lt;"&amp;EOMONTH(V$1,0)+1
)</f>
        <v>0</v>
      </c>
      <c r="W68" s="186">
        <f ca="1">-SUMIFS(
  desp.m.ik[valor],
  desp.m.ik[nucleo], $B68,
  desp.m.ik[variavel], $B$67,
  desp.m.ik[mes], "&gt;="&amp;W$1,
  desp.m.ik[mes], "&lt;"&amp;EOMONTH(W$1,0)+1
)</f>
        <v>0</v>
      </c>
      <c r="X68" s="186">
        <f ca="1">-SUMIFS(
  desp.m.ik[valor],
  desp.m.ik[nucleo], $B68,
  desp.m.ik[variavel], $B$67,
  desp.m.ik[mes], "&gt;="&amp;X$1,
  desp.m.ik[mes], "&lt;"&amp;EOMONTH(X$1,0)+1
)</f>
        <v>0</v>
      </c>
      <c r="Y68" s="186">
        <f ca="1">-SUMIFS(
  desp.m.ik[valor],
  desp.m.ik[nucleo], $B68,
  desp.m.ik[variavel], $B$67,
  desp.m.ik[mes], "&gt;="&amp;Y$1,
  desp.m.ik[mes], "&lt;"&amp;EOMONTH(Y$1,0)+1
)</f>
        <v>0</v>
      </c>
      <c r="Z68" s="186">
        <f ca="1">-SUMIFS(
  desp.m.ik[valor],
  desp.m.ik[nucleo], $B68,
  desp.m.ik[variavel], $B$67,
  desp.m.ik[mes], "&gt;="&amp;Z$1,
  desp.m.ik[mes], "&lt;"&amp;EOMONTH(Z$1,0)+1
)</f>
        <v>0</v>
      </c>
      <c r="AA68" s="186">
        <f ca="1">-SUMIFS(
  desp.m.ik[valor],
  desp.m.ik[nucleo], $B68,
  desp.m.ik[variavel], $B$67,
  desp.m.ik[mes], "&gt;="&amp;AA$1,
  desp.m.ik[mes], "&lt;"&amp;EOMONTH(AA$1,0)+1
)</f>
        <v>0</v>
      </c>
      <c r="AC68" s="178">
        <f t="shared" ca="1" si="17"/>
        <v>0</v>
      </c>
      <c r="AE68" s="178">
        <f ca="1">SUM(D68:AA68)</f>
        <v>0</v>
      </c>
    </row>
    <row r="69" spans="1:31" hidden="1" outlineLevel="2" x14ac:dyDescent="0.25">
      <c r="A69" s="185" t="s">
        <v>1188</v>
      </c>
      <c r="B69" s="185" t="s">
        <v>561</v>
      </c>
      <c r="C69" s="138" t="s">
        <v>514</v>
      </c>
      <c r="D69" s="186">
        <f ca="1">-SUMIFS(
  desp.m.ik[valor],
  desp.m.ik[nucleo], $B69,
  desp.m.ik[variavel], $B$67,
  desp.m.ik[mes], "&gt;="&amp;D$1,
  desp.m.ik[mes], "&lt;"&amp;EOMONTH(D$1,0)+1
)</f>
        <v>0</v>
      </c>
      <c r="E69" s="186">
        <f ca="1">-SUMIFS(
  desp.m.ik[valor],
  desp.m.ik[nucleo], $B69,
  desp.m.ik[variavel], $B$67,
  desp.m.ik[mes], "&gt;="&amp;E$1,
  desp.m.ik[mes], "&lt;"&amp;EOMONTH(E$1,0)+1
)</f>
        <v>0</v>
      </c>
      <c r="F69" s="186">
        <f ca="1">-SUMIFS(
  desp.m.ik[valor],
  desp.m.ik[nucleo], $B69,
  desp.m.ik[variavel], $B$67,
  desp.m.ik[mes], "&gt;="&amp;F$1,
  desp.m.ik[mes], "&lt;"&amp;EOMONTH(F$1,0)+1
)</f>
        <v>0</v>
      </c>
      <c r="G69" s="186">
        <f ca="1">-SUMIFS(
  desp.m.ik[valor],
  desp.m.ik[nucleo], $B69,
  desp.m.ik[variavel], $B$67,
  desp.m.ik[mes], "&gt;="&amp;G$1,
  desp.m.ik[mes], "&lt;"&amp;EOMONTH(G$1,0)+1
)</f>
        <v>0</v>
      </c>
      <c r="H69" s="186">
        <f ca="1">-SUMIFS(
  desp.m.ik[valor],
  desp.m.ik[nucleo], $B69,
  desp.m.ik[variavel], $B$67,
  desp.m.ik[mes], "&gt;="&amp;H$1,
  desp.m.ik[mes], "&lt;"&amp;EOMONTH(H$1,0)+1
)</f>
        <v>0</v>
      </c>
      <c r="I69" s="186">
        <f ca="1">-SUMIFS(
  desp.m.ik[valor],
  desp.m.ik[nucleo], $B69,
  desp.m.ik[variavel], $B$67,
  desp.m.ik[mes], "&gt;="&amp;I$1,
  desp.m.ik[mes], "&lt;"&amp;EOMONTH(I$1,0)+1
)</f>
        <v>0</v>
      </c>
      <c r="J69" s="186">
        <f ca="1">-SUMIFS(
  desp.m.ik[valor],
  desp.m.ik[nucleo], $B69,
  desp.m.ik[variavel], $B$67,
  desp.m.ik[mes], "&gt;="&amp;J$1,
  desp.m.ik[mes], "&lt;"&amp;EOMONTH(J$1,0)+1
)</f>
        <v>0</v>
      </c>
      <c r="K69" s="186">
        <f ca="1">-SUMIFS(
  desp.m.ik[valor],
  desp.m.ik[nucleo], $B69,
  desp.m.ik[variavel], $B$67,
  desp.m.ik[mes], "&gt;="&amp;K$1,
  desp.m.ik[mes], "&lt;"&amp;EOMONTH(K$1,0)+1
)</f>
        <v>0</v>
      </c>
      <c r="L69" s="186">
        <f ca="1">-SUMIFS(
  desp.m.ik[valor],
  desp.m.ik[nucleo], $B69,
  desp.m.ik[variavel], $B$67,
  desp.m.ik[mes], "&gt;="&amp;L$1,
  desp.m.ik[mes], "&lt;"&amp;EOMONTH(L$1,0)+1
)</f>
        <v>0</v>
      </c>
      <c r="M69" s="186">
        <f ca="1">-SUMIFS(
  desp.m.ik[valor],
  desp.m.ik[nucleo], $B69,
  desp.m.ik[variavel], $B$67,
  desp.m.ik[mes], "&gt;="&amp;M$1,
  desp.m.ik[mes], "&lt;"&amp;EOMONTH(M$1,0)+1
)</f>
        <v>0</v>
      </c>
      <c r="N69" s="186">
        <f ca="1">-SUMIFS(
  desp.m.ik[valor],
  desp.m.ik[nucleo], $B69,
  desp.m.ik[variavel], $B$67,
  desp.m.ik[mes], "&gt;="&amp;N$1,
  desp.m.ik[mes], "&lt;"&amp;EOMONTH(N$1,0)+1
)</f>
        <v>0</v>
      </c>
      <c r="O69" s="186">
        <f ca="1">-SUMIFS(
  desp.m.ik[valor],
  desp.m.ik[nucleo], $B69,
  desp.m.ik[variavel], $B$67,
  desp.m.ik[mes], "&gt;="&amp;O$1,
  desp.m.ik[mes], "&lt;"&amp;EOMONTH(O$1,0)+1
)</f>
        <v>0</v>
      </c>
      <c r="P69" s="186">
        <f ca="1">-SUMIFS(
  desp.m.ik[valor],
  desp.m.ik[nucleo], $B69,
  desp.m.ik[variavel], $B$67,
  desp.m.ik[mes], "&gt;="&amp;P$1,
  desp.m.ik[mes], "&lt;"&amp;EOMONTH(P$1,0)+1
)</f>
        <v>0</v>
      </c>
      <c r="Q69" s="186">
        <f ca="1">-SUMIFS(
  desp.m.ik[valor],
  desp.m.ik[nucleo], $B69,
  desp.m.ik[variavel], $B$67,
  desp.m.ik[mes], "&gt;="&amp;Q$1,
  desp.m.ik[mes], "&lt;"&amp;EOMONTH(Q$1,0)+1
)</f>
        <v>0</v>
      </c>
      <c r="R69" s="186">
        <f ca="1">-SUMIFS(
  desp.m.ik[valor],
  desp.m.ik[nucleo], $B69,
  desp.m.ik[variavel], $B$67,
  desp.m.ik[mes], "&gt;="&amp;R$1,
  desp.m.ik[mes], "&lt;"&amp;EOMONTH(R$1,0)+1
)</f>
        <v>0</v>
      </c>
      <c r="S69" s="186">
        <f ca="1">-SUMIFS(
  desp.m.ik[valor],
  desp.m.ik[nucleo], $B69,
  desp.m.ik[variavel], $B$67,
  desp.m.ik[mes], "&gt;="&amp;S$1,
  desp.m.ik[mes], "&lt;"&amp;EOMONTH(S$1,0)+1
)</f>
        <v>0</v>
      </c>
      <c r="T69" s="186">
        <f ca="1">-SUMIFS(
  desp.m.ik[valor],
  desp.m.ik[nucleo], $B69,
  desp.m.ik[variavel], $B$67,
  desp.m.ik[mes], "&gt;="&amp;T$1,
  desp.m.ik[mes], "&lt;"&amp;EOMONTH(T$1,0)+1
)</f>
        <v>0</v>
      </c>
      <c r="U69" s="186">
        <f ca="1">-SUMIFS(
  desp.m.ik[valor],
  desp.m.ik[nucleo], $B69,
  desp.m.ik[variavel], $B$67,
  desp.m.ik[mes], "&gt;="&amp;U$1,
  desp.m.ik[mes], "&lt;"&amp;EOMONTH(U$1,0)+1
)</f>
        <v>0</v>
      </c>
      <c r="V69" s="186">
        <f ca="1">-SUMIFS(
  desp.m.ik[valor],
  desp.m.ik[nucleo], $B69,
  desp.m.ik[variavel], $B$67,
  desp.m.ik[mes], "&gt;="&amp;V$1,
  desp.m.ik[mes], "&lt;"&amp;EOMONTH(V$1,0)+1
)</f>
        <v>0</v>
      </c>
      <c r="W69" s="186">
        <f ca="1">-SUMIFS(
  desp.m.ik[valor],
  desp.m.ik[nucleo], $B69,
  desp.m.ik[variavel], $B$67,
  desp.m.ik[mes], "&gt;="&amp;W$1,
  desp.m.ik[mes], "&lt;"&amp;EOMONTH(W$1,0)+1
)</f>
        <v>0</v>
      </c>
      <c r="X69" s="186">
        <f ca="1">-SUMIFS(
  desp.m.ik[valor],
  desp.m.ik[nucleo], $B69,
  desp.m.ik[variavel], $B$67,
  desp.m.ik[mes], "&gt;="&amp;X$1,
  desp.m.ik[mes], "&lt;"&amp;EOMONTH(X$1,0)+1
)</f>
        <v>0</v>
      </c>
      <c r="Y69" s="186">
        <f ca="1">-SUMIFS(
  desp.m.ik[valor],
  desp.m.ik[nucleo], $B69,
  desp.m.ik[variavel], $B$67,
  desp.m.ik[mes], "&gt;="&amp;Y$1,
  desp.m.ik[mes], "&lt;"&amp;EOMONTH(Y$1,0)+1
)</f>
        <v>0</v>
      </c>
      <c r="Z69" s="186">
        <f ca="1">-SUMIFS(
  desp.m.ik[valor],
  desp.m.ik[nucleo], $B69,
  desp.m.ik[variavel], $B$67,
  desp.m.ik[mes], "&gt;="&amp;Z$1,
  desp.m.ik[mes], "&lt;"&amp;EOMONTH(Z$1,0)+1
)</f>
        <v>0</v>
      </c>
      <c r="AA69" s="186">
        <f ca="1">-SUMIFS(
  desp.m.ik[valor],
  desp.m.ik[nucleo], $B69,
  desp.m.ik[variavel], $B$67,
  desp.m.ik[mes], "&gt;="&amp;AA$1,
  desp.m.ik[mes], "&lt;"&amp;EOMONTH(AA$1,0)+1
)</f>
        <v>0</v>
      </c>
      <c r="AC69" s="178">
        <f t="shared" ca="1" si="17"/>
        <v>0</v>
      </c>
      <c r="AE69" s="178">
        <f ca="1">SUM(D69:AA69)</f>
        <v>0</v>
      </c>
    </row>
    <row r="70" spans="1:31" hidden="1" outlineLevel="2" x14ac:dyDescent="0.25">
      <c r="A70" s="185" t="s">
        <v>1189</v>
      </c>
      <c r="B70" s="185" t="s">
        <v>562</v>
      </c>
      <c r="C70" s="138" t="s">
        <v>514</v>
      </c>
      <c r="D70" s="186">
        <f ca="1">-SUMIFS(
  desp.m.ik[valor],
  desp.m.ik[nucleo], $B70,
  desp.m.ik[variavel], $B$67,
  desp.m.ik[mes], "&gt;="&amp;D$1,
  desp.m.ik[mes], "&lt;"&amp;EOMONTH(D$1,0)+1
)</f>
        <v>0</v>
      </c>
      <c r="E70" s="186">
        <f ca="1">-SUMIFS(
  desp.m.ik[valor],
  desp.m.ik[nucleo], $B70,
  desp.m.ik[variavel], $B$67,
  desp.m.ik[mes], "&gt;="&amp;E$1,
  desp.m.ik[mes], "&lt;"&amp;EOMONTH(E$1,0)+1
)</f>
        <v>0</v>
      </c>
      <c r="F70" s="186">
        <f ca="1">-SUMIFS(
  desp.m.ik[valor],
  desp.m.ik[nucleo], $B70,
  desp.m.ik[variavel], $B$67,
  desp.m.ik[mes], "&gt;="&amp;F$1,
  desp.m.ik[mes], "&lt;"&amp;EOMONTH(F$1,0)+1
)</f>
        <v>0</v>
      </c>
      <c r="G70" s="186">
        <f ca="1">-SUMIFS(
  desp.m.ik[valor],
  desp.m.ik[nucleo], $B70,
  desp.m.ik[variavel], $B$67,
  desp.m.ik[mes], "&gt;="&amp;G$1,
  desp.m.ik[mes], "&lt;"&amp;EOMONTH(G$1,0)+1
)</f>
        <v>0</v>
      </c>
      <c r="H70" s="186">
        <f ca="1">-SUMIFS(
  desp.m.ik[valor],
  desp.m.ik[nucleo], $B70,
  desp.m.ik[variavel], $B$67,
  desp.m.ik[mes], "&gt;="&amp;H$1,
  desp.m.ik[mes], "&lt;"&amp;EOMONTH(H$1,0)+1
)</f>
        <v>0</v>
      </c>
      <c r="I70" s="186">
        <f ca="1">-SUMIFS(
  desp.m.ik[valor],
  desp.m.ik[nucleo], $B70,
  desp.m.ik[variavel], $B$67,
  desp.m.ik[mes], "&gt;="&amp;I$1,
  desp.m.ik[mes], "&lt;"&amp;EOMONTH(I$1,0)+1
)</f>
        <v>0</v>
      </c>
      <c r="J70" s="186">
        <f ca="1">-SUMIFS(
  desp.m.ik[valor],
  desp.m.ik[nucleo], $B70,
  desp.m.ik[variavel], $B$67,
  desp.m.ik[mes], "&gt;="&amp;J$1,
  desp.m.ik[mes], "&lt;"&amp;EOMONTH(J$1,0)+1
)</f>
        <v>0</v>
      </c>
      <c r="K70" s="186">
        <f ca="1">-SUMIFS(
  desp.m.ik[valor],
  desp.m.ik[nucleo], $B70,
  desp.m.ik[variavel], $B$67,
  desp.m.ik[mes], "&gt;="&amp;K$1,
  desp.m.ik[mes], "&lt;"&amp;EOMONTH(K$1,0)+1
)</f>
        <v>0</v>
      </c>
      <c r="L70" s="186">
        <f ca="1">-SUMIFS(
  desp.m.ik[valor],
  desp.m.ik[nucleo], $B70,
  desp.m.ik[variavel], $B$67,
  desp.m.ik[mes], "&gt;="&amp;L$1,
  desp.m.ik[mes], "&lt;"&amp;EOMONTH(L$1,0)+1
)</f>
        <v>0</v>
      </c>
      <c r="M70" s="186">
        <f ca="1">-SUMIFS(
  desp.m.ik[valor],
  desp.m.ik[nucleo], $B70,
  desp.m.ik[variavel], $B$67,
  desp.m.ik[mes], "&gt;="&amp;M$1,
  desp.m.ik[mes], "&lt;"&amp;EOMONTH(M$1,0)+1
)</f>
        <v>0</v>
      </c>
      <c r="N70" s="186">
        <f ca="1">-SUMIFS(
  desp.m.ik[valor],
  desp.m.ik[nucleo], $B70,
  desp.m.ik[variavel], $B$67,
  desp.m.ik[mes], "&gt;="&amp;N$1,
  desp.m.ik[mes], "&lt;"&amp;EOMONTH(N$1,0)+1
)</f>
        <v>0</v>
      </c>
      <c r="O70" s="186">
        <f ca="1">-SUMIFS(
  desp.m.ik[valor],
  desp.m.ik[nucleo], $B70,
  desp.m.ik[variavel], $B$67,
  desp.m.ik[mes], "&gt;="&amp;O$1,
  desp.m.ik[mes], "&lt;"&amp;EOMONTH(O$1,0)+1
)</f>
        <v>0</v>
      </c>
      <c r="P70" s="186">
        <f ca="1">-SUMIFS(
  desp.m.ik[valor],
  desp.m.ik[nucleo], $B70,
  desp.m.ik[variavel], $B$67,
  desp.m.ik[mes], "&gt;="&amp;P$1,
  desp.m.ik[mes], "&lt;"&amp;EOMONTH(P$1,0)+1
)</f>
        <v>0</v>
      </c>
      <c r="Q70" s="186">
        <f ca="1">-SUMIFS(
  desp.m.ik[valor],
  desp.m.ik[nucleo], $B70,
  desp.m.ik[variavel], $B$67,
  desp.m.ik[mes], "&gt;="&amp;Q$1,
  desp.m.ik[mes], "&lt;"&amp;EOMONTH(Q$1,0)+1
)</f>
        <v>0</v>
      </c>
      <c r="R70" s="186">
        <f ca="1">-SUMIFS(
  desp.m.ik[valor],
  desp.m.ik[nucleo], $B70,
  desp.m.ik[variavel], $B$67,
  desp.m.ik[mes], "&gt;="&amp;R$1,
  desp.m.ik[mes], "&lt;"&amp;EOMONTH(R$1,0)+1
)</f>
        <v>0</v>
      </c>
      <c r="S70" s="186">
        <f ca="1">-SUMIFS(
  desp.m.ik[valor],
  desp.m.ik[nucleo], $B70,
  desp.m.ik[variavel], $B$67,
  desp.m.ik[mes], "&gt;="&amp;S$1,
  desp.m.ik[mes], "&lt;"&amp;EOMONTH(S$1,0)+1
)</f>
        <v>0</v>
      </c>
      <c r="T70" s="186">
        <f ca="1">-SUMIFS(
  desp.m.ik[valor],
  desp.m.ik[nucleo], $B70,
  desp.m.ik[variavel], $B$67,
  desp.m.ik[mes], "&gt;="&amp;T$1,
  desp.m.ik[mes], "&lt;"&amp;EOMONTH(T$1,0)+1
)</f>
        <v>0</v>
      </c>
      <c r="U70" s="186">
        <f ca="1">-SUMIFS(
  desp.m.ik[valor],
  desp.m.ik[nucleo], $B70,
  desp.m.ik[variavel], $B$67,
  desp.m.ik[mes], "&gt;="&amp;U$1,
  desp.m.ik[mes], "&lt;"&amp;EOMONTH(U$1,0)+1
)</f>
        <v>0</v>
      </c>
      <c r="V70" s="186">
        <f ca="1">-SUMIFS(
  desp.m.ik[valor],
  desp.m.ik[nucleo], $B70,
  desp.m.ik[variavel], $B$67,
  desp.m.ik[mes], "&gt;="&amp;V$1,
  desp.m.ik[mes], "&lt;"&amp;EOMONTH(V$1,0)+1
)</f>
        <v>0</v>
      </c>
      <c r="W70" s="186">
        <f ca="1">-SUMIFS(
  desp.m.ik[valor],
  desp.m.ik[nucleo], $B70,
  desp.m.ik[variavel], $B$67,
  desp.m.ik[mes], "&gt;="&amp;W$1,
  desp.m.ik[mes], "&lt;"&amp;EOMONTH(W$1,0)+1
)</f>
        <v>0</v>
      </c>
      <c r="X70" s="186">
        <f ca="1">-SUMIFS(
  desp.m.ik[valor],
  desp.m.ik[nucleo], $B70,
  desp.m.ik[variavel], $B$67,
  desp.m.ik[mes], "&gt;="&amp;X$1,
  desp.m.ik[mes], "&lt;"&amp;EOMONTH(X$1,0)+1
)</f>
        <v>0</v>
      </c>
      <c r="Y70" s="186">
        <f ca="1">-SUMIFS(
  desp.m.ik[valor],
  desp.m.ik[nucleo], $B70,
  desp.m.ik[variavel], $B$67,
  desp.m.ik[mes], "&gt;="&amp;Y$1,
  desp.m.ik[mes], "&lt;"&amp;EOMONTH(Y$1,0)+1
)</f>
        <v>0</v>
      </c>
      <c r="Z70" s="186">
        <f ca="1">-SUMIFS(
  desp.m.ik[valor],
  desp.m.ik[nucleo], $B70,
  desp.m.ik[variavel], $B$67,
  desp.m.ik[mes], "&gt;="&amp;Z$1,
  desp.m.ik[mes], "&lt;"&amp;EOMONTH(Z$1,0)+1
)</f>
        <v>0</v>
      </c>
      <c r="AA70" s="186">
        <f ca="1">-SUMIFS(
  desp.m.ik[valor],
  desp.m.ik[nucleo], $B70,
  desp.m.ik[variavel], $B$67,
  desp.m.ik[mes], "&gt;="&amp;AA$1,
  desp.m.ik[mes], "&lt;"&amp;EOMONTH(AA$1,0)+1
)</f>
        <v>0</v>
      </c>
      <c r="AC70" s="178">
        <f t="shared" ca="1" si="17"/>
        <v>0</v>
      </c>
      <c r="AE70" s="178">
        <f ca="1">SUM(D70:AA70)</f>
        <v>0</v>
      </c>
    </row>
    <row r="71" spans="1:31" hidden="1" outlineLevel="1" x14ac:dyDescent="0.25">
      <c r="A71" s="182" t="s">
        <v>559</v>
      </c>
      <c r="B71" s="182" t="s">
        <v>391</v>
      </c>
      <c r="C71" s="183" t="s">
        <v>514</v>
      </c>
      <c r="D71" s="184">
        <f t="shared" ref="D71:AA71" ca="1" si="18">SUM(D$72:D$79)</f>
        <v>0</v>
      </c>
      <c r="E71" s="184">
        <f t="shared" ca="1" si="18"/>
        <v>0</v>
      </c>
      <c r="F71" s="184">
        <f t="shared" ca="1" si="18"/>
        <v>0</v>
      </c>
      <c r="G71" s="184">
        <f t="shared" ca="1" si="18"/>
        <v>0</v>
      </c>
      <c r="H71" s="184">
        <f t="shared" ca="1" si="18"/>
        <v>0</v>
      </c>
      <c r="I71" s="184">
        <f t="shared" ca="1" si="18"/>
        <v>0</v>
      </c>
      <c r="J71" s="184">
        <f t="shared" ca="1" si="18"/>
        <v>0</v>
      </c>
      <c r="K71" s="184">
        <f t="shared" ca="1" si="18"/>
        <v>0</v>
      </c>
      <c r="L71" s="184">
        <f t="shared" ca="1" si="18"/>
        <v>0</v>
      </c>
      <c r="M71" s="184">
        <f t="shared" ca="1" si="18"/>
        <v>0</v>
      </c>
      <c r="N71" s="184">
        <f t="shared" ca="1" si="18"/>
        <v>0</v>
      </c>
      <c r="O71" s="184">
        <f t="shared" ca="1" si="18"/>
        <v>0</v>
      </c>
      <c r="P71" s="184">
        <f t="shared" ca="1" si="18"/>
        <v>0</v>
      </c>
      <c r="Q71" s="184">
        <f t="shared" ca="1" si="18"/>
        <v>0</v>
      </c>
      <c r="R71" s="184">
        <f t="shared" ca="1" si="18"/>
        <v>0</v>
      </c>
      <c r="S71" s="184">
        <f t="shared" ca="1" si="18"/>
        <v>0</v>
      </c>
      <c r="T71" s="184">
        <f t="shared" ca="1" si="18"/>
        <v>0</v>
      </c>
      <c r="U71" s="184">
        <f t="shared" ca="1" si="18"/>
        <v>0</v>
      </c>
      <c r="V71" s="184">
        <f t="shared" ca="1" si="18"/>
        <v>0</v>
      </c>
      <c r="W71" s="184">
        <f t="shared" ca="1" si="18"/>
        <v>0</v>
      </c>
      <c r="X71" s="184">
        <f t="shared" ca="1" si="18"/>
        <v>0</v>
      </c>
      <c r="Y71" s="184">
        <f t="shared" ca="1" si="18"/>
        <v>0</v>
      </c>
      <c r="Z71" s="184">
        <f t="shared" ca="1" si="18"/>
        <v>0</v>
      </c>
      <c r="AA71" s="184">
        <f t="shared" ca="1" si="18"/>
        <v>0</v>
      </c>
      <c r="AC71" s="280">
        <f t="shared" ca="1" si="17"/>
        <v>0</v>
      </c>
      <c r="AE71" s="280">
        <f t="shared" ca="1" si="1"/>
        <v>0</v>
      </c>
    </row>
    <row r="72" spans="1:31" hidden="1" outlineLevel="2" x14ac:dyDescent="0.25">
      <c r="A72" s="185" t="s">
        <v>948</v>
      </c>
      <c r="B72" s="185" t="s">
        <v>546</v>
      </c>
      <c r="C72" s="138" t="s">
        <v>514</v>
      </c>
      <c r="D72" s="186">
        <f ca="1">-SUMIFS(
  desp.m.ik[valor],
  desp.m.ik[nucleo], $B72,
  desp.m.ik[variavel], $B$71,
  desp.m.ik[mes], "&gt;="&amp;D$1,
  desp.m.ik[mes], "&lt;"&amp;EOMONTH(D$1,0)+1
)</f>
        <v>0</v>
      </c>
      <c r="E72" s="186">
        <f ca="1">-SUMIFS(
  desp.m.ik[valor],
  desp.m.ik[nucleo], $B72,
  desp.m.ik[variavel], $B$71,
  desp.m.ik[mes], "&gt;="&amp;E$1,
  desp.m.ik[mes], "&lt;"&amp;EOMONTH(E$1,0)+1
)</f>
        <v>0</v>
      </c>
      <c r="F72" s="186">
        <f ca="1">-SUMIFS(
  desp.m.ik[valor],
  desp.m.ik[nucleo], $B72,
  desp.m.ik[variavel], $B$71,
  desp.m.ik[mes], "&gt;="&amp;F$1,
  desp.m.ik[mes], "&lt;"&amp;EOMONTH(F$1,0)+1
)</f>
        <v>0</v>
      </c>
      <c r="G72" s="186">
        <f ca="1">-SUMIFS(
  desp.m.ik[valor],
  desp.m.ik[nucleo], $B72,
  desp.m.ik[variavel], $B$71,
  desp.m.ik[mes], "&gt;="&amp;G$1,
  desp.m.ik[mes], "&lt;"&amp;EOMONTH(G$1,0)+1
)</f>
        <v>0</v>
      </c>
      <c r="H72" s="186">
        <f ca="1">-SUMIFS(
  desp.m.ik[valor],
  desp.m.ik[nucleo], $B72,
  desp.m.ik[variavel], $B$71,
  desp.m.ik[mes], "&gt;="&amp;H$1,
  desp.m.ik[mes], "&lt;"&amp;EOMONTH(H$1,0)+1
)</f>
        <v>0</v>
      </c>
      <c r="I72" s="186">
        <f ca="1">-SUMIFS(
  desp.m.ik[valor],
  desp.m.ik[nucleo], $B72,
  desp.m.ik[variavel], $B$71,
  desp.m.ik[mes], "&gt;="&amp;I$1,
  desp.m.ik[mes], "&lt;"&amp;EOMONTH(I$1,0)+1
)</f>
        <v>0</v>
      </c>
      <c r="J72" s="186">
        <f ca="1">-SUMIFS(
  desp.m.ik[valor],
  desp.m.ik[nucleo], $B72,
  desp.m.ik[variavel], $B$71,
  desp.m.ik[mes], "&gt;="&amp;J$1,
  desp.m.ik[mes], "&lt;"&amp;EOMONTH(J$1,0)+1
)</f>
        <v>0</v>
      </c>
      <c r="K72" s="186">
        <f ca="1">-SUMIFS(
  desp.m.ik[valor],
  desp.m.ik[nucleo], $B72,
  desp.m.ik[variavel], $B$71,
  desp.m.ik[mes], "&gt;="&amp;K$1,
  desp.m.ik[mes], "&lt;"&amp;EOMONTH(K$1,0)+1
)</f>
        <v>0</v>
      </c>
      <c r="L72" s="186">
        <f ca="1">-SUMIFS(
  desp.m.ik[valor],
  desp.m.ik[nucleo], $B72,
  desp.m.ik[variavel], $B$71,
  desp.m.ik[mes], "&gt;="&amp;L$1,
  desp.m.ik[mes], "&lt;"&amp;EOMONTH(L$1,0)+1
)</f>
        <v>0</v>
      </c>
      <c r="M72" s="186">
        <f ca="1">-SUMIFS(
  desp.m.ik[valor],
  desp.m.ik[nucleo], $B72,
  desp.m.ik[variavel], $B$71,
  desp.m.ik[mes], "&gt;="&amp;M$1,
  desp.m.ik[mes], "&lt;"&amp;EOMONTH(M$1,0)+1
)</f>
        <v>0</v>
      </c>
      <c r="N72" s="186">
        <f ca="1">-SUMIFS(
  desp.m.ik[valor],
  desp.m.ik[nucleo], $B72,
  desp.m.ik[variavel], $B$71,
  desp.m.ik[mes], "&gt;="&amp;N$1,
  desp.m.ik[mes], "&lt;"&amp;EOMONTH(N$1,0)+1
)</f>
        <v>0</v>
      </c>
      <c r="O72" s="186">
        <f ca="1">-SUMIFS(
  desp.m.ik[valor],
  desp.m.ik[nucleo], $B72,
  desp.m.ik[variavel], $B$71,
  desp.m.ik[mes], "&gt;="&amp;O$1,
  desp.m.ik[mes], "&lt;"&amp;EOMONTH(O$1,0)+1
)</f>
        <v>0</v>
      </c>
      <c r="P72" s="186">
        <f ca="1">-SUMIFS(
  desp.m.ik[valor],
  desp.m.ik[nucleo], $B72,
  desp.m.ik[variavel], $B$71,
  desp.m.ik[mes], "&gt;="&amp;P$1,
  desp.m.ik[mes], "&lt;"&amp;EOMONTH(P$1,0)+1
)</f>
        <v>0</v>
      </c>
      <c r="Q72" s="186">
        <f ca="1">-SUMIFS(
  desp.m.ik[valor],
  desp.m.ik[nucleo], $B72,
  desp.m.ik[variavel], $B$71,
  desp.m.ik[mes], "&gt;="&amp;Q$1,
  desp.m.ik[mes], "&lt;"&amp;EOMONTH(Q$1,0)+1
)</f>
        <v>0</v>
      </c>
      <c r="R72" s="186">
        <f ca="1">-SUMIFS(
  desp.m.ik[valor],
  desp.m.ik[nucleo], $B72,
  desp.m.ik[variavel], $B$71,
  desp.m.ik[mes], "&gt;="&amp;R$1,
  desp.m.ik[mes], "&lt;"&amp;EOMONTH(R$1,0)+1
)</f>
        <v>0</v>
      </c>
      <c r="S72" s="186">
        <f ca="1">-SUMIFS(
  desp.m.ik[valor],
  desp.m.ik[nucleo], $B72,
  desp.m.ik[variavel], $B$71,
  desp.m.ik[mes], "&gt;="&amp;S$1,
  desp.m.ik[mes], "&lt;"&amp;EOMONTH(S$1,0)+1
)</f>
        <v>0</v>
      </c>
      <c r="T72" s="186">
        <f ca="1">-SUMIFS(
  desp.m.ik[valor],
  desp.m.ik[nucleo], $B72,
  desp.m.ik[variavel], $B$71,
  desp.m.ik[mes], "&gt;="&amp;T$1,
  desp.m.ik[mes], "&lt;"&amp;EOMONTH(T$1,0)+1
)</f>
        <v>0</v>
      </c>
      <c r="U72" s="186">
        <f ca="1">-SUMIFS(
  desp.m.ik[valor],
  desp.m.ik[nucleo], $B72,
  desp.m.ik[variavel], $B$71,
  desp.m.ik[mes], "&gt;="&amp;U$1,
  desp.m.ik[mes], "&lt;"&amp;EOMONTH(U$1,0)+1
)</f>
        <v>0</v>
      </c>
      <c r="V72" s="186">
        <f ca="1">-SUMIFS(
  desp.m.ik[valor],
  desp.m.ik[nucleo], $B72,
  desp.m.ik[variavel], $B$71,
  desp.m.ik[mes], "&gt;="&amp;V$1,
  desp.m.ik[mes], "&lt;"&amp;EOMONTH(V$1,0)+1
)</f>
        <v>0</v>
      </c>
      <c r="W72" s="186">
        <f ca="1">-SUMIFS(
  desp.m.ik[valor],
  desp.m.ik[nucleo], $B72,
  desp.m.ik[variavel], $B$71,
  desp.m.ik[mes], "&gt;="&amp;W$1,
  desp.m.ik[mes], "&lt;"&amp;EOMONTH(W$1,0)+1
)</f>
        <v>0</v>
      </c>
      <c r="X72" s="186">
        <f ca="1">-SUMIFS(
  desp.m.ik[valor],
  desp.m.ik[nucleo], $B72,
  desp.m.ik[variavel], $B$71,
  desp.m.ik[mes], "&gt;="&amp;X$1,
  desp.m.ik[mes], "&lt;"&amp;EOMONTH(X$1,0)+1
)</f>
        <v>0</v>
      </c>
      <c r="Y72" s="186">
        <f ca="1">-SUMIFS(
  desp.m.ik[valor],
  desp.m.ik[nucleo], $B72,
  desp.m.ik[variavel], $B$71,
  desp.m.ik[mes], "&gt;="&amp;Y$1,
  desp.m.ik[mes], "&lt;"&amp;EOMONTH(Y$1,0)+1
)</f>
        <v>0</v>
      </c>
      <c r="Z72" s="186">
        <f ca="1">-SUMIFS(
  desp.m.ik[valor],
  desp.m.ik[nucleo], $B72,
  desp.m.ik[variavel], $B$71,
  desp.m.ik[mes], "&gt;="&amp;Z$1,
  desp.m.ik[mes], "&lt;"&amp;EOMONTH(Z$1,0)+1
)</f>
        <v>0</v>
      </c>
      <c r="AA72" s="186">
        <f ca="1">-SUMIFS(
  desp.m.ik[valor],
  desp.m.ik[nucleo], $B72,
  desp.m.ik[variavel], $B$71,
  desp.m.ik[mes], "&gt;="&amp;AA$1,
  desp.m.ik[mes], "&lt;"&amp;EOMONTH(AA$1,0)+1
)</f>
        <v>0</v>
      </c>
      <c r="AC72" s="178">
        <f t="shared" ca="1" si="17"/>
        <v>0</v>
      </c>
      <c r="AE72" s="178">
        <f t="shared" ca="1" si="1"/>
        <v>0</v>
      </c>
    </row>
    <row r="73" spans="1:31" hidden="1" outlineLevel="2" x14ac:dyDescent="0.25">
      <c r="A73" s="185" t="s">
        <v>949</v>
      </c>
      <c r="B73" s="185" t="s">
        <v>544</v>
      </c>
      <c r="C73" s="138" t="s">
        <v>514</v>
      </c>
      <c r="D73" s="186">
        <f ca="1">-SUMIFS(
  desp.m.ik[valor],
  desp.m.ik[nucleo], $B73,
  desp.m.ik[variavel], $B$71,
  desp.m.ik[mes], "&gt;="&amp;D$1,
  desp.m.ik[mes], "&lt;"&amp;EOMONTH(D$1,0)+1
)</f>
        <v>0</v>
      </c>
      <c r="E73" s="186">
        <f ca="1">-SUMIFS(
  desp.m.ik[valor],
  desp.m.ik[nucleo], $B73,
  desp.m.ik[variavel], $B$71,
  desp.m.ik[mes], "&gt;="&amp;E$1,
  desp.m.ik[mes], "&lt;"&amp;EOMONTH(E$1,0)+1
)</f>
        <v>0</v>
      </c>
      <c r="F73" s="186">
        <f ca="1">-SUMIFS(
  desp.m.ik[valor],
  desp.m.ik[nucleo], $B73,
  desp.m.ik[variavel], $B$71,
  desp.m.ik[mes], "&gt;="&amp;F$1,
  desp.m.ik[mes], "&lt;"&amp;EOMONTH(F$1,0)+1
)</f>
        <v>0</v>
      </c>
      <c r="G73" s="186">
        <f ca="1">-SUMIFS(
  desp.m.ik[valor],
  desp.m.ik[nucleo], $B73,
  desp.m.ik[variavel], $B$71,
  desp.m.ik[mes], "&gt;="&amp;G$1,
  desp.m.ik[mes], "&lt;"&amp;EOMONTH(G$1,0)+1
)</f>
        <v>0</v>
      </c>
      <c r="H73" s="186">
        <f ca="1">-SUMIFS(
  desp.m.ik[valor],
  desp.m.ik[nucleo], $B73,
  desp.m.ik[variavel], $B$71,
  desp.m.ik[mes], "&gt;="&amp;H$1,
  desp.m.ik[mes], "&lt;"&amp;EOMONTH(H$1,0)+1
)</f>
        <v>0</v>
      </c>
      <c r="I73" s="186">
        <f ca="1">-SUMIFS(
  desp.m.ik[valor],
  desp.m.ik[nucleo], $B73,
  desp.m.ik[variavel], $B$71,
  desp.m.ik[mes], "&gt;="&amp;I$1,
  desp.m.ik[mes], "&lt;"&amp;EOMONTH(I$1,0)+1
)</f>
        <v>0</v>
      </c>
      <c r="J73" s="186">
        <f ca="1">-SUMIFS(
  desp.m.ik[valor],
  desp.m.ik[nucleo], $B73,
  desp.m.ik[variavel], $B$71,
  desp.m.ik[mes], "&gt;="&amp;J$1,
  desp.m.ik[mes], "&lt;"&amp;EOMONTH(J$1,0)+1
)</f>
        <v>0</v>
      </c>
      <c r="K73" s="186">
        <f ca="1">-SUMIFS(
  desp.m.ik[valor],
  desp.m.ik[nucleo], $B73,
  desp.m.ik[variavel], $B$71,
  desp.m.ik[mes], "&gt;="&amp;K$1,
  desp.m.ik[mes], "&lt;"&amp;EOMONTH(K$1,0)+1
)</f>
        <v>0</v>
      </c>
      <c r="L73" s="186">
        <f ca="1">-SUMIFS(
  desp.m.ik[valor],
  desp.m.ik[nucleo], $B73,
  desp.m.ik[variavel], $B$71,
  desp.m.ik[mes], "&gt;="&amp;L$1,
  desp.m.ik[mes], "&lt;"&amp;EOMONTH(L$1,0)+1
)</f>
        <v>0</v>
      </c>
      <c r="M73" s="186">
        <f ca="1">-SUMIFS(
  desp.m.ik[valor],
  desp.m.ik[nucleo], $B73,
  desp.m.ik[variavel], $B$71,
  desp.m.ik[mes], "&gt;="&amp;M$1,
  desp.m.ik[mes], "&lt;"&amp;EOMONTH(M$1,0)+1
)</f>
        <v>0</v>
      </c>
      <c r="N73" s="186">
        <f ca="1">-SUMIFS(
  desp.m.ik[valor],
  desp.m.ik[nucleo], $B73,
  desp.m.ik[variavel], $B$71,
  desp.m.ik[mes], "&gt;="&amp;N$1,
  desp.m.ik[mes], "&lt;"&amp;EOMONTH(N$1,0)+1
)</f>
        <v>0</v>
      </c>
      <c r="O73" s="186">
        <f ca="1">-SUMIFS(
  desp.m.ik[valor],
  desp.m.ik[nucleo], $B73,
  desp.m.ik[variavel], $B$71,
  desp.m.ik[mes], "&gt;="&amp;O$1,
  desp.m.ik[mes], "&lt;"&amp;EOMONTH(O$1,0)+1
)</f>
        <v>0</v>
      </c>
      <c r="P73" s="186">
        <f ca="1">-SUMIFS(
  desp.m.ik[valor],
  desp.m.ik[nucleo], $B73,
  desp.m.ik[variavel], $B$71,
  desp.m.ik[mes], "&gt;="&amp;P$1,
  desp.m.ik[mes], "&lt;"&amp;EOMONTH(P$1,0)+1
)</f>
        <v>0</v>
      </c>
      <c r="Q73" s="186">
        <f ca="1">-SUMIFS(
  desp.m.ik[valor],
  desp.m.ik[nucleo], $B73,
  desp.m.ik[variavel], $B$71,
  desp.m.ik[mes], "&gt;="&amp;Q$1,
  desp.m.ik[mes], "&lt;"&amp;EOMONTH(Q$1,0)+1
)</f>
        <v>0</v>
      </c>
      <c r="R73" s="186">
        <f ca="1">-SUMIFS(
  desp.m.ik[valor],
  desp.m.ik[nucleo], $B73,
  desp.m.ik[variavel], $B$71,
  desp.m.ik[mes], "&gt;="&amp;R$1,
  desp.m.ik[mes], "&lt;"&amp;EOMONTH(R$1,0)+1
)</f>
        <v>0</v>
      </c>
      <c r="S73" s="186">
        <f ca="1">-SUMIFS(
  desp.m.ik[valor],
  desp.m.ik[nucleo], $B73,
  desp.m.ik[variavel], $B$71,
  desp.m.ik[mes], "&gt;="&amp;S$1,
  desp.m.ik[mes], "&lt;"&amp;EOMONTH(S$1,0)+1
)</f>
        <v>0</v>
      </c>
      <c r="T73" s="186">
        <f ca="1">-SUMIFS(
  desp.m.ik[valor],
  desp.m.ik[nucleo], $B73,
  desp.m.ik[variavel], $B$71,
  desp.m.ik[mes], "&gt;="&amp;T$1,
  desp.m.ik[mes], "&lt;"&amp;EOMONTH(T$1,0)+1
)</f>
        <v>0</v>
      </c>
      <c r="U73" s="186">
        <f ca="1">-SUMIFS(
  desp.m.ik[valor],
  desp.m.ik[nucleo], $B73,
  desp.m.ik[variavel], $B$71,
  desp.m.ik[mes], "&gt;="&amp;U$1,
  desp.m.ik[mes], "&lt;"&amp;EOMONTH(U$1,0)+1
)</f>
        <v>0</v>
      </c>
      <c r="V73" s="186">
        <f ca="1">-SUMIFS(
  desp.m.ik[valor],
  desp.m.ik[nucleo], $B73,
  desp.m.ik[variavel], $B$71,
  desp.m.ik[mes], "&gt;="&amp;V$1,
  desp.m.ik[mes], "&lt;"&amp;EOMONTH(V$1,0)+1
)</f>
        <v>0</v>
      </c>
      <c r="W73" s="186">
        <f ca="1">-SUMIFS(
  desp.m.ik[valor],
  desp.m.ik[nucleo], $B73,
  desp.m.ik[variavel], $B$71,
  desp.m.ik[mes], "&gt;="&amp;W$1,
  desp.m.ik[mes], "&lt;"&amp;EOMONTH(W$1,0)+1
)</f>
        <v>0</v>
      </c>
      <c r="X73" s="186">
        <f ca="1">-SUMIFS(
  desp.m.ik[valor],
  desp.m.ik[nucleo], $B73,
  desp.m.ik[variavel], $B$71,
  desp.m.ik[mes], "&gt;="&amp;X$1,
  desp.m.ik[mes], "&lt;"&amp;EOMONTH(X$1,0)+1
)</f>
        <v>0</v>
      </c>
      <c r="Y73" s="186">
        <f ca="1">-SUMIFS(
  desp.m.ik[valor],
  desp.m.ik[nucleo], $B73,
  desp.m.ik[variavel], $B$71,
  desp.m.ik[mes], "&gt;="&amp;Y$1,
  desp.m.ik[mes], "&lt;"&amp;EOMONTH(Y$1,0)+1
)</f>
        <v>0</v>
      </c>
      <c r="Z73" s="186">
        <f ca="1">-SUMIFS(
  desp.m.ik[valor],
  desp.m.ik[nucleo], $B73,
  desp.m.ik[variavel], $B$71,
  desp.m.ik[mes], "&gt;="&amp;Z$1,
  desp.m.ik[mes], "&lt;"&amp;EOMONTH(Z$1,0)+1
)</f>
        <v>0</v>
      </c>
      <c r="AA73" s="186">
        <f ca="1">-SUMIFS(
  desp.m.ik[valor],
  desp.m.ik[nucleo], $B73,
  desp.m.ik[variavel], $B$71,
  desp.m.ik[mes], "&gt;="&amp;AA$1,
  desp.m.ik[mes], "&lt;"&amp;EOMONTH(AA$1,0)+1
)</f>
        <v>0</v>
      </c>
      <c r="AC73" s="178">
        <f t="shared" ca="1" si="17"/>
        <v>0</v>
      </c>
      <c r="AE73" s="178">
        <f t="shared" ca="1" si="1"/>
        <v>0</v>
      </c>
    </row>
    <row r="74" spans="1:31" hidden="1" outlineLevel="2" x14ac:dyDescent="0.25">
      <c r="A74" s="185" t="s">
        <v>950</v>
      </c>
      <c r="B74" s="185" t="s">
        <v>541</v>
      </c>
      <c r="C74" s="138" t="s">
        <v>514</v>
      </c>
      <c r="D74" s="186">
        <f ca="1">-SUMIFS(
  desp.m.ik[valor],
  desp.m.ik[nucleo], $B74,
  desp.m.ik[variavel], $B$71,
  desp.m.ik[mes], "&gt;="&amp;D$1,
  desp.m.ik[mes], "&lt;"&amp;EOMONTH(D$1,0)+1
)</f>
        <v>0</v>
      </c>
      <c r="E74" s="186">
        <f ca="1">-SUMIFS(
  desp.m.ik[valor],
  desp.m.ik[nucleo], $B74,
  desp.m.ik[variavel], $B$71,
  desp.m.ik[mes], "&gt;="&amp;E$1,
  desp.m.ik[mes], "&lt;"&amp;EOMONTH(E$1,0)+1
)</f>
        <v>0</v>
      </c>
      <c r="F74" s="186">
        <f ca="1">-SUMIFS(
  desp.m.ik[valor],
  desp.m.ik[nucleo], $B74,
  desp.m.ik[variavel], $B$71,
  desp.m.ik[mes], "&gt;="&amp;F$1,
  desp.m.ik[mes], "&lt;"&amp;EOMONTH(F$1,0)+1
)</f>
        <v>0</v>
      </c>
      <c r="G74" s="186">
        <f ca="1">-SUMIFS(
  desp.m.ik[valor],
  desp.m.ik[nucleo], $B74,
  desp.m.ik[variavel], $B$71,
  desp.m.ik[mes], "&gt;="&amp;G$1,
  desp.m.ik[mes], "&lt;"&amp;EOMONTH(G$1,0)+1
)</f>
        <v>0</v>
      </c>
      <c r="H74" s="186">
        <f ca="1">-SUMIFS(
  desp.m.ik[valor],
  desp.m.ik[nucleo], $B74,
  desp.m.ik[variavel], $B$71,
  desp.m.ik[mes], "&gt;="&amp;H$1,
  desp.m.ik[mes], "&lt;"&amp;EOMONTH(H$1,0)+1
)</f>
        <v>0</v>
      </c>
      <c r="I74" s="186">
        <f ca="1">-SUMIFS(
  desp.m.ik[valor],
  desp.m.ik[nucleo], $B74,
  desp.m.ik[variavel], $B$71,
  desp.m.ik[mes], "&gt;="&amp;I$1,
  desp.m.ik[mes], "&lt;"&amp;EOMONTH(I$1,0)+1
)</f>
        <v>0</v>
      </c>
      <c r="J74" s="186">
        <f ca="1">-SUMIFS(
  desp.m.ik[valor],
  desp.m.ik[nucleo], $B74,
  desp.m.ik[variavel], $B$71,
  desp.m.ik[mes], "&gt;="&amp;J$1,
  desp.m.ik[mes], "&lt;"&amp;EOMONTH(J$1,0)+1
)</f>
        <v>0</v>
      </c>
      <c r="K74" s="186">
        <f ca="1">-SUMIFS(
  desp.m.ik[valor],
  desp.m.ik[nucleo], $B74,
  desp.m.ik[variavel], $B$71,
  desp.m.ik[mes], "&gt;="&amp;K$1,
  desp.m.ik[mes], "&lt;"&amp;EOMONTH(K$1,0)+1
)</f>
        <v>0</v>
      </c>
      <c r="L74" s="186">
        <f ca="1">-SUMIFS(
  desp.m.ik[valor],
  desp.m.ik[nucleo], $B74,
  desp.m.ik[variavel], $B$71,
  desp.m.ik[mes], "&gt;="&amp;L$1,
  desp.m.ik[mes], "&lt;"&amp;EOMONTH(L$1,0)+1
)</f>
        <v>0</v>
      </c>
      <c r="M74" s="186">
        <f ca="1">-SUMIFS(
  desp.m.ik[valor],
  desp.m.ik[nucleo], $B74,
  desp.m.ik[variavel], $B$71,
  desp.m.ik[mes], "&gt;="&amp;M$1,
  desp.m.ik[mes], "&lt;"&amp;EOMONTH(M$1,0)+1
)</f>
        <v>0</v>
      </c>
      <c r="N74" s="186">
        <f ca="1">-SUMIFS(
  desp.m.ik[valor],
  desp.m.ik[nucleo], $B74,
  desp.m.ik[variavel], $B$71,
  desp.m.ik[mes], "&gt;="&amp;N$1,
  desp.m.ik[mes], "&lt;"&amp;EOMONTH(N$1,0)+1
)</f>
        <v>0</v>
      </c>
      <c r="O74" s="186">
        <f ca="1">-SUMIFS(
  desp.m.ik[valor],
  desp.m.ik[nucleo], $B74,
  desp.m.ik[variavel], $B$71,
  desp.m.ik[mes], "&gt;="&amp;O$1,
  desp.m.ik[mes], "&lt;"&amp;EOMONTH(O$1,0)+1
)</f>
        <v>0</v>
      </c>
      <c r="P74" s="186">
        <f ca="1">-SUMIFS(
  desp.m.ik[valor],
  desp.m.ik[nucleo], $B74,
  desp.m.ik[variavel], $B$71,
  desp.m.ik[mes], "&gt;="&amp;P$1,
  desp.m.ik[mes], "&lt;"&amp;EOMONTH(P$1,0)+1
)</f>
        <v>0</v>
      </c>
      <c r="Q74" s="186">
        <f ca="1">-SUMIFS(
  desp.m.ik[valor],
  desp.m.ik[nucleo], $B74,
  desp.m.ik[variavel], $B$71,
  desp.m.ik[mes], "&gt;="&amp;Q$1,
  desp.m.ik[mes], "&lt;"&amp;EOMONTH(Q$1,0)+1
)</f>
        <v>0</v>
      </c>
      <c r="R74" s="186">
        <f ca="1">-SUMIFS(
  desp.m.ik[valor],
  desp.m.ik[nucleo], $B74,
  desp.m.ik[variavel], $B$71,
  desp.m.ik[mes], "&gt;="&amp;R$1,
  desp.m.ik[mes], "&lt;"&amp;EOMONTH(R$1,0)+1
)</f>
        <v>0</v>
      </c>
      <c r="S74" s="186">
        <f ca="1">-SUMIFS(
  desp.m.ik[valor],
  desp.m.ik[nucleo], $B74,
  desp.m.ik[variavel], $B$71,
  desp.m.ik[mes], "&gt;="&amp;S$1,
  desp.m.ik[mes], "&lt;"&amp;EOMONTH(S$1,0)+1
)</f>
        <v>0</v>
      </c>
      <c r="T74" s="186">
        <f ca="1">-SUMIFS(
  desp.m.ik[valor],
  desp.m.ik[nucleo], $B74,
  desp.m.ik[variavel], $B$71,
  desp.m.ik[mes], "&gt;="&amp;T$1,
  desp.m.ik[mes], "&lt;"&amp;EOMONTH(T$1,0)+1
)</f>
        <v>0</v>
      </c>
      <c r="U74" s="186">
        <f ca="1">-SUMIFS(
  desp.m.ik[valor],
  desp.m.ik[nucleo], $B74,
  desp.m.ik[variavel], $B$71,
  desp.m.ik[mes], "&gt;="&amp;U$1,
  desp.m.ik[mes], "&lt;"&amp;EOMONTH(U$1,0)+1
)</f>
        <v>0</v>
      </c>
      <c r="V74" s="186">
        <f ca="1">-SUMIFS(
  desp.m.ik[valor],
  desp.m.ik[nucleo], $B74,
  desp.m.ik[variavel], $B$71,
  desp.m.ik[mes], "&gt;="&amp;V$1,
  desp.m.ik[mes], "&lt;"&amp;EOMONTH(V$1,0)+1
)</f>
        <v>0</v>
      </c>
      <c r="W74" s="186">
        <f ca="1">-SUMIFS(
  desp.m.ik[valor],
  desp.m.ik[nucleo], $B74,
  desp.m.ik[variavel], $B$71,
  desp.m.ik[mes], "&gt;="&amp;W$1,
  desp.m.ik[mes], "&lt;"&amp;EOMONTH(W$1,0)+1
)</f>
        <v>0</v>
      </c>
      <c r="X74" s="186">
        <f ca="1">-SUMIFS(
  desp.m.ik[valor],
  desp.m.ik[nucleo], $B74,
  desp.m.ik[variavel], $B$71,
  desp.m.ik[mes], "&gt;="&amp;X$1,
  desp.m.ik[mes], "&lt;"&amp;EOMONTH(X$1,0)+1
)</f>
        <v>0</v>
      </c>
      <c r="Y74" s="186">
        <f ca="1">-SUMIFS(
  desp.m.ik[valor],
  desp.m.ik[nucleo], $B74,
  desp.m.ik[variavel], $B$71,
  desp.m.ik[mes], "&gt;="&amp;Y$1,
  desp.m.ik[mes], "&lt;"&amp;EOMONTH(Y$1,0)+1
)</f>
        <v>0</v>
      </c>
      <c r="Z74" s="186">
        <f ca="1">-SUMIFS(
  desp.m.ik[valor],
  desp.m.ik[nucleo], $B74,
  desp.m.ik[variavel], $B$71,
  desp.m.ik[mes], "&gt;="&amp;Z$1,
  desp.m.ik[mes], "&lt;"&amp;EOMONTH(Z$1,0)+1
)</f>
        <v>0</v>
      </c>
      <c r="AA74" s="186">
        <f ca="1">-SUMIFS(
  desp.m.ik[valor],
  desp.m.ik[nucleo], $B74,
  desp.m.ik[variavel], $B$71,
  desp.m.ik[mes], "&gt;="&amp;AA$1,
  desp.m.ik[mes], "&lt;"&amp;EOMONTH(AA$1,0)+1
)</f>
        <v>0</v>
      </c>
      <c r="AC74" s="178">
        <f t="shared" ca="1" si="17"/>
        <v>0</v>
      </c>
      <c r="AE74" s="178">
        <f t="shared" ref="AE74:AE139" ca="1" si="19">SUM(D74:AA74)</f>
        <v>0</v>
      </c>
    </row>
    <row r="75" spans="1:31" hidden="1" outlineLevel="2" x14ac:dyDescent="0.25">
      <c r="A75" s="185" t="s">
        <v>951</v>
      </c>
      <c r="B75" s="185" t="s">
        <v>537</v>
      </c>
      <c r="C75" s="138" t="s">
        <v>514</v>
      </c>
      <c r="D75" s="186">
        <f ca="1">-SUMIFS(
  desp.m.ik[valor],
  desp.m.ik[nucleo], $B75,
  desp.m.ik[variavel], $B$71,
  desp.m.ik[mes], "&gt;="&amp;D$1,
  desp.m.ik[mes], "&lt;"&amp;EOMONTH(D$1,0)+1
)</f>
        <v>0</v>
      </c>
      <c r="E75" s="186">
        <f ca="1">-SUMIFS(
  desp.m.ik[valor],
  desp.m.ik[nucleo], $B75,
  desp.m.ik[variavel], $B$71,
  desp.m.ik[mes], "&gt;="&amp;E$1,
  desp.m.ik[mes], "&lt;"&amp;EOMONTH(E$1,0)+1
)</f>
        <v>0</v>
      </c>
      <c r="F75" s="186">
        <f ca="1">-SUMIFS(
  desp.m.ik[valor],
  desp.m.ik[nucleo], $B75,
  desp.m.ik[variavel], $B$71,
  desp.m.ik[mes], "&gt;="&amp;F$1,
  desp.m.ik[mes], "&lt;"&amp;EOMONTH(F$1,0)+1
)</f>
        <v>0</v>
      </c>
      <c r="G75" s="186">
        <f ca="1">-SUMIFS(
  desp.m.ik[valor],
  desp.m.ik[nucleo], $B75,
  desp.m.ik[variavel], $B$71,
  desp.m.ik[mes], "&gt;="&amp;G$1,
  desp.m.ik[mes], "&lt;"&amp;EOMONTH(G$1,0)+1
)</f>
        <v>0</v>
      </c>
      <c r="H75" s="186">
        <f ca="1">-SUMIFS(
  desp.m.ik[valor],
  desp.m.ik[nucleo], $B75,
  desp.m.ik[variavel], $B$71,
  desp.m.ik[mes], "&gt;="&amp;H$1,
  desp.m.ik[mes], "&lt;"&amp;EOMONTH(H$1,0)+1
)</f>
        <v>0</v>
      </c>
      <c r="I75" s="186">
        <f ca="1">-SUMIFS(
  desp.m.ik[valor],
  desp.m.ik[nucleo], $B75,
  desp.m.ik[variavel], $B$71,
  desp.m.ik[mes], "&gt;="&amp;I$1,
  desp.m.ik[mes], "&lt;"&amp;EOMONTH(I$1,0)+1
)</f>
        <v>0</v>
      </c>
      <c r="J75" s="186">
        <f ca="1">-SUMIFS(
  desp.m.ik[valor],
  desp.m.ik[nucleo], $B75,
  desp.m.ik[variavel], $B$71,
  desp.m.ik[mes], "&gt;="&amp;J$1,
  desp.m.ik[mes], "&lt;"&amp;EOMONTH(J$1,0)+1
)</f>
        <v>0</v>
      </c>
      <c r="K75" s="186">
        <f ca="1">-SUMIFS(
  desp.m.ik[valor],
  desp.m.ik[nucleo], $B75,
  desp.m.ik[variavel], $B$71,
  desp.m.ik[mes], "&gt;="&amp;K$1,
  desp.m.ik[mes], "&lt;"&amp;EOMONTH(K$1,0)+1
)</f>
        <v>0</v>
      </c>
      <c r="L75" s="186">
        <f ca="1">-SUMIFS(
  desp.m.ik[valor],
  desp.m.ik[nucleo], $B75,
  desp.m.ik[variavel], $B$71,
  desp.m.ik[mes], "&gt;="&amp;L$1,
  desp.m.ik[mes], "&lt;"&amp;EOMONTH(L$1,0)+1
)</f>
        <v>0</v>
      </c>
      <c r="M75" s="186">
        <f ca="1">-SUMIFS(
  desp.m.ik[valor],
  desp.m.ik[nucleo], $B75,
  desp.m.ik[variavel], $B$71,
  desp.m.ik[mes], "&gt;="&amp;M$1,
  desp.m.ik[mes], "&lt;"&amp;EOMONTH(M$1,0)+1
)</f>
        <v>0</v>
      </c>
      <c r="N75" s="186">
        <f ca="1">-SUMIFS(
  desp.m.ik[valor],
  desp.m.ik[nucleo], $B75,
  desp.m.ik[variavel], $B$71,
  desp.m.ik[mes], "&gt;="&amp;N$1,
  desp.m.ik[mes], "&lt;"&amp;EOMONTH(N$1,0)+1
)</f>
        <v>0</v>
      </c>
      <c r="O75" s="186">
        <f ca="1">-SUMIFS(
  desp.m.ik[valor],
  desp.m.ik[nucleo], $B75,
  desp.m.ik[variavel], $B$71,
  desp.m.ik[mes], "&gt;="&amp;O$1,
  desp.m.ik[mes], "&lt;"&amp;EOMONTH(O$1,0)+1
)</f>
        <v>0</v>
      </c>
      <c r="P75" s="186">
        <f ca="1">-SUMIFS(
  desp.m.ik[valor],
  desp.m.ik[nucleo], $B75,
  desp.m.ik[variavel], $B$71,
  desp.m.ik[mes], "&gt;="&amp;P$1,
  desp.m.ik[mes], "&lt;"&amp;EOMONTH(P$1,0)+1
)</f>
        <v>0</v>
      </c>
      <c r="Q75" s="186">
        <f ca="1">-SUMIFS(
  desp.m.ik[valor],
  desp.m.ik[nucleo], $B75,
  desp.m.ik[variavel], $B$71,
  desp.m.ik[mes], "&gt;="&amp;Q$1,
  desp.m.ik[mes], "&lt;"&amp;EOMONTH(Q$1,0)+1
)</f>
        <v>0</v>
      </c>
      <c r="R75" s="186">
        <f ca="1">-SUMIFS(
  desp.m.ik[valor],
  desp.m.ik[nucleo], $B75,
  desp.m.ik[variavel], $B$71,
  desp.m.ik[mes], "&gt;="&amp;R$1,
  desp.m.ik[mes], "&lt;"&amp;EOMONTH(R$1,0)+1
)</f>
        <v>0</v>
      </c>
      <c r="S75" s="186">
        <f ca="1">-SUMIFS(
  desp.m.ik[valor],
  desp.m.ik[nucleo], $B75,
  desp.m.ik[variavel], $B$71,
  desp.m.ik[mes], "&gt;="&amp;S$1,
  desp.m.ik[mes], "&lt;"&amp;EOMONTH(S$1,0)+1
)</f>
        <v>0</v>
      </c>
      <c r="T75" s="186">
        <f ca="1">-SUMIFS(
  desp.m.ik[valor],
  desp.m.ik[nucleo], $B75,
  desp.m.ik[variavel], $B$71,
  desp.m.ik[mes], "&gt;="&amp;T$1,
  desp.m.ik[mes], "&lt;"&amp;EOMONTH(T$1,0)+1
)</f>
        <v>0</v>
      </c>
      <c r="U75" s="186">
        <f ca="1">-SUMIFS(
  desp.m.ik[valor],
  desp.m.ik[nucleo], $B75,
  desp.m.ik[variavel], $B$71,
  desp.m.ik[mes], "&gt;="&amp;U$1,
  desp.m.ik[mes], "&lt;"&amp;EOMONTH(U$1,0)+1
)</f>
        <v>0</v>
      </c>
      <c r="V75" s="186">
        <f ca="1">-SUMIFS(
  desp.m.ik[valor],
  desp.m.ik[nucleo], $B75,
  desp.m.ik[variavel], $B$71,
  desp.m.ik[mes], "&gt;="&amp;V$1,
  desp.m.ik[mes], "&lt;"&amp;EOMONTH(V$1,0)+1
)</f>
        <v>0</v>
      </c>
      <c r="W75" s="186">
        <f ca="1">-SUMIFS(
  desp.m.ik[valor],
  desp.m.ik[nucleo], $B75,
  desp.m.ik[variavel], $B$71,
  desp.m.ik[mes], "&gt;="&amp;W$1,
  desp.m.ik[mes], "&lt;"&amp;EOMONTH(W$1,0)+1
)</f>
        <v>0</v>
      </c>
      <c r="X75" s="186">
        <f ca="1">-SUMIFS(
  desp.m.ik[valor],
  desp.m.ik[nucleo], $B75,
  desp.m.ik[variavel], $B$71,
  desp.m.ik[mes], "&gt;="&amp;X$1,
  desp.m.ik[mes], "&lt;"&amp;EOMONTH(X$1,0)+1
)</f>
        <v>0</v>
      </c>
      <c r="Y75" s="186">
        <f ca="1">-SUMIFS(
  desp.m.ik[valor],
  desp.m.ik[nucleo], $B75,
  desp.m.ik[variavel], $B$71,
  desp.m.ik[mes], "&gt;="&amp;Y$1,
  desp.m.ik[mes], "&lt;"&amp;EOMONTH(Y$1,0)+1
)</f>
        <v>0</v>
      </c>
      <c r="Z75" s="186">
        <f ca="1">-SUMIFS(
  desp.m.ik[valor],
  desp.m.ik[nucleo], $B75,
  desp.m.ik[variavel], $B$71,
  desp.m.ik[mes], "&gt;="&amp;Z$1,
  desp.m.ik[mes], "&lt;"&amp;EOMONTH(Z$1,0)+1
)</f>
        <v>0</v>
      </c>
      <c r="AA75" s="186">
        <f ca="1">-SUMIFS(
  desp.m.ik[valor],
  desp.m.ik[nucleo], $B75,
  desp.m.ik[variavel], $B$71,
  desp.m.ik[mes], "&gt;="&amp;AA$1,
  desp.m.ik[mes], "&lt;"&amp;EOMONTH(AA$1,0)+1
)</f>
        <v>0</v>
      </c>
      <c r="AC75" s="178">
        <f t="shared" ca="1" si="17"/>
        <v>0</v>
      </c>
      <c r="AE75" s="178">
        <f t="shared" ca="1" si="19"/>
        <v>0</v>
      </c>
    </row>
    <row r="76" spans="1:31" hidden="1" outlineLevel="2" x14ac:dyDescent="0.25">
      <c r="A76" s="185" t="s">
        <v>1041</v>
      </c>
      <c r="B76" s="185" t="s">
        <v>1040</v>
      </c>
      <c r="C76" s="138" t="s">
        <v>514</v>
      </c>
      <c r="D76" s="186">
        <f ca="1">-SUMIFS(
  desp.m.ik[valor],
  desp.m.ik[nucleo], $B76,
  desp.m.ik[variavel], $B$71,
  desp.m.ik[mes], "&gt;="&amp;D$1,
  desp.m.ik[mes], "&lt;"&amp;EOMONTH(D$1,0)+1
)</f>
        <v>0</v>
      </c>
      <c r="E76" s="186">
        <f ca="1">-SUMIFS(
  desp.m.ik[valor],
  desp.m.ik[nucleo], $B76,
  desp.m.ik[variavel], $B$71,
  desp.m.ik[mes], "&gt;="&amp;E$1,
  desp.m.ik[mes], "&lt;"&amp;EOMONTH(E$1,0)+1
)</f>
        <v>0</v>
      </c>
      <c r="F76" s="186">
        <f ca="1">-SUMIFS(
  desp.m.ik[valor],
  desp.m.ik[nucleo], $B76,
  desp.m.ik[variavel], $B$71,
  desp.m.ik[mes], "&gt;="&amp;F$1,
  desp.m.ik[mes], "&lt;"&amp;EOMONTH(F$1,0)+1
)</f>
        <v>0</v>
      </c>
      <c r="G76" s="186">
        <f ca="1">-SUMIFS(
  desp.m.ik[valor],
  desp.m.ik[nucleo], $B76,
  desp.m.ik[variavel], $B$71,
  desp.m.ik[mes], "&gt;="&amp;G$1,
  desp.m.ik[mes], "&lt;"&amp;EOMONTH(G$1,0)+1
)</f>
        <v>0</v>
      </c>
      <c r="H76" s="186">
        <f ca="1">-SUMIFS(
  desp.m.ik[valor],
  desp.m.ik[nucleo], $B76,
  desp.m.ik[variavel], $B$71,
  desp.m.ik[mes], "&gt;="&amp;H$1,
  desp.m.ik[mes], "&lt;"&amp;EOMONTH(H$1,0)+1
)</f>
        <v>0</v>
      </c>
      <c r="I76" s="186">
        <f ca="1">-SUMIFS(
  desp.m.ik[valor],
  desp.m.ik[nucleo], $B76,
  desp.m.ik[variavel], $B$71,
  desp.m.ik[mes], "&gt;="&amp;I$1,
  desp.m.ik[mes], "&lt;"&amp;EOMONTH(I$1,0)+1
)</f>
        <v>0</v>
      </c>
      <c r="J76" s="186">
        <f ca="1">-SUMIFS(
  desp.m.ik[valor],
  desp.m.ik[nucleo], $B76,
  desp.m.ik[variavel], $B$71,
  desp.m.ik[mes], "&gt;="&amp;J$1,
  desp.m.ik[mes], "&lt;"&amp;EOMONTH(J$1,0)+1
)</f>
        <v>0</v>
      </c>
      <c r="K76" s="186">
        <f ca="1">-SUMIFS(
  desp.m.ik[valor],
  desp.m.ik[nucleo], $B76,
  desp.m.ik[variavel], $B$71,
  desp.m.ik[mes], "&gt;="&amp;K$1,
  desp.m.ik[mes], "&lt;"&amp;EOMONTH(K$1,0)+1
)</f>
        <v>0</v>
      </c>
      <c r="L76" s="186">
        <f ca="1">-SUMIFS(
  desp.m.ik[valor],
  desp.m.ik[nucleo], $B76,
  desp.m.ik[variavel], $B$71,
  desp.m.ik[mes], "&gt;="&amp;L$1,
  desp.m.ik[mes], "&lt;"&amp;EOMONTH(L$1,0)+1
)</f>
        <v>0</v>
      </c>
      <c r="M76" s="186">
        <f ca="1">-SUMIFS(
  desp.m.ik[valor],
  desp.m.ik[nucleo], $B76,
  desp.m.ik[variavel], $B$71,
  desp.m.ik[mes], "&gt;="&amp;M$1,
  desp.m.ik[mes], "&lt;"&amp;EOMONTH(M$1,0)+1
)</f>
        <v>0</v>
      </c>
      <c r="N76" s="186">
        <f ca="1">-SUMIFS(
  desp.m.ik[valor],
  desp.m.ik[nucleo], $B76,
  desp.m.ik[variavel], $B$71,
  desp.m.ik[mes], "&gt;="&amp;N$1,
  desp.m.ik[mes], "&lt;"&amp;EOMONTH(N$1,0)+1
)</f>
        <v>0</v>
      </c>
      <c r="O76" s="186">
        <f ca="1">-SUMIFS(
  desp.m.ik[valor],
  desp.m.ik[nucleo], $B76,
  desp.m.ik[variavel], $B$71,
  desp.m.ik[mes], "&gt;="&amp;O$1,
  desp.m.ik[mes], "&lt;"&amp;EOMONTH(O$1,0)+1
)</f>
        <v>0</v>
      </c>
      <c r="P76" s="186">
        <f ca="1">-SUMIFS(
  desp.m.ik[valor],
  desp.m.ik[nucleo], $B76,
  desp.m.ik[variavel], $B$71,
  desp.m.ik[mes], "&gt;="&amp;P$1,
  desp.m.ik[mes], "&lt;"&amp;EOMONTH(P$1,0)+1
)</f>
        <v>0</v>
      </c>
      <c r="Q76" s="186">
        <f ca="1">-SUMIFS(
  desp.m.ik[valor],
  desp.m.ik[nucleo], $B76,
  desp.m.ik[variavel], $B$71,
  desp.m.ik[mes], "&gt;="&amp;Q$1,
  desp.m.ik[mes], "&lt;"&amp;EOMONTH(Q$1,0)+1
)</f>
        <v>0</v>
      </c>
      <c r="R76" s="186">
        <f ca="1">-SUMIFS(
  desp.m.ik[valor],
  desp.m.ik[nucleo], $B76,
  desp.m.ik[variavel], $B$71,
  desp.m.ik[mes], "&gt;="&amp;R$1,
  desp.m.ik[mes], "&lt;"&amp;EOMONTH(R$1,0)+1
)</f>
        <v>0</v>
      </c>
      <c r="S76" s="186">
        <f ca="1">-SUMIFS(
  desp.m.ik[valor],
  desp.m.ik[nucleo], $B76,
  desp.m.ik[variavel], $B$71,
  desp.m.ik[mes], "&gt;="&amp;S$1,
  desp.m.ik[mes], "&lt;"&amp;EOMONTH(S$1,0)+1
)</f>
        <v>0</v>
      </c>
      <c r="T76" s="186">
        <f ca="1">-SUMIFS(
  desp.m.ik[valor],
  desp.m.ik[nucleo], $B76,
  desp.m.ik[variavel], $B$71,
  desp.m.ik[mes], "&gt;="&amp;T$1,
  desp.m.ik[mes], "&lt;"&amp;EOMONTH(T$1,0)+1
)</f>
        <v>0</v>
      </c>
      <c r="U76" s="186">
        <f ca="1">-SUMIFS(
  desp.m.ik[valor],
  desp.m.ik[nucleo], $B76,
  desp.m.ik[variavel], $B$71,
  desp.m.ik[mes], "&gt;="&amp;U$1,
  desp.m.ik[mes], "&lt;"&amp;EOMONTH(U$1,0)+1
)</f>
        <v>0</v>
      </c>
      <c r="V76" s="186">
        <f ca="1">-SUMIFS(
  desp.m.ik[valor],
  desp.m.ik[nucleo], $B76,
  desp.m.ik[variavel], $B$71,
  desp.m.ik[mes], "&gt;="&amp;V$1,
  desp.m.ik[mes], "&lt;"&amp;EOMONTH(V$1,0)+1
)</f>
        <v>0</v>
      </c>
      <c r="W76" s="186">
        <f ca="1">-SUMIFS(
  desp.m.ik[valor],
  desp.m.ik[nucleo], $B76,
  desp.m.ik[variavel], $B$71,
  desp.m.ik[mes], "&gt;="&amp;W$1,
  desp.m.ik[mes], "&lt;"&amp;EOMONTH(W$1,0)+1
)</f>
        <v>0</v>
      </c>
      <c r="X76" s="186">
        <f ca="1">-SUMIFS(
  desp.m.ik[valor],
  desp.m.ik[nucleo], $B76,
  desp.m.ik[variavel], $B$71,
  desp.m.ik[mes], "&gt;="&amp;X$1,
  desp.m.ik[mes], "&lt;"&amp;EOMONTH(X$1,0)+1
)</f>
        <v>0</v>
      </c>
      <c r="Y76" s="186">
        <f ca="1">-SUMIFS(
  desp.m.ik[valor],
  desp.m.ik[nucleo], $B76,
  desp.m.ik[variavel], $B$71,
  desp.m.ik[mes], "&gt;="&amp;Y$1,
  desp.m.ik[mes], "&lt;"&amp;EOMONTH(Y$1,0)+1
)</f>
        <v>0</v>
      </c>
      <c r="Z76" s="186">
        <f ca="1">-SUMIFS(
  desp.m.ik[valor],
  desp.m.ik[nucleo], $B76,
  desp.m.ik[variavel], $B$71,
  desp.m.ik[mes], "&gt;="&amp;Z$1,
  desp.m.ik[mes], "&lt;"&amp;EOMONTH(Z$1,0)+1
)</f>
        <v>0</v>
      </c>
      <c r="AA76" s="186">
        <f ca="1">-SUMIFS(
  desp.m.ik[valor],
  desp.m.ik[nucleo], $B76,
  desp.m.ik[variavel], $B$71,
  desp.m.ik[mes], "&gt;="&amp;AA$1,
  desp.m.ik[mes], "&lt;"&amp;EOMONTH(AA$1,0)+1
)</f>
        <v>0</v>
      </c>
      <c r="AC76" s="178">
        <f t="shared" ca="1" si="17"/>
        <v>0</v>
      </c>
      <c r="AE76" s="178">
        <f t="shared" ca="1" si="19"/>
        <v>0</v>
      </c>
    </row>
    <row r="77" spans="1:31" hidden="1" outlineLevel="2" x14ac:dyDescent="0.25">
      <c r="A77" s="185" t="s">
        <v>720</v>
      </c>
      <c r="B77" s="185" t="s">
        <v>531</v>
      </c>
      <c r="C77" s="138" t="s">
        <v>514</v>
      </c>
      <c r="D77" s="186">
        <f ca="1">-SUMIFS(
  desp.m.ik[valor],
  desp.m.ik[nucleo], $B77,
  desp.m.ik[variavel], $B$71,
  desp.m.ik[mes], "&gt;="&amp;D$1,
  desp.m.ik[mes], "&lt;"&amp;EOMONTH(D$1,0)+1
)</f>
        <v>0</v>
      </c>
      <c r="E77" s="186">
        <f ca="1">-SUMIFS(
  desp.m.ik[valor],
  desp.m.ik[nucleo], $B77,
  desp.m.ik[variavel], $B$71,
  desp.m.ik[mes], "&gt;="&amp;E$1,
  desp.m.ik[mes], "&lt;"&amp;EOMONTH(E$1,0)+1
)</f>
        <v>0</v>
      </c>
      <c r="F77" s="186">
        <f ca="1">-SUMIFS(
  desp.m.ik[valor],
  desp.m.ik[nucleo], $B77,
  desp.m.ik[variavel], $B$71,
  desp.m.ik[mes], "&gt;="&amp;F$1,
  desp.m.ik[mes], "&lt;"&amp;EOMONTH(F$1,0)+1
)</f>
        <v>0</v>
      </c>
      <c r="G77" s="186">
        <f ca="1">-SUMIFS(
  desp.m.ik[valor],
  desp.m.ik[nucleo], $B77,
  desp.m.ik[variavel], $B$71,
  desp.m.ik[mes], "&gt;="&amp;G$1,
  desp.m.ik[mes], "&lt;"&amp;EOMONTH(G$1,0)+1
)</f>
        <v>0</v>
      </c>
      <c r="H77" s="186">
        <f ca="1">-SUMIFS(
  desp.m.ik[valor],
  desp.m.ik[nucleo], $B77,
  desp.m.ik[variavel], $B$71,
  desp.m.ik[mes], "&gt;="&amp;H$1,
  desp.m.ik[mes], "&lt;"&amp;EOMONTH(H$1,0)+1
)</f>
        <v>0</v>
      </c>
      <c r="I77" s="186">
        <f ca="1">-SUMIFS(
  desp.m.ik[valor],
  desp.m.ik[nucleo], $B77,
  desp.m.ik[variavel], $B$71,
  desp.m.ik[mes], "&gt;="&amp;I$1,
  desp.m.ik[mes], "&lt;"&amp;EOMONTH(I$1,0)+1
)</f>
        <v>0</v>
      </c>
      <c r="J77" s="186">
        <f ca="1">-SUMIFS(
  desp.m.ik[valor],
  desp.m.ik[nucleo], $B77,
  desp.m.ik[variavel], $B$71,
  desp.m.ik[mes], "&gt;="&amp;J$1,
  desp.m.ik[mes], "&lt;"&amp;EOMONTH(J$1,0)+1
)</f>
        <v>0</v>
      </c>
      <c r="K77" s="186">
        <f ca="1">-SUMIFS(
  desp.m.ik[valor],
  desp.m.ik[nucleo], $B77,
  desp.m.ik[variavel], $B$71,
  desp.m.ik[mes], "&gt;="&amp;K$1,
  desp.m.ik[mes], "&lt;"&amp;EOMONTH(K$1,0)+1
)</f>
        <v>0</v>
      </c>
      <c r="L77" s="186">
        <f ca="1">-SUMIFS(
  desp.m.ik[valor],
  desp.m.ik[nucleo], $B77,
  desp.m.ik[variavel], $B$71,
  desp.m.ik[mes], "&gt;="&amp;L$1,
  desp.m.ik[mes], "&lt;"&amp;EOMONTH(L$1,0)+1
)</f>
        <v>0</v>
      </c>
      <c r="M77" s="186">
        <f ca="1">-SUMIFS(
  desp.m.ik[valor],
  desp.m.ik[nucleo], $B77,
  desp.m.ik[variavel], $B$71,
  desp.m.ik[mes], "&gt;="&amp;M$1,
  desp.m.ik[mes], "&lt;"&amp;EOMONTH(M$1,0)+1
)</f>
        <v>0</v>
      </c>
      <c r="N77" s="186">
        <f ca="1">-SUMIFS(
  desp.m.ik[valor],
  desp.m.ik[nucleo], $B77,
  desp.m.ik[variavel], $B$71,
  desp.m.ik[mes], "&gt;="&amp;N$1,
  desp.m.ik[mes], "&lt;"&amp;EOMONTH(N$1,0)+1
)</f>
        <v>0</v>
      </c>
      <c r="O77" s="186">
        <f ca="1">-SUMIFS(
  desp.m.ik[valor],
  desp.m.ik[nucleo], $B77,
  desp.m.ik[variavel], $B$71,
  desp.m.ik[mes], "&gt;="&amp;O$1,
  desp.m.ik[mes], "&lt;"&amp;EOMONTH(O$1,0)+1
)</f>
        <v>0</v>
      </c>
      <c r="P77" s="186">
        <f ca="1">-SUMIFS(
  desp.m.ik[valor],
  desp.m.ik[nucleo], $B77,
  desp.m.ik[variavel], $B$71,
  desp.m.ik[mes], "&gt;="&amp;P$1,
  desp.m.ik[mes], "&lt;"&amp;EOMONTH(P$1,0)+1
)</f>
        <v>0</v>
      </c>
      <c r="Q77" s="186">
        <f ca="1">-SUMIFS(
  desp.m.ik[valor],
  desp.m.ik[nucleo], $B77,
  desp.m.ik[variavel], $B$71,
  desp.m.ik[mes], "&gt;="&amp;Q$1,
  desp.m.ik[mes], "&lt;"&amp;EOMONTH(Q$1,0)+1
)</f>
        <v>0</v>
      </c>
      <c r="R77" s="186">
        <f ca="1">-SUMIFS(
  desp.m.ik[valor],
  desp.m.ik[nucleo], $B77,
  desp.m.ik[variavel], $B$71,
  desp.m.ik[mes], "&gt;="&amp;R$1,
  desp.m.ik[mes], "&lt;"&amp;EOMONTH(R$1,0)+1
)</f>
        <v>0</v>
      </c>
      <c r="S77" s="186">
        <f ca="1">-SUMIFS(
  desp.m.ik[valor],
  desp.m.ik[nucleo], $B77,
  desp.m.ik[variavel], $B$71,
  desp.m.ik[mes], "&gt;="&amp;S$1,
  desp.m.ik[mes], "&lt;"&amp;EOMONTH(S$1,0)+1
)</f>
        <v>0</v>
      </c>
      <c r="T77" s="186">
        <f ca="1">-SUMIFS(
  desp.m.ik[valor],
  desp.m.ik[nucleo], $B77,
  desp.m.ik[variavel], $B$71,
  desp.m.ik[mes], "&gt;="&amp;T$1,
  desp.m.ik[mes], "&lt;"&amp;EOMONTH(T$1,0)+1
)</f>
        <v>0</v>
      </c>
      <c r="U77" s="186">
        <f ca="1">-SUMIFS(
  desp.m.ik[valor],
  desp.m.ik[nucleo], $B77,
  desp.m.ik[variavel], $B$71,
  desp.m.ik[mes], "&gt;="&amp;U$1,
  desp.m.ik[mes], "&lt;"&amp;EOMONTH(U$1,0)+1
)</f>
        <v>0</v>
      </c>
      <c r="V77" s="186">
        <f ca="1">-SUMIFS(
  desp.m.ik[valor],
  desp.m.ik[nucleo], $B77,
  desp.m.ik[variavel], $B$71,
  desp.m.ik[mes], "&gt;="&amp;V$1,
  desp.m.ik[mes], "&lt;"&amp;EOMONTH(V$1,0)+1
)</f>
        <v>0</v>
      </c>
      <c r="W77" s="186">
        <f ca="1">-SUMIFS(
  desp.m.ik[valor],
  desp.m.ik[nucleo], $B77,
  desp.m.ik[variavel], $B$71,
  desp.m.ik[mes], "&gt;="&amp;W$1,
  desp.m.ik[mes], "&lt;"&amp;EOMONTH(W$1,0)+1
)</f>
        <v>0</v>
      </c>
      <c r="X77" s="186">
        <f ca="1">-SUMIFS(
  desp.m.ik[valor],
  desp.m.ik[nucleo], $B77,
  desp.m.ik[variavel], $B$71,
  desp.m.ik[mes], "&gt;="&amp;X$1,
  desp.m.ik[mes], "&lt;"&amp;EOMONTH(X$1,0)+1
)</f>
        <v>0</v>
      </c>
      <c r="Y77" s="186">
        <f ca="1">-SUMIFS(
  desp.m.ik[valor],
  desp.m.ik[nucleo], $B77,
  desp.m.ik[variavel], $B$71,
  desp.m.ik[mes], "&gt;="&amp;Y$1,
  desp.m.ik[mes], "&lt;"&amp;EOMONTH(Y$1,0)+1
)</f>
        <v>0</v>
      </c>
      <c r="Z77" s="186">
        <f ca="1">-SUMIFS(
  desp.m.ik[valor],
  desp.m.ik[nucleo], $B77,
  desp.m.ik[variavel], $B$71,
  desp.m.ik[mes], "&gt;="&amp;Z$1,
  desp.m.ik[mes], "&lt;"&amp;EOMONTH(Z$1,0)+1
)</f>
        <v>0</v>
      </c>
      <c r="AA77" s="186">
        <f ca="1">-SUMIFS(
  desp.m.ik[valor],
  desp.m.ik[nucleo], $B77,
  desp.m.ik[variavel], $B$71,
  desp.m.ik[mes], "&gt;="&amp;AA$1,
  desp.m.ik[mes], "&lt;"&amp;EOMONTH(AA$1,0)+1
)</f>
        <v>0</v>
      </c>
      <c r="AC77" s="178">
        <f t="shared" ca="1" si="17"/>
        <v>0</v>
      </c>
      <c r="AE77" s="178">
        <f t="shared" ca="1" si="19"/>
        <v>0</v>
      </c>
    </row>
    <row r="78" spans="1:31" hidden="1" outlineLevel="2" x14ac:dyDescent="0.25">
      <c r="A78" s="185" t="s">
        <v>952</v>
      </c>
      <c r="B78" s="185" t="s">
        <v>539</v>
      </c>
      <c r="C78" s="138" t="s">
        <v>514</v>
      </c>
      <c r="D78" s="186">
        <f ca="1">-SUMIFS(
  desp.m.ik[valor],
  desp.m.ik[nucleo], $B78,
  desp.m.ik[variavel], $B$71,
  desp.m.ik[mes], "&gt;="&amp;D$1,
  desp.m.ik[mes], "&lt;"&amp;EOMONTH(D$1,0)+1
)</f>
        <v>0</v>
      </c>
      <c r="E78" s="186">
        <f ca="1">-SUMIFS(
  desp.m.ik[valor],
  desp.m.ik[nucleo], $B78,
  desp.m.ik[variavel], $B$71,
  desp.m.ik[mes], "&gt;="&amp;E$1,
  desp.m.ik[mes], "&lt;"&amp;EOMONTH(E$1,0)+1
)</f>
        <v>0</v>
      </c>
      <c r="F78" s="186">
        <f ca="1">-SUMIFS(
  desp.m.ik[valor],
  desp.m.ik[nucleo], $B78,
  desp.m.ik[variavel], $B$71,
  desp.m.ik[mes], "&gt;="&amp;F$1,
  desp.m.ik[mes], "&lt;"&amp;EOMONTH(F$1,0)+1
)</f>
        <v>0</v>
      </c>
      <c r="G78" s="186">
        <f ca="1">-SUMIFS(
  desp.m.ik[valor],
  desp.m.ik[nucleo], $B78,
  desp.m.ik[variavel], $B$71,
  desp.m.ik[mes], "&gt;="&amp;G$1,
  desp.m.ik[mes], "&lt;"&amp;EOMONTH(G$1,0)+1
)</f>
        <v>0</v>
      </c>
      <c r="H78" s="186">
        <f ca="1">-SUMIFS(
  desp.m.ik[valor],
  desp.m.ik[nucleo], $B78,
  desp.m.ik[variavel], $B$71,
  desp.m.ik[mes], "&gt;="&amp;H$1,
  desp.m.ik[mes], "&lt;"&amp;EOMONTH(H$1,0)+1
)</f>
        <v>0</v>
      </c>
      <c r="I78" s="186">
        <f ca="1">-SUMIFS(
  desp.m.ik[valor],
  desp.m.ik[nucleo], $B78,
  desp.m.ik[variavel], $B$71,
  desp.m.ik[mes], "&gt;="&amp;I$1,
  desp.m.ik[mes], "&lt;"&amp;EOMONTH(I$1,0)+1
)</f>
        <v>0</v>
      </c>
      <c r="J78" s="186">
        <f ca="1">-SUMIFS(
  desp.m.ik[valor],
  desp.m.ik[nucleo], $B78,
  desp.m.ik[variavel], $B$71,
  desp.m.ik[mes], "&gt;="&amp;J$1,
  desp.m.ik[mes], "&lt;"&amp;EOMONTH(J$1,0)+1
)</f>
        <v>0</v>
      </c>
      <c r="K78" s="186">
        <f ca="1">-SUMIFS(
  desp.m.ik[valor],
  desp.m.ik[nucleo], $B78,
  desp.m.ik[variavel], $B$71,
  desp.m.ik[mes], "&gt;="&amp;K$1,
  desp.m.ik[mes], "&lt;"&amp;EOMONTH(K$1,0)+1
)</f>
        <v>0</v>
      </c>
      <c r="L78" s="186">
        <f ca="1">-SUMIFS(
  desp.m.ik[valor],
  desp.m.ik[nucleo], $B78,
  desp.m.ik[variavel], $B$71,
  desp.m.ik[mes], "&gt;="&amp;L$1,
  desp.m.ik[mes], "&lt;"&amp;EOMONTH(L$1,0)+1
)</f>
        <v>0</v>
      </c>
      <c r="M78" s="186">
        <f ca="1">-SUMIFS(
  desp.m.ik[valor],
  desp.m.ik[nucleo], $B78,
  desp.m.ik[variavel], $B$71,
  desp.m.ik[mes], "&gt;="&amp;M$1,
  desp.m.ik[mes], "&lt;"&amp;EOMONTH(M$1,0)+1
)</f>
        <v>0</v>
      </c>
      <c r="N78" s="186">
        <f ca="1">-SUMIFS(
  desp.m.ik[valor],
  desp.m.ik[nucleo], $B78,
  desp.m.ik[variavel], $B$71,
  desp.m.ik[mes], "&gt;="&amp;N$1,
  desp.m.ik[mes], "&lt;"&amp;EOMONTH(N$1,0)+1
)</f>
        <v>0</v>
      </c>
      <c r="O78" s="186">
        <f ca="1">-SUMIFS(
  desp.m.ik[valor],
  desp.m.ik[nucleo], $B78,
  desp.m.ik[variavel], $B$71,
  desp.m.ik[mes], "&gt;="&amp;O$1,
  desp.m.ik[mes], "&lt;"&amp;EOMONTH(O$1,0)+1
)</f>
        <v>0</v>
      </c>
      <c r="P78" s="186">
        <f ca="1">-SUMIFS(
  desp.m.ik[valor],
  desp.m.ik[nucleo], $B78,
  desp.m.ik[variavel], $B$71,
  desp.m.ik[mes], "&gt;="&amp;P$1,
  desp.m.ik[mes], "&lt;"&amp;EOMONTH(P$1,0)+1
)</f>
        <v>0</v>
      </c>
      <c r="Q78" s="186">
        <f ca="1">-SUMIFS(
  desp.m.ik[valor],
  desp.m.ik[nucleo], $B78,
  desp.m.ik[variavel], $B$71,
  desp.m.ik[mes], "&gt;="&amp;Q$1,
  desp.m.ik[mes], "&lt;"&amp;EOMONTH(Q$1,0)+1
)</f>
        <v>0</v>
      </c>
      <c r="R78" s="186">
        <f ca="1">-SUMIFS(
  desp.m.ik[valor],
  desp.m.ik[nucleo], $B78,
  desp.m.ik[variavel], $B$71,
  desp.m.ik[mes], "&gt;="&amp;R$1,
  desp.m.ik[mes], "&lt;"&amp;EOMONTH(R$1,0)+1
)</f>
        <v>0</v>
      </c>
      <c r="S78" s="186">
        <f ca="1">-SUMIFS(
  desp.m.ik[valor],
  desp.m.ik[nucleo], $B78,
  desp.m.ik[variavel], $B$71,
  desp.m.ik[mes], "&gt;="&amp;S$1,
  desp.m.ik[mes], "&lt;"&amp;EOMONTH(S$1,0)+1
)</f>
        <v>0</v>
      </c>
      <c r="T78" s="186">
        <f ca="1">-SUMIFS(
  desp.m.ik[valor],
  desp.m.ik[nucleo], $B78,
  desp.m.ik[variavel], $B$71,
  desp.m.ik[mes], "&gt;="&amp;T$1,
  desp.m.ik[mes], "&lt;"&amp;EOMONTH(T$1,0)+1
)</f>
        <v>0</v>
      </c>
      <c r="U78" s="186">
        <f ca="1">-SUMIFS(
  desp.m.ik[valor],
  desp.m.ik[nucleo], $B78,
  desp.m.ik[variavel], $B$71,
  desp.m.ik[mes], "&gt;="&amp;U$1,
  desp.m.ik[mes], "&lt;"&amp;EOMONTH(U$1,0)+1
)</f>
        <v>0</v>
      </c>
      <c r="V78" s="186">
        <f ca="1">-SUMIFS(
  desp.m.ik[valor],
  desp.m.ik[nucleo], $B78,
  desp.m.ik[variavel], $B$71,
  desp.m.ik[mes], "&gt;="&amp;V$1,
  desp.m.ik[mes], "&lt;"&amp;EOMONTH(V$1,0)+1
)</f>
        <v>0</v>
      </c>
      <c r="W78" s="186">
        <f ca="1">-SUMIFS(
  desp.m.ik[valor],
  desp.m.ik[nucleo], $B78,
  desp.m.ik[variavel], $B$71,
  desp.m.ik[mes], "&gt;="&amp;W$1,
  desp.m.ik[mes], "&lt;"&amp;EOMONTH(W$1,0)+1
)</f>
        <v>0</v>
      </c>
      <c r="X78" s="186">
        <f ca="1">-SUMIFS(
  desp.m.ik[valor],
  desp.m.ik[nucleo], $B78,
  desp.m.ik[variavel], $B$71,
  desp.m.ik[mes], "&gt;="&amp;X$1,
  desp.m.ik[mes], "&lt;"&amp;EOMONTH(X$1,0)+1
)</f>
        <v>0</v>
      </c>
      <c r="Y78" s="186">
        <f ca="1">-SUMIFS(
  desp.m.ik[valor],
  desp.m.ik[nucleo], $B78,
  desp.m.ik[variavel], $B$71,
  desp.m.ik[mes], "&gt;="&amp;Y$1,
  desp.m.ik[mes], "&lt;"&amp;EOMONTH(Y$1,0)+1
)</f>
        <v>0</v>
      </c>
      <c r="Z78" s="186">
        <f ca="1">-SUMIFS(
  desp.m.ik[valor],
  desp.m.ik[nucleo], $B78,
  desp.m.ik[variavel], $B$71,
  desp.m.ik[mes], "&gt;="&amp;Z$1,
  desp.m.ik[mes], "&lt;"&amp;EOMONTH(Z$1,0)+1
)</f>
        <v>0</v>
      </c>
      <c r="AA78" s="186">
        <f ca="1">-SUMIFS(
  desp.m.ik[valor],
  desp.m.ik[nucleo], $B78,
  desp.m.ik[variavel], $B$71,
  desp.m.ik[mes], "&gt;="&amp;AA$1,
  desp.m.ik[mes], "&lt;"&amp;EOMONTH(AA$1,0)+1
)</f>
        <v>0</v>
      </c>
      <c r="AC78" s="178">
        <f t="shared" ca="1" si="17"/>
        <v>0</v>
      </c>
      <c r="AE78" s="178">
        <f t="shared" ca="1" si="19"/>
        <v>0</v>
      </c>
    </row>
    <row r="79" spans="1:31" hidden="1" outlineLevel="2" x14ac:dyDescent="0.25">
      <c r="A79" s="185" t="s">
        <v>953</v>
      </c>
      <c r="B79" s="185" t="s">
        <v>535</v>
      </c>
      <c r="C79" s="138" t="s">
        <v>514</v>
      </c>
      <c r="D79" s="186">
        <f ca="1">-SUMIFS(
  desp.m.ik[valor],
  desp.m.ik[nucleo], $B79,
  desp.m.ik[variavel], $B$71,
  desp.m.ik[mes], "&gt;="&amp;D$1,
  desp.m.ik[mes], "&lt;"&amp;EOMONTH(D$1,0)+1
)</f>
        <v>0</v>
      </c>
      <c r="E79" s="186">
        <f ca="1">-SUMIFS(
  desp.m.ik[valor],
  desp.m.ik[nucleo], $B79,
  desp.m.ik[variavel], $B$71,
  desp.m.ik[mes], "&gt;="&amp;E$1,
  desp.m.ik[mes], "&lt;"&amp;EOMONTH(E$1,0)+1
)</f>
        <v>0</v>
      </c>
      <c r="F79" s="186">
        <f ca="1">-SUMIFS(
  desp.m.ik[valor],
  desp.m.ik[nucleo], $B79,
  desp.m.ik[variavel], $B$71,
  desp.m.ik[mes], "&gt;="&amp;F$1,
  desp.m.ik[mes], "&lt;"&amp;EOMONTH(F$1,0)+1
)</f>
        <v>0</v>
      </c>
      <c r="G79" s="186">
        <f ca="1">-SUMIFS(
  desp.m.ik[valor],
  desp.m.ik[nucleo], $B79,
  desp.m.ik[variavel], $B$71,
  desp.m.ik[mes], "&gt;="&amp;G$1,
  desp.m.ik[mes], "&lt;"&amp;EOMONTH(G$1,0)+1
)</f>
        <v>0</v>
      </c>
      <c r="H79" s="186">
        <f ca="1">-SUMIFS(
  desp.m.ik[valor],
  desp.m.ik[nucleo], $B79,
  desp.m.ik[variavel], $B$71,
  desp.m.ik[mes], "&gt;="&amp;H$1,
  desp.m.ik[mes], "&lt;"&amp;EOMONTH(H$1,0)+1
)</f>
        <v>0</v>
      </c>
      <c r="I79" s="186">
        <f ca="1">-SUMIFS(
  desp.m.ik[valor],
  desp.m.ik[nucleo], $B79,
  desp.m.ik[variavel], $B$71,
  desp.m.ik[mes], "&gt;="&amp;I$1,
  desp.m.ik[mes], "&lt;"&amp;EOMONTH(I$1,0)+1
)</f>
        <v>0</v>
      </c>
      <c r="J79" s="186">
        <f ca="1">-SUMIFS(
  desp.m.ik[valor],
  desp.m.ik[nucleo], $B79,
  desp.m.ik[variavel], $B$71,
  desp.m.ik[mes], "&gt;="&amp;J$1,
  desp.m.ik[mes], "&lt;"&amp;EOMONTH(J$1,0)+1
)</f>
        <v>0</v>
      </c>
      <c r="K79" s="186">
        <f ca="1">-SUMIFS(
  desp.m.ik[valor],
  desp.m.ik[nucleo], $B79,
  desp.m.ik[variavel], $B$71,
  desp.m.ik[mes], "&gt;="&amp;K$1,
  desp.m.ik[mes], "&lt;"&amp;EOMONTH(K$1,0)+1
)</f>
        <v>0</v>
      </c>
      <c r="L79" s="186">
        <f ca="1">-SUMIFS(
  desp.m.ik[valor],
  desp.m.ik[nucleo], $B79,
  desp.m.ik[variavel], $B$71,
  desp.m.ik[mes], "&gt;="&amp;L$1,
  desp.m.ik[mes], "&lt;"&amp;EOMONTH(L$1,0)+1
)</f>
        <v>0</v>
      </c>
      <c r="M79" s="186">
        <f ca="1">-SUMIFS(
  desp.m.ik[valor],
  desp.m.ik[nucleo], $B79,
  desp.m.ik[variavel], $B$71,
  desp.m.ik[mes], "&gt;="&amp;M$1,
  desp.m.ik[mes], "&lt;"&amp;EOMONTH(M$1,0)+1
)</f>
        <v>0</v>
      </c>
      <c r="N79" s="186">
        <f ca="1">-SUMIFS(
  desp.m.ik[valor],
  desp.m.ik[nucleo], $B79,
  desp.m.ik[variavel], $B$71,
  desp.m.ik[mes], "&gt;="&amp;N$1,
  desp.m.ik[mes], "&lt;"&amp;EOMONTH(N$1,0)+1
)</f>
        <v>0</v>
      </c>
      <c r="O79" s="186">
        <f ca="1">-SUMIFS(
  desp.m.ik[valor],
  desp.m.ik[nucleo], $B79,
  desp.m.ik[variavel], $B$71,
  desp.m.ik[mes], "&gt;="&amp;O$1,
  desp.m.ik[mes], "&lt;"&amp;EOMONTH(O$1,0)+1
)</f>
        <v>0</v>
      </c>
      <c r="P79" s="186">
        <f ca="1">-SUMIFS(
  desp.m.ik[valor],
  desp.m.ik[nucleo], $B79,
  desp.m.ik[variavel], $B$71,
  desp.m.ik[mes], "&gt;="&amp;P$1,
  desp.m.ik[mes], "&lt;"&amp;EOMONTH(P$1,0)+1
)</f>
        <v>0</v>
      </c>
      <c r="Q79" s="186">
        <f ca="1">-SUMIFS(
  desp.m.ik[valor],
  desp.m.ik[nucleo], $B79,
  desp.m.ik[variavel], $B$71,
  desp.m.ik[mes], "&gt;="&amp;Q$1,
  desp.m.ik[mes], "&lt;"&amp;EOMONTH(Q$1,0)+1
)</f>
        <v>0</v>
      </c>
      <c r="R79" s="186">
        <f ca="1">-SUMIFS(
  desp.m.ik[valor],
  desp.m.ik[nucleo], $B79,
  desp.m.ik[variavel], $B$71,
  desp.m.ik[mes], "&gt;="&amp;R$1,
  desp.m.ik[mes], "&lt;"&amp;EOMONTH(R$1,0)+1
)</f>
        <v>0</v>
      </c>
      <c r="S79" s="186">
        <f ca="1">-SUMIFS(
  desp.m.ik[valor],
  desp.m.ik[nucleo], $B79,
  desp.m.ik[variavel], $B$71,
  desp.m.ik[mes], "&gt;="&amp;S$1,
  desp.m.ik[mes], "&lt;"&amp;EOMONTH(S$1,0)+1
)</f>
        <v>0</v>
      </c>
      <c r="T79" s="186">
        <f ca="1">-SUMIFS(
  desp.m.ik[valor],
  desp.m.ik[nucleo], $B79,
  desp.m.ik[variavel], $B$71,
  desp.m.ik[mes], "&gt;="&amp;T$1,
  desp.m.ik[mes], "&lt;"&amp;EOMONTH(T$1,0)+1
)</f>
        <v>0</v>
      </c>
      <c r="U79" s="186">
        <f ca="1">-SUMIFS(
  desp.m.ik[valor],
  desp.m.ik[nucleo], $B79,
  desp.m.ik[variavel], $B$71,
  desp.m.ik[mes], "&gt;="&amp;U$1,
  desp.m.ik[mes], "&lt;"&amp;EOMONTH(U$1,0)+1
)</f>
        <v>0</v>
      </c>
      <c r="V79" s="186">
        <f ca="1">-SUMIFS(
  desp.m.ik[valor],
  desp.m.ik[nucleo], $B79,
  desp.m.ik[variavel], $B$71,
  desp.m.ik[mes], "&gt;="&amp;V$1,
  desp.m.ik[mes], "&lt;"&amp;EOMONTH(V$1,0)+1
)</f>
        <v>0</v>
      </c>
      <c r="W79" s="186">
        <f ca="1">-SUMIFS(
  desp.m.ik[valor],
  desp.m.ik[nucleo], $B79,
  desp.m.ik[variavel], $B$71,
  desp.m.ik[mes], "&gt;="&amp;W$1,
  desp.m.ik[mes], "&lt;"&amp;EOMONTH(W$1,0)+1
)</f>
        <v>0</v>
      </c>
      <c r="X79" s="186">
        <f ca="1">-SUMIFS(
  desp.m.ik[valor],
  desp.m.ik[nucleo], $B79,
  desp.m.ik[variavel], $B$71,
  desp.m.ik[mes], "&gt;="&amp;X$1,
  desp.m.ik[mes], "&lt;"&amp;EOMONTH(X$1,0)+1
)</f>
        <v>0</v>
      </c>
      <c r="Y79" s="186">
        <f ca="1">-SUMIFS(
  desp.m.ik[valor],
  desp.m.ik[nucleo], $B79,
  desp.m.ik[variavel], $B$71,
  desp.m.ik[mes], "&gt;="&amp;Y$1,
  desp.m.ik[mes], "&lt;"&amp;EOMONTH(Y$1,0)+1
)</f>
        <v>0</v>
      </c>
      <c r="Z79" s="186">
        <f ca="1">-SUMIFS(
  desp.m.ik[valor],
  desp.m.ik[nucleo], $B79,
  desp.m.ik[variavel], $B$71,
  desp.m.ik[mes], "&gt;="&amp;Z$1,
  desp.m.ik[mes], "&lt;"&amp;EOMONTH(Z$1,0)+1
)</f>
        <v>0</v>
      </c>
      <c r="AA79" s="186">
        <f ca="1">-SUMIFS(
  desp.m.ik[valor],
  desp.m.ik[nucleo], $B79,
  desp.m.ik[variavel], $B$71,
  desp.m.ik[mes], "&gt;="&amp;AA$1,
  desp.m.ik[mes], "&lt;"&amp;EOMONTH(AA$1,0)+1
)</f>
        <v>0</v>
      </c>
      <c r="AC79" s="178">
        <f t="shared" ca="1" si="17"/>
        <v>0</v>
      </c>
      <c r="AE79" s="178">
        <f t="shared" ca="1" si="19"/>
        <v>0</v>
      </c>
    </row>
    <row r="80" spans="1:31" hidden="1" outlineLevel="1" x14ac:dyDescent="0.25">
      <c r="A80" s="182" t="s">
        <v>560</v>
      </c>
      <c r="B80" s="182" t="s">
        <v>374</v>
      </c>
      <c r="C80" s="183" t="s">
        <v>514</v>
      </c>
      <c r="D80" s="184">
        <f t="shared" ref="D80:AA80" ca="1" si="20">SUM(D$81:D$84)</f>
        <v>0</v>
      </c>
      <c r="E80" s="184">
        <f t="shared" ca="1" si="20"/>
        <v>0</v>
      </c>
      <c r="F80" s="184">
        <f t="shared" ca="1" si="20"/>
        <v>0</v>
      </c>
      <c r="G80" s="184">
        <f t="shared" ca="1" si="20"/>
        <v>0</v>
      </c>
      <c r="H80" s="184">
        <f t="shared" ca="1" si="20"/>
        <v>0</v>
      </c>
      <c r="I80" s="184">
        <f t="shared" ca="1" si="20"/>
        <v>0</v>
      </c>
      <c r="J80" s="184">
        <f t="shared" ca="1" si="20"/>
        <v>0</v>
      </c>
      <c r="K80" s="184">
        <f t="shared" ca="1" si="20"/>
        <v>0</v>
      </c>
      <c r="L80" s="184">
        <f t="shared" ca="1" si="20"/>
        <v>0</v>
      </c>
      <c r="M80" s="184">
        <f t="shared" ca="1" si="20"/>
        <v>0</v>
      </c>
      <c r="N80" s="184">
        <f t="shared" ca="1" si="20"/>
        <v>0</v>
      </c>
      <c r="O80" s="184">
        <f t="shared" ca="1" si="20"/>
        <v>0</v>
      </c>
      <c r="P80" s="184">
        <f t="shared" ca="1" si="20"/>
        <v>0</v>
      </c>
      <c r="Q80" s="184">
        <f t="shared" ca="1" si="20"/>
        <v>0</v>
      </c>
      <c r="R80" s="184">
        <f t="shared" ca="1" si="20"/>
        <v>0</v>
      </c>
      <c r="S80" s="184">
        <f t="shared" ca="1" si="20"/>
        <v>0</v>
      </c>
      <c r="T80" s="184">
        <f t="shared" ca="1" si="20"/>
        <v>0</v>
      </c>
      <c r="U80" s="184">
        <f t="shared" ca="1" si="20"/>
        <v>0</v>
      </c>
      <c r="V80" s="184">
        <f t="shared" ca="1" si="20"/>
        <v>0</v>
      </c>
      <c r="W80" s="184">
        <f t="shared" ca="1" si="20"/>
        <v>0</v>
      </c>
      <c r="X80" s="184">
        <f t="shared" ca="1" si="20"/>
        <v>0</v>
      </c>
      <c r="Y80" s="184">
        <f t="shared" ca="1" si="20"/>
        <v>0</v>
      </c>
      <c r="Z80" s="184">
        <f t="shared" ca="1" si="20"/>
        <v>0</v>
      </c>
      <c r="AA80" s="184">
        <f t="shared" ca="1" si="20"/>
        <v>0</v>
      </c>
      <c r="AC80" s="280">
        <f t="shared" ca="1" si="17"/>
        <v>0</v>
      </c>
      <c r="AE80" s="280">
        <f ca="1">SUM(D80:AA80)</f>
        <v>0</v>
      </c>
    </row>
    <row r="81" spans="1:31" hidden="1" outlineLevel="2" x14ac:dyDescent="0.25">
      <c r="A81" s="185" t="s">
        <v>1190</v>
      </c>
      <c r="B81" s="185" t="s">
        <v>537</v>
      </c>
      <c r="C81" s="138" t="s">
        <v>514</v>
      </c>
      <c r="D81" s="186">
        <f ca="1">-SUMIFS(
  desp.m.ik[valor],
  desp.m.ik[nucleo], $B81,
  desp.m.ik[variavel], $B$80,
  desp.m.ik[mes], "&gt;="&amp;D$1,
  desp.m.ik[mes], "&lt;"&amp;EOMONTH(D$1,0)+1
)</f>
        <v>0</v>
      </c>
      <c r="E81" s="186">
        <f ca="1">-SUMIFS(
  desp.m.ik[valor],
  desp.m.ik[nucleo], $B81,
  desp.m.ik[variavel], $B$80,
  desp.m.ik[mes], "&gt;="&amp;E$1,
  desp.m.ik[mes], "&lt;"&amp;EOMONTH(E$1,0)+1
)</f>
        <v>0</v>
      </c>
      <c r="F81" s="186">
        <f ca="1">-SUMIFS(
  desp.m.ik[valor],
  desp.m.ik[nucleo], $B81,
  desp.m.ik[variavel], $B$80,
  desp.m.ik[mes], "&gt;="&amp;F$1,
  desp.m.ik[mes], "&lt;"&amp;EOMONTH(F$1,0)+1
)</f>
        <v>0</v>
      </c>
      <c r="G81" s="186">
        <f ca="1">-SUMIFS(
  desp.m.ik[valor],
  desp.m.ik[nucleo], $B81,
  desp.m.ik[variavel], $B$80,
  desp.m.ik[mes], "&gt;="&amp;G$1,
  desp.m.ik[mes], "&lt;"&amp;EOMONTH(G$1,0)+1
)</f>
        <v>0</v>
      </c>
      <c r="H81" s="186">
        <f ca="1">-SUMIFS(
  desp.m.ik[valor],
  desp.m.ik[nucleo], $B81,
  desp.m.ik[variavel], $B$80,
  desp.m.ik[mes], "&gt;="&amp;H$1,
  desp.m.ik[mes], "&lt;"&amp;EOMONTH(H$1,0)+1
)</f>
        <v>0</v>
      </c>
      <c r="I81" s="186">
        <f ca="1">-SUMIFS(
  desp.m.ik[valor],
  desp.m.ik[nucleo], $B81,
  desp.m.ik[variavel], $B$80,
  desp.m.ik[mes], "&gt;="&amp;I$1,
  desp.m.ik[mes], "&lt;"&amp;EOMONTH(I$1,0)+1
)</f>
        <v>0</v>
      </c>
      <c r="J81" s="186">
        <f ca="1">-SUMIFS(
  desp.m.ik[valor],
  desp.m.ik[nucleo], $B81,
  desp.m.ik[variavel], $B$80,
  desp.m.ik[mes], "&gt;="&amp;J$1,
  desp.m.ik[mes], "&lt;"&amp;EOMONTH(J$1,0)+1
)</f>
        <v>0</v>
      </c>
      <c r="K81" s="186">
        <f ca="1">-SUMIFS(
  desp.m.ik[valor],
  desp.m.ik[nucleo], $B81,
  desp.m.ik[variavel], $B$80,
  desp.m.ik[mes], "&gt;="&amp;K$1,
  desp.m.ik[mes], "&lt;"&amp;EOMONTH(K$1,0)+1
)</f>
        <v>0</v>
      </c>
      <c r="L81" s="186">
        <f ca="1">-SUMIFS(
  desp.m.ik[valor],
  desp.m.ik[nucleo], $B81,
  desp.m.ik[variavel], $B$80,
  desp.m.ik[mes], "&gt;="&amp;L$1,
  desp.m.ik[mes], "&lt;"&amp;EOMONTH(L$1,0)+1
)</f>
        <v>0</v>
      </c>
      <c r="M81" s="186">
        <f ca="1">-SUMIFS(
  desp.m.ik[valor],
  desp.m.ik[nucleo], $B81,
  desp.m.ik[variavel], $B$80,
  desp.m.ik[mes], "&gt;="&amp;M$1,
  desp.m.ik[mes], "&lt;"&amp;EOMONTH(M$1,0)+1
)</f>
        <v>0</v>
      </c>
      <c r="N81" s="186">
        <f ca="1">-SUMIFS(
  desp.m.ik[valor],
  desp.m.ik[nucleo], $B81,
  desp.m.ik[variavel], $B$80,
  desp.m.ik[mes], "&gt;="&amp;N$1,
  desp.m.ik[mes], "&lt;"&amp;EOMONTH(N$1,0)+1
)</f>
        <v>0</v>
      </c>
      <c r="O81" s="186">
        <f ca="1">-SUMIFS(
  desp.m.ik[valor],
  desp.m.ik[nucleo], $B81,
  desp.m.ik[variavel], $B$80,
  desp.m.ik[mes], "&gt;="&amp;O$1,
  desp.m.ik[mes], "&lt;"&amp;EOMONTH(O$1,0)+1
)</f>
        <v>0</v>
      </c>
      <c r="P81" s="186">
        <f ca="1">-SUMIFS(
  desp.m.ik[valor],
  desp.m.ik[nucleo], $B81,
  desp.m.ik[variavel], $B$80,
  desp.m.ik[mes], "&gt;="&amp;P$1,
  desp.m.ik[mes], "&lt;"&amp;EOMONTH(P$1,0)+1
)</f>
        <v>0</v>
      </c>
      <c r="Q81" s="186">
        <f ca="1">-SUMIFS(
  desp.m.ik[valor],
  desp.m.ik[nucleo], $B81,
  desp.m.ik[variavel], $B$80,
  desp.m.ik[mes], "&gt;="&amp;Q$1,
  desp.m.ik[mes], "&lt;"&amp;EOMONTH(Q$1,0)+1
)</f>
        <v>0</v>
      </c>
      <c r="R81" s="186">
        <f ca="1">-SUMIFS(
  desp.m.ik[valor],
  desp.m.ik[nucleo], $B81,
  desp.m.ik[variavel], $B$80,
  desp.m.ik[mes], "&gt;="&amp;R$1,
  desp.m.ik[mes], "&lt;"&amp;EOMONTH(R$1,0)+1
)</f>
        <v>0</v>
      </c>
      <c r="S81" s="186">
        <f ca="1">-SUMIFS(
  desp.m.ik[valor],
  desp.m.ik[nucleo], $B81,
  desp.m.ik[variavel], $B$80,
  desp.m.ik[mes], "&gt;="&amp;S$1,
  desp.m.ik[mes], "&lt;"&amp;EOMONTH(S$1,0)+1
)</f>
        <v>0</v>
      </c>
      <c r="T81" s="186">
        <f ca="1">-SUMIFS(
  desp.m.ik[valor],
  desp.m.ik[nucleo], $B81,
  desp.m.ik[variavel], $B$80,
  desp.m.ik[mes], "&gt;="&amp;T$1,
  desp.m.ik[mes], "&lt;"&amp;EOMONTH(T$1,0)+1
)</f>
        <v>0</v>
      </c>
      <c r="U81" s="186">
        <f ca="1">-SUMIFS(
  desp.m.ik[valor],
  desp.m.ik[nucleo], $B81,
  desp.m.ik[variavel], $B$80,
  desp.m.ik[mes], "&gt;="&amp;U$1,
  desp.m.ik[mes], "&lt;"&amp;EOMONTH(U$1,0)+1
)</f>
        <v>0</v>
      </c>
      <c r="V81" s="186">
        <f ca="1">-SUMIFS(
  desp.m.ik[valor],
  desp.m.ik[nucleo], $B81,
  desp.m.ik[variavel], $B$80,
  desp.m.ik[mes], "&gt;="&amp;V$1,
  desp.m.ik[mes], "&lt;"&amp;EOMONTH(V$1,0)+1
)</f>
        <v>0</v>
      </c>
      <c r="W81" s="186">
        <f ca="1">-SUMIFS(
  desp.m.ik[valor],
  desp.m.ik[nucleo], $B81,
  desp.m.ik[variavel], $B$80,
  desp.m.ik[mes], "&gt;="&amp;W$1,
  desp.m.ik[mes], "&lt;"&amp;EOMONTH(W$1,0)+1
)</f>
        <v>0</v>
      </c>
      <c r="X81" s="186">
        <f ca="1">-SUMIFS(
  desp.m.ik[valor],
  desp.m.ik[nucleo], $B81,
  desp.m.ik[variavel], $B$80,
  desp.m.ik[mes], "&gt;="&amp;X$1,
  desp.m.ik[mes], "&lt;"&amp;EOMONTH(X$1,0)+1
)</f>
        <v>0</v>
      </c>
      <c r="Y81" s="186">
        <f ca="1">-SUMIFS(
  desp.m.ik[valor],
  desp.m.ik[nucleo], $B81,
  desp.m.ik[variavel], $B$80,
  desp.m.ik[mes], "&gt;="&amp;Y$1,
  desp.m.ik[mes], "&lt;"&amp;EOMONTH(Y$1,0)+1
)</f>
        <v>0</v>
      </c>
      <c r="Z81" s="186">
        <f ca="1">-SUMIFS(
  desp.m.ik[valor],
  desp.m.ik[nucleo], $B81,
  desp.m.ik[variavel], $B$80,
  desp.m.ik[mes], "&gt;="&amp;Z$1,
  desp.m.ik[mes], "&lt;"&amp;EOMONTH(Z$1,0)+1
)</f>
        <v>0</v>
      </c>
      <c r="AA81" s="186">
        <f ca="1">-SUMIFS(
  desp.m.ik[valor],
  desp.m.ik[nucleo], $B81,
  desp.m.ik[variavel], $B$80,
  desp.m.ik[mes], "&gt;="&amp;AA$1,
  desp.m.ik[mes], "&lt;"&amp;EOMONTH(AA$1,0)+1
)</f>
        <v>0</v>
      </c>
      <c r="AC81" s="178">
        <f t="shared" ca="1" si="17"/>
        <v>0</v>
      </c>
      <c r="AE81" s="178">
        <f ca="1">SUM(D81:AA81)</f>
        <v>0</v>
      </c>
    </row>
    <row r="82" spans="1:31" hidden="1" outlineLevel="2" x14ac:dyDescent="0.25">
      <c r="A82" s="185" t="s">
        <v>1191</v>
      </c>
      <c r="B82" s="185" t="s">
        <v>541</v>
      </c>
      <c r="C82" s="138" t="s">
        <v>514</v>
      </c>
      <c r="D82" s="186">
        <f ca="1">-SUMIFS(
  desp.m.ik[valor],
  desp.m.ik[nucleo], $B82,
  desp.m.ik[variavel], $B$80,
  desp.m.ik[mes], "&gt;="&amp;D$1,
  desp.m.ik[mes], "&lt;"&amp;EOMONTH(D$1,0)+1
)</f>
        <v>0</v>
      </c>
      <c r="E82" s="186">
        <f ca="1">-SUMIFS(
  desp.m.ik[valor],
  desp.m.ik[nucleo], $B82,
  desp.m.ik[variavel], $B$80,
  desp.m.ik[mes], "&gt;="&amp;E$1,
  desp.m.ik[mes], "&lt;"&amp;EOMONTH(E$1,0)+1
)</f>
        <v>0</v>
      </c>
      <c r="F82" s="186">
        <f ca="1">-SUMIFS(
  desp.m.ik[valor],
  desp.m.ik[nucleo], $B82,
  desp.m.ik[variavel], $B$80,
  desp.m.ik[mes], "&gt;="&amp;F$1,
  desp.m.ik[mes], "&lt;"&amp;EOMONTH(F$1,0)+1
)</f>
        <v>0</v>
      </c>
      <c r="G82" s="186">
        <f ca="1">-SUMIFS(
  desp.m.ik[valor],
  desp.m.ik[nucleo], $B82,
  desp.m.ik[variavel], $B$80,
  desp.m.ik[mes], "&gt;="&amp;G$1,
  desp.m.ik[mes], "&lt;"&amp;EOMONTH(G$1,0)+1
)</f>
        <v>0</v>
      </c>
      <c r="H82" s="186">
        <f ca="1">-SUMIFS(
  desp.m.ik[valor],
  desp.m.ik[nucleo], $B82,
  desp.m.ik[variavel], $B$80,
  desp.m.ik[mes], "&gt;="&amp;H$1,
  desp.m.ik[mes], "&lt;"&amp;EOMONTH(H$1,0)+1
)</f>
        <v>0</v>
      </c>
      <c r="I82" s="186">
        <f ca="1">-SUMIFS(
  desp.m.ik[valor],
  desp.m.ik[nucleo], $B82,
  desp.m.ik[variavel], $B$80,
  desp.m.ik[mes], "&gt;="&amp;I$1,
  desp.m.ik[mes], "&lt;"&amp;EOMONTH(I$1,0)+1
)</f>
        <v>0</v>
      </c>
      <c r="J82" s="186">
        <f ca="1">-SUMIFS(
  desp.m.ik[valor],
  desp.m.ik[nucleo], $B82,
  desp.m.ik[variavel], $B$80,
  desp.m.ik[mes], "&gt;="&amp;J$1,
  desp.m.ik[mes], "&lt;"&amp;EOMONTH(J$1,0)+1
)</f>
        <v>0</v>
      </c>
      <c r="K82" s="186">
        <f ca="1">-SUMIFS(
  desp.m.ik[valor],
  desp.m.ik[nucleo], $B82,
  desp.m.ik[variavel], $B$80,
  desp.m.ik[mes], "&gt;="&amp;K$1,
  desp.m.ik[mes], "&lt;"&amp;EOMONTH(K$1,0)+1
)</f>
        <v>0</v>
      </c>
      <c r="L82" s="186">
        <f ca="1">-SUMIFS(
  desp.m.ik[valor],
  desp.m.ik[nucleo], $B82,
  desp.m.ik[variavel], $B$80,
  desp.m.ik[mes], "&gt;="&amp;L$1,
  desp.m.ik[mes], "&lt;"&amp;EOMONTH(L$1,0)+1
)</f>
        <v>0</v>
      </c>
      <c r="M82" s="186">
        <f ca="1">-SUMIFS(
  desp.m.ik[valor],
  desp.m.ik[nucleo], $B82,
  desp.m.ik[variavel], $B$80,
  desp.m.ik[mes], "&gt;="&amp;M$1,
  desp.m.ik[mes], "&lt;"&amp;EOMONTH(M$1,0)+1
)</f>
        <v>0</v>
      </c>
      <c r="N82" s="186">
        <f ca="1">-SUMIFS(
  desp.m.ik[valor],
  desp.m.ik[nucleo], $B82,
  desp.m.ik[variavel], $B$80,
  desp.m.ik[mes], "&gt;="&amp;N$1,
  desp.m.ik[mes], "&lt;"&amp;EOMONTH(N$1,0)+1
)</f>
        <v>0</v>
      </c>
      <c r="O82" s="186">
        <f ca="1">-SUMIFS(
  desp.m.ik[valor],
  desp.m.ik[nucleo], $B82,
  desp.m.ik[variavel], $B$80,
  desp.m.ik[mes], "&gt;="&amp;O$1,
  desp.m.ik[mes], "&lt;"&amp;EOMONTH(O$1,0)+1
)</f>
        <v>0</v>
      </c>
      <c r="P82" s="186">
        <f ca="1">-SUMIFS(
  desp.m.ik[valor],
  desp.m.ik[nucleo], $B82,
  desp.m.ik[variavel], $B$80,
  desp.m.ik[mes], "&gt;="&amp;P$1,
  desp.m.ik[mes], "&lt;"&amp;EOMONTH(P$1,0)+1
)</f>
        <v>0</v>
      </c>
      <c r="Q82" s="186">
        <f ca="1">-SUMIFS(
  desp.m.ik[valor],
  desp.m.ik[nucleo], $B82,
  desp.m.ik[variavel], $B$80,
  desp.m.ik[mes], "&gt;="&amp;Q$1,
  desp.m.ik[mes], "&lt;"&amp;EOMONTH(Q$1,0)+1
)</f>
        <v>0</v>
      </c>
      <c r="R82" s="186">
        <f ca="1">-SUMIFS(
  desp.m.ik[valor],
  desp.m.ik[nucleo], $B82,
  desp.m.ik[variavel], $B$80,
  desp.m.ik[mes], "&gt;="&amp;R$1,
  desp.m.ik[mes], "&lt;"&amp;EOMONTH(R$1,0)+1
)</f>
        <v>0</v>
      </c>
      <c r="S82" s="186">
        <f ca="1">-SUMIFS(
  desp.m.ik[valor],
  desp.m.ik[nucleo], $B82,
  desp.m.ik[variavel], $B$80,
  desp.m.ik[mes], "&gt;="&amp;S$1,
  desp.m.ik[mes], "&lt;"&amp;EOMONTH(S$1,0)+1
)</f>
        <v>0</v>
      </c>
      <c r="T82" s="186">
        <f ca="1">-SUMIFS(
  desp.m.ik[valor],
  desp.m.ik[nucleo], $B82,
  desp.m.ik[variavel], $B$80,
  desp.m.ik[mes], "&gt;="&amp;T$1,
  desp.m.ik[mes], "&lt;"&amp;EOMONTH(T$1,0)+1
)</f>
        <v>0</v>
      </c>
      <c r="U82" s="186">
        <f ca="1">-SUMIFS(
  desp.m.ik[valor],
  desp.m.ik[nucleo], $B82,
  desp.m.ik[variavel], $B$80,
  desp.m.ik[mes], "&gt;="&amp;U$1,
  desp.m.ik[mes], "&lt;"&amp;EOMONTH(U$1,0)+1
)</f>
        <v>0</v>
      </c>
      <c r="V82" s="186">
        <f ca="1">-SUMIFS(
  desp.m.ik[valor],
  desp.m.ik[nucleo], $B82,
  desp.m.ik[variavel], $B$80,
  desp.m.ik[mes], "&gt;="&amp;V$1,
  desp.m.ik[mes], "&lt;"&amp;EOMONTH(V$1,0)+1
)</f>
        <v>0</v>
      </c>
      <c r="W82" s="186">
        <f ca="1">-SUMIFS(
  desp.m.ik[valor],
  desp.m.ik[nucleo], $B82,
  desp.m.ik[variavel], $B$80,
  desp.m.ik[mes], "&gt;="&amp;W$1,
  desp.m.ik[mes], "&lt;"&amp;EOMONTH(W$1,0)+1
)</f>
        <v>0</v>
      </c>
      <c r="X82" s="186">
        <f ca="1">-SUMIFS(
  desp.m.ik[valor],
  desp.m.ik[nucleo], $B82,
  desp.m.ik[variavel], $B$80,
  desp.m.ik[mes], "&gt;="&amp;X$1,
  desp.m.ik[mes], "&lt;"&amp;EOMONTH(X$1,0)+1
)</f>
        <v>0</v>
      </c>
      <c r="Y82" s="186">
        <f ca="1">-SUMIFS(
  desp.m.ik[valor],
  desp.m.ik[nucleo], $B82,
  desp.m.ik[variavel], $B$80,
  desp.m.ik[mes], "&gt;="&amp;Y$1,
  desp.m.ik[mes], "&lt;"&amp;EOMONTH(Y$1,0)+1
)</f>
        <v>0</v>
      </c>
      <c r="Z82" s="186">
        <f ca="1">-SUMIFS(
  desp.m.ik[valor],
  desp.m.ik[nucleo], $B82,
  desp.m.ik[variavel], $B$80,
  desp.m.ik[mes], "&gt;="&amp;Z$1,
  desp.m.ik[mes], "&lt;"&amp;EOMONTH(Z$1,0)+1
)</f>
        <v>0</v>
      </c>
      <c r="AA82" s="186">
        <f ca="1">-SUMIFS(
  desp.m.ik[valor],
  desp.m.ik[nucleo], $B82,
  desp.m.ik[variavel], $B$80,
  desp.m.ik[mes], "&gt;="&amp;AA$1,
  desp.m.ik[mes], "&lt;"&amp;EOMONTH(AA$1,0)+1
)</f>
        <v>0</v>
      </c>
      <c r="AC82" s="178">
        <f t="shared" ca="1" si="17"/>
        <v>0</v>
      </c>
      <c r="AE82" s="178">
        <f ca="1">SUM(D82:AA82)</f>
        <v>0</v>
      </c>
    </row>
    <row r="83" spans="1:31" hidden="1" outlineLevel="2" x14ac:dyDescent="0.25">
      <c r="A83" s="185" t="s">
        <v>1192</v>
      </c>
      <c r="B83" s="185" t="s">
        <v>533</v>
      </c>
      <c r="C83" s="138" t="s">
        <v>514</v>
      </c>
      <c r="D83" s="186">
        <f ca="1">-SUMIFS(
  desp.m.ik[valor],
  desp.m.ik[nucleo], $B83,
  desp.m.ik[variavel], $B$80,
  desp.m.ik[mes], "&gt;="&amp;D$1,
  desp.m.ik[mes], "&lt;"&amp;EOMONTH(D$1,0)+1
)</f>
        <v>0</v>
      </c>
      <c r="E83" s="186">
        <f ca="1">-SUMIFS(
  desp.m.ik[valor],
  desp.m.ik[nucleo], $B83,
  desp.m.ik[variavel], $B$80,
  desp.m.ik[mes], "&gt;="&amp;E$1,
  desp.m.ik[mes], "&lt;"&amp;EOMONTH(E$1,0)+1
)</f>
        <v>0</v>
      </c>
      <c r="F83" s="186">
        <f ca="1">-SUMIFS(
  desp.m.ik[valor],
  desp.m.ik[nucleo], $B83,
  desp.m.ik[variavel], $B$80,
  desp.m.ik[mes], "&gt;="&amp;F$1,
  desp.m.ik[mes], "&lt;"&amp;EOMONTH(F$1,0)+1
)</f>
        <v>0</v>
      </c>
      <c r="G83" s="186">
        <f ca="1">-SUMIFS(
  desp.m.ik[valor],
  desp.m.ik[nucleo], $B83,
  desp.m.ik[variavel], $B$80,
  desp.m.ik[mes], "&gt;="&amp;G$1,
  desp.m.ik[mes], "&lt;"&amp;EOMONTH(G$1,0)+1
)</f>
        <v>0</v>
      </c>
      <c r="H83" s="186">
        <f ca="1">-SUMIFS(
  desp.m.ik[valor],
  desp.m.ik[nucleo], $B83,
  desp.m.ik[variavel], $B$80,
  desp.m.ik[mes], "&gt;="&amp;H$1,
  desp.m.ik[mes], "&lt;"&amp;EOMONTH(H$1,0)+1
)</f>
        <v>0</v>
      </c>
      <c r="I83" s="186">
        <f ca="1">-SUMIFS(
  desp.m.ik[valor],
  desp.m.ik[nucleo], $B83,
  desp.m.ik[variavel], $B$80,
  desp.m.ik[mes], "&gt;="&amp;I$1,
  desp.m.ik[mes], "&lt;"&amp;EOMONTH(I$1,0)+1
)</f>
        <v>0</v>
      </c>
      <c r="J83" s="186">
        <f ca="1">-SUMIFS(
  desp.m.ik[valor],
  desp.m.ik[nucleo], $B83,
  desp.m.ik[variavel], $B$80,
  desp.m.ik[mes], "&gt;="&amp;J$1,
  desp.m.ik[mes], "&lt;"&amp;EOMONTH(J$1,0)+1
)</f>
        <v>0</v>
      </c>
      <c r="K83" s="186">
        <f ca="1">-SUMIFS(
  desp.m.ik[valor],
  desp.m.ik[nucleo], $B83,
  desp.m.ik[variavel], $B$80,
  desp.m.ik[mes], "&gt;="&amp;K$1,
  desp.m.ik[mes], "&lt;"&amp;EOMONTH(K$1,0)+1
)</f>
        <v>0</v>
      </c>
      <c r="L83" s="186">
        <f ca="1">-SUMIFS(
  desp.m.ik[valor],
  desp.m.ik[nucleo], $B83,
  desp.m.ik[variavel], $B$80,
  desp.m.ik[mes], "&gt;="&amp;L$1,
  desp.m.ik[mes], "&lt;"&amp;EOMONTH(L$1,0)+1
)</f>
        <v>0</v>
      </c>
      <c r="M83" s="186">
        <f ca="1">-SUMIFS(
  desp.m.ik[valor],
  desp.m.ik[nucleo], $B83,
  desp.m.ik[variavel], $B$80,
  desp.m.ik[mes], "&gt;="&amp;M$1,
  desp.m.ik[mes], "&lt;"&amp;EOMONTH(M$1,0)+1
)</f>
        <v>0</v>
      </c>
      <c r="N83" s="186">
        <f ca="1">-SUMIFS(
  desp.m.ik[valor],
  desp.m.ik[nucleo], $B83,
  desp.m.ik[variavel], $B$80,
  desp.m.ik[mes], "&gt;="&amp;N$1,
  desp.m.ik[mes], "&lt;"&amp;EOMONTH(N$1,0)+1
)</f>
        <v>0</v>
      </c>
      <c r="O83" s="186">
        <f ca="1">-SUMIFS(
  desp.m.ik[valor],
  desp.m.ik[nucleo], $B83,
  desp.m.ik[variavel], $B$80,
  desp.m.ik[mes], "&gt;="&amp;O$1,
  desp.m.ik[mes], "&lt;"&amp;EOMONTH(O$1,0)+1
)</f>
        <v>0</v>
      </c>
      <c r="P83" s="186">
        <f ca="1">-SUMIFS(
  desp.m.ik[valor],
  desp.m.ik[nucleo], $B83,
  desp.m.ik[variavel], $B$80,
  desp.m.ik[mes], "&gt;="&amp;P$1,
  desp.m.ik[mes], "&lt;"&amp;EOMONTH(P$1,0)+1
)</f>
        <v>0</v>
      </c>
      <c r="Q83" s="186">
        <f ca="1">-SUMIFS(
  desp.m.ik[valor],
  desp.m.ik[nucleo], $B83,
  desp.m.ik[variavel], $B$80,
  desp.m.ik[mes], "&gt;="&amp;Q$1,
  desp.m.ik[mes], "&lt;"&amp;EOMONTH(Q$1,0)+1
)</f>
        <v>0</v>
      </c>
      <c r="R83" s="186">
        <f ca="1">-SUMIFS(
  desp.m.ik[valor],
  desp.m.ik[nucleo], $B83,
  desp.m.ik[variavel], $B$80,
  desp.m.ik[mes], "&gt;="&amp;R$1,
  desp.m.ik[mes], "&lt;"&amp;EOMONTH(R$1,0)+1
)</f>
        <v>0</v>
      </c>
      <c r="S83" s="186">
        <f ca="1">-SUMIFS(
  desp.m.ik[valor],
  desp.m.ik[nucleo], $B83,
  desp.m.ik[variavel], $B$80,
  desp.m.ik[mes], "&gt;="&amp;S$1,
  desp.m.ik[mes], "&lt;"&amp;EOMONTH(S$1,0)+1
)</f>
        <v>0</v>
      </c>
      <c r="T83" s="186">
        <f ca="1">-SUMIFS(
  desp.m.ik[valor],
  desp.m.ik[nucleo], $B83,
  desp.m.ik[variavel], $B$80,
  desp.m.ik[mes], "&gt;="&amp;T$1,
  desp.m.ik[mes], "&lt;"&amp;EOMONTH(T$1,0)+1
)</f>
        <v>0</v>
      </c>
      <c r="U83" s="186">
        <f ca="1">-SUMIFS(
  desp.m.ik[valor],
  desp.m.ik[nucleo], $B83,
  desp.m.ik[variavel], $B$80,
  desp.m.ik[mes], "&gt;="&amp;U$1,
  desp.m.ik[mes], "&lt;"&amp;EOMONTH(U$1,0)+1
)</f>
        <v>0</v>
      </c>
      <c r="V83" s="186">
        <f ca="1">-SUMIFS(
  desp.m.ik[valor],
  desp.m.ik[nucleo], $B83,
  desp.m.ik[variavel], $B$80,
  desp.m.ik[mes], "&gt;="&amp;V$1,
  desp.m.ik[mes], "&lt;"&amp;EOMONTH(V$1,0)+1
)</f>
        <v>0</v>
      </c>
      <c r="W83" s="186">
        <f ca="1">-SUMIFS(
  desp.m.ik[valor],
  desp.m.ik[nucleo], $B83,
  desp.m.ik[variavel], $B$80,
  desp.m.ik[mes], "&gt;="&amp;W$1,
  desp.m.ik[mes], "&lt;"&amp;EOMONTH(W$1,0)+1
)</f>
        <v>0</v>
      </c>
      <c r="X83" s="186">
        <f ca="1">-SUMIFS(
  desp.m.ik[valor],
  desp.m.ik[nucleo], $B83,
  desp.m.ik[variavel], $B$80,
  desp.m.ik[mes], "&gt;="&amp;X$1,
  desp.m.ik[mes], "&lt;"&amp;EOMONTH(X$1,0)+1
)</f>
        <v>0</v>
      </c>
      <c r="Y83" s="186">
        <f ca="1">-SUMIFS(
  desp.m.ik[valor],
  desp.m.ik[nucleo], $B83,
  desp.m.ik[variavel], $B$80,
  desp.m.ik[mes], "&gt;="&amp;Y$1,
  desp.m.ik[mes], "&lt;"&amp;EOMONTH(Y$1,0)+1
)</f>
        <v>0</v>
      </c>
      <c r="Z83" s="186">
        <f ca="1">-SUMIFS(
  desp.m.ik[valor],
  desp.m.ik[nucleo], $B83,
  desp.m.ik[variavel], $B$80,
  desp.m.ik[mes], "&gt;="&amp;Z$1,
  desp.m.ik[mes], "&lt;"&amp;EOMONTH(Z$1,0)+1
)</f>
        <v>0</v>
      </c>
      <c r="AA83" s="186">
        <f ca="1">-SUMIFS(
  desp.m.ik[valor],
  desp.m.ik[nucleo], $B83,
  desp.m.ik[variavel], $B$80,
  desp.m.ik[mes], "&gt;="&amp;AA$1,
  desp.m.ik[mes], "&lt;"&amp;EOMONTH(AA$1,0)+1
)</f>
        <v>0</v>
      </c>
      <c r="AC83" s="178">
        <f t="shared" ca="1" si="17"/>
        <v>0</v>
      </c>
      <c r="AE83" s="178">
        <f ca="1">SUM(D83:AA83)</f>
        <v>0</v>
      </c>
    </row>
    <row r="84" spans="1:31" hidden="1" outlineLevel="2" x14ac:dyDescent="0.25">
      <c r="A84" s="185" t="s">
        <v>1193</v>
      </c>
      <c r="B84" s="185" t="s">
        <v>539</v>
      </c>
      <c r="C84" s="138" t="s">
        <v>514</v>
      </c>
      <c r="D84" s="186">
        <f ca="1">-SUMIFS(
  desp.m.ik[valor],
  desp.m.ik[nucleo], $B84,
  desp.m.ik[variavel], $B$80,
  desp.m.ik[mes], "&gt;="&amp;D$1,
  desp.m.ik[mes], "&lt;"&amp;EOMONTH(D$1,0)+1
)</f>
        <v>0</v>
      </c>
      <c r="E84" s="186">
        <f ca="1">-SUMIFS(
  desp.m.ik[valor],
  desp.m.ik[nucleo], $B84,
  desp.m.ik[variavel], $B$80,
  desp.m.ik[mes], "&gt;="&amp;E$1,
  desp.m.ik[mes], "&lt;"&amp;EOMONTH(E$1,0)+1
)</f>
        <v>0</v>
      </c>
      <c r="F84" s="186">
        <f ca="1">-SUMIFS(
  desp.m.ik[valor],
  desp.m.ik[nucleo], $B84,
  desp.m.ik[variavel], $B$80,
  desp.m.ik[mes], "&gt;="&amp;F$1,
  desp.m.ik[mes], "&lt;"&amp;EOMONTH(F$1,0)+1
)</f>
        <v>0</v>
      </c>
      <c r="G84" s="186">
        <f ca="1">-SUMIFS(
  desp.m.ik[valor],
  desp.m.ik[nucleo], $B84,
  desp.m.ik[variavel], $B$80,
  desp.m.ik[mes], "&gt;="&amp;G$1,
  desp.m.ik[mes], "&lt;"&amp;EOMONTH(G$1,0)+1
)</f>
        <v>0</v>
      </c>
      <c r="H84" s="186">
        <f ca="1">-SUMIFS(
  desp.m.ik[valor],
  desp.m.ik[nucleo], $B84,
  desp.m.ik[variavel], $B$80,
  desp.m.ik[mes], "&gt;="&amp;H$1,
  desp.m.ik[mes], "&lt;"&amp;EOMONTH(H$1,0)+1
)</f>
        <v>0</v>
      </c>
      <c r="I84" s="186">
        <f ca="1">-SUMIFS(
  desp.m.ik[valor],
  desp.m.ik[nucleo], $B84,
  desp.m.ik[variavel], $B$80,
  desp.m.ik[mes], "&gt;="&amp;I$1,
  desp.m.ik[mes], "&lt;"&amp;EOMONTH(I$1,0)+1
)</f>
        <v>0</v>
      </c>
      <c r="J84" s="186">
        <f ca="1">-SUMIFS(
  desp.m.ik[valor],
  desp.m.ik[nucleo], $B84,
  desp.m.ik[variavel], $B$80,
  desp.m.ik[mes], "&gt;="&amp;J$1,
  desp.m.ik[mes], "&lt;"&amp;EOMONTH(J$1,0)+1
)</f>
        <v>0</v>
      </c>
      <c r="K84" s="186">
        <f ca="1">-SUMIFS(
  desp.m.ik[valor],
  desp.m.ik[nucleo], $B84,
  desp.m.ik[variavel], $B$80,
  desp.m.ik[mes], "&gt;="&amp;K$1,
  desp.m.ik[mes], "&lt;"&amp;EOMONTH(K$1,0)+1
)</f>
        <v>0</v>
      </c>
      <c r="L84" s="186">
        <f ca="1">-SUMIFS(
  desp.m.ik[valor],
  desp.m.ik[nucleo], $B84,
  desp.m.ik[variavel], $B$80,
  desp.m.ik[mes], "&gt;="&amp;L$1,
  desp.m.ik[mes], "&lt;"&amp;EOMONTH(L$1,0)+1
)</f>
        <v>0</v>
      </c>
      <c r="M84" s="186">
        <f ca="1">-SUMIFS(
  desp.m.ik[valor],
  desp.m.ik[nucleo], $B84,
  desp.m.ik[variavel], $B$80,
  desp.m.ik[mes], "&gt;="&amp;M$1,
  desp.m.ik[mes], "&lt;"&amp;EOMONTH(M$1,0)+1
)</f>
        <v>0</v>
      </c>
      <c r="N84" s="186">
        <f ca="1">-SUMIFS(
  desp.m.ik[valor],
  desp.m.ik[nucleo], $B84,
  desp.m.ik[variavel], $B$80,
  desp.m.ik[mes], "&gt;="&amp;N$1,
  desp.m.ik[mes], "&lt;"&amp;EOMONTH(N$1,0)+1
)</f>
        <v>0</v>
      </c>
      <c r="O84" s="186">
        <f ca="1">-SUMIFS(
  desp.m.ik[valor],
  desp.m.ik[nucleo], $B84,
  desp.m.ik[variavel], $B$80,
  desp.m.ik[mes], "&gt;="&amp;O$1,
  desp.m.ik[mes], "&lt;"&amp;EOMONTH(O$1,0)+1
)</f>
        <v>0</v>
      </c>
      <c r="P84" s="186">
        <f ca="1">-SUMIFS(
  desp.m.ik[valor],
  desp.m.ik[nucleo], $B84,
  desp.m.ik[variavel], $B$80,
  desp.m.ik[mes], "&gt;="&amp;P$1,
  desp.m.ik[mes], "&lt;"&amp;EOMONTH(P$1,0)+1
)</f>
        <v>0</v>
      </c>
      <c r="Q84" s="186">
        <f ca="1">-SUMIFS(
  desp.m.ik[valor],
  desp.m.ik[nucleo], $B84,
  desp.m.ik[variavel], $B$80,
  desp.m.ik[mes], "&gt;="&amp;Q$1,
  desp.m.ik[mes], "&lt;"&amp;EOMONTH(Q$1,0)+1
)</f>
        <v>0</v>
      </c>
      <c r="R84" s="186">
        <f ca="1">-SUMIFS(
  desp.m.ik[valor],
  desp.m.ik[nucleo], $B84,
  desp.m.ik[variavel], $B$80,
  desp.m.ik[mes], "&gt;="&amp;R$1,
  desp.m.ik[mes], "&lt;"&amp;EOMONTH(R$1,0)+1
)</f>
        <v>0</v>
      </c>
      <c r="S84" s="186">
        <f ca="1">-SUMIFS(
  desp.m.ik[valor],
  desp.m.ik[nucleo], $B84,
  desp.m.ik[variavel], $B$80,
  desp.m.ik[mes], "&gt;="&amp;S$1,
  desp.m.ik[mes], "&lt;"&amp;EOMONTH(S$1,0)+1
)</f>
        <v>0</v>
      </c>
      <c r="T84" s="186">
        <f ca="1">-SUMIFS(
  desp.m.ik[valor],
  desp.m.ik[nucleo], $B84,
  desp.m.ik[variavel], $B$80,
  desp.m.ik[mes], "&gt;="&amp;T$1,
  desp.m.ik[mes], "&lt;"&amp;EOMONTH(T$1,0)+1
)</f>
        <v>0</v>
      </c>
      <c r="U84" s="186">
        <f ca="1">-SUMIFS(
  desp.m.ik[valor],
  desp.m.ik[nucleo], $B84,
  desp.m.ik[variavel], $B$80,
  desp.m.ik[mes], "&gt;="&amp;U$1,
  desp.m.ik[mes], "&lt;"&amp;EOMONTH(U$1,0)+1
)</f>
        <v>0</v>
      </c>
      <c r="V84" s="186">
        <f ca="1">-SUMIFS(
  desp.m.ik[valor],
  desp.m.ik[nucleo], $B84,
  desp.m.ik[variavel], $B$80,
  desp.m.ik[mes], "&gt;="&amp;V$1,
  desp.m.ik[mes], "&lt;"&amp;EOMONTH(V$1,0)+1
)</f>
        <v>0</v>
      </c>
      <c r="W84" s="186">
        <f ca="1">-SUMIFS(
  desp.m.ik[valor],
  desp.m.ik[nucleo], $B84,
  desp.m.ik[variavel], $B$80,
  desp.m.ik[mes], "&gt;="&amp;W$1,
  desp.m.ik[mes], "&lt;"&amp;EOMONTH(W$1,0)+1
)</f>
        <v>0</v>
      </c>
      <c r="X84" s="186">
        <f ca="1">-SUMIFS(
  desp.m.ik[valor],
  desp.m.ik[nucleo], $B84,
  desp.m.ik[variavel], $B$80,
  desp.m.ik[mes], "&gt;="&amp;X$1,
  desp.m.ik[mes], "&lt;"&amp;EOMONTH(X$1,0)+1
)</f>
        <v>0</v>
      </c>
      <c r="Y84" s="186">
        <f ca="1">-SUMIFS(
  desp.m.ik[valor],
  desp.m.ik[nucleo], $B84,
  desp.m.ik[variavel], $B$80,
  desp.m.ik[mes], "&gt;="&amp;Y$1,
  desp.m.ik[mes], "&lt;"&amp;EOMONTH(Y$1,0)+1
)</f>
        <v>0</v>
      </c>
      <c r="Z84" s="186">
        <f ca="1">-SUMIFS(
  desp.m.ik[valor],
  desp.m.ik[nucleo], $B84,
  desp.m.ik[variavel], $B$80,
  desp.m.ik[mes], "&gt;="&amp;Z$1,
  desp.m.ik[mes], "&lt;"&amp;EOMONTH(Z$1,0)+1
)</f>
        <v>0</v>
      </c>
      <c r="AA84" s="186">
        <f ca="1">-SUMIFS(
  desp.m.ik[valor],
  desp.m.ik[nucleo], $B84,
  desp.m.ik[variavel], $B$80,
  desp.m.ik[mes], "&gt;="&amp;AA$1,
  desp.m.ik[mes], "&lt;"&amp;EOMONTH(AA$1,0)+1
)</f>
        <v>0</v>
      </c>
      <c r="AC84" s="178">
        <f t="shared" ca="1" si="17"/>
        <v>0</v>
      </c>
      <c r="AE84" s="178">
        <f ca="1">SUM(D84:AA84)</f>
        <v>0</v>
      </c>
    </row>
    <row r="85" spans="1:31" hidden="1" outlineLevel="1" x14ac:dyDescent="0.25">
      <c r="A85" s="182" t="s">
        <v>563</v>
      </c>
      <c r="B85" s="182" t="s">
        <v>337</v>
      </c>
      <c r="C85" s="183" t="s">
        <v>514</v>
      </c>
      <c r="D85" s="184">
        <f t="shared" ref="D85:AA85" ca="1" si="21">SUM(D$86)</f>
        <v>0</v>
      </c>
      <c r="E85" s="184">
        <f t="shared" ca="1" si="21"/>
        <v>0</v>
      </c>
      <c r="F85" s="184">
        <f t="shared" ca="1" si="21"/>
        <v>0</v>
      </c>
      <c r="G85" s="184">
        <f t="shared" ca="1" si="21"/>
        <v>0</v>
      </c>
      <c r="H85" s="184">
        <f t="shared" ca="1" si="21"/>
        <v>0</v>
      </c>
      <c r="I85" s="184">
        <f t="shared" ca="1" si="21"/>
        <v>0</v>
      </c>
      <c r="J85" s="184">
        <f t="shared" ca="1" si="21"/>
        <v>0</v>
      </c>
      <c r="K85" s="184">
        <f t="shared" ca="1" si="21"/>
        <v>0</v>
      </c>
      <c r="L85" s="184">
        <f t="shared" ca="1" si="21"/>
        <v>0</v>
      </c>
      <c r="M85" s="184">
        <f t="shared" ca="1" si="21"/>
        <v>0</v>
      </c>
      <c r="N85" s="184">
        <f t="shared" ca="1" si="21"/>
        <v>0</v>
      </c>
      <c r="O85" s="184">
        <f t="shared" ca="1" si="21"/>
        <v>0</v>
      </c>
      <c r="P85" s="184">
        <f t="shared" ca="1" si="21"/>
        <v>0</v>
      </c>
      <c r="Q85" s="184">
        <f t="shared" ca="1" si="21"/>
        <v>0</v>
      </c>
      <c r="R85" s="184">
        <f t="shared" ca="1" si="21"/>
        <v>0</v>
      </c>
      <c r="S85" s="184">
        <f t="shared" ca="1" si="21"/>
        <v>0</v>
      </c>
      <c r="T85" s="184">
        <f t="shared" ca="1" si="21"/>
        <v>0</v>
      </c>
      <c r="U85" s="184">
        <f t="shared" ca="1" si="21"/>
        <v>0</v>
      </c>
      <c r="V85" s="184">
        <f t="shared" ca="1" si="21"/>
        <v>0</v>
      </c>
      <c r="W85" s="184">
        <f t="shared" ca="1" si="21"/>
        <v>0</v>
      </c>
      <c r="X85" s="184">
        <f t="shared" ca="1" si="21"/>
        <v>0</v>
      </c>
      <c r="Y85" s="184">
        <f t="shared" ca="1" si="21"/>
        <v>0</v>
      </c>
      <c r="Z85" s="184">
        <f t="shared" ca="1" si="21"/>
        <v>0</v>
      </c>
      <c r="AA85" s="184">
        <f t="shared" ca="1" si="21"/>
        <v>0</v>
      </c>
      <c r="AC85" s="280">
        <f t="shared" ca="1" si="17"/>
        <v>0</v>
      </c>
      <c r="AE85" s="280">
        <f t="shared" ca="1" si="19"/>
        <v>0</v>
      </c>
    </row>
    <row r="86" spans="1:31" hidden="1" outlineLevel="2" x14ac:dyDescent="0.25">
      <c r="A86" s="185" t="s">
        <v>1141</v>
      </c>
      <c r="B86" s="185" t="s">
        <v>494</v>
      </c>
      <c r="C86" s="138" t="s">
        <v>514</v>
      </c>
      <c r="D86" s="186">
        <f ca="1">-SUMIFS(
  desp.m.ik[valor],
  desp.m.ik[nucleo], $B86,
  desp.m.ik[variavel], $B$85,
  desp.m.ik[mes], "&gt;="&amp;D$1,
  desp.m.ik[mes], "&lt;"&amp;EOMONTH(D$1,0)+1
)</f>
        <v>0</v>
      </c>
      <c r="E86" s="186">
        <f ca="1">-SUMIFS(
  desp.m.ik[valor],
  desp.m.ik[nucleo], $B86,
  desp.m.ik[variavel], $B$85,
  desp.m.ik[mes], "&gt;="&amp;E$1,
  desp.m.ik[mes], "&lt;"&amp;EOMONTH(E$1,0)+1
)</f>
        <v>0</v>
      </c>
      <c r="F86" s="186">
        <f ca="1">-SUMIFS(
  desp.m.ik[valor],
  desp.m.ik[nucleo], $B86,
  desp.m.ik[variavel], $B$85,
  desp.m.ik[mes], "&gt;="&amp;F$1,
  desp.m.ik[mes], "&lt;"&amp;EOMONTH(F$1,0)+1
)</f>
        <v>0</v>
      </c>
      <c r="G86" s="186">
        <f ca="1">-SUMIFS(
  desp.m.ik[valor],
  desp.m.ik[nucleo], $B86,
  desp.m.ik[variavel], $B$85,
  desp.m.ik[mes], "&gt;="&amp;G$1,
  desp.m.ik[mes], "&lt;"&amp;EOMONTH(G$1,0)+1
)</f>
        <v>0</v>
      </c>
      <c r="H86" s="186">
        <f ca="1">-SUMIFS(
  desp.m.ik[valor],
  desp.m.ik[nucleo], $B86,
  desp.m.ik[variavel], $B$85,
  desp.m.ik[mes], "&gt;="&amp;H$1,
  desp.m.ik[mes], "&lt;"&amp;EOMONTH(H$1,0)+1
)</f>
        <v>0</v>
      </c>
      <c r="I86" s="186">
        <f ca="1">-SUMIFS(
  desp.m.ik[valor],
  desp.m.ik[nucleo], $B86,
  desp.m.ik[variavel], $B$85,
  desp.m.ik[mes], "&gt;="&amp;I$1,
  desp.m.ik[mes], "&lt;"&amp;EOMONTH(I$1,0)+1
)</f>
        <v>0</v>
      </c>
      <c r="J86" s="186">
        <f ca="1">-SUMIFS(
  desp.m.ik[valor],
  desp.m.ik[nucleo], $B86,
  desp.m.ik[variavel], $B$85,
  desp.m.ik[mes], "&gt;="&amp;J$1,
  desp.m.ik[mes], "&lt;"&amp;EOMONTH(J$1,0)+1
)</f>
        <v>0</v>
      </c>
      <c r="K86" s="186">
        <f ca="1">-SUMIFS(
  desp.m.ik[valor],
  desp.m.ik[nucleo], $B86,
  desp.m.ik[variavel], $B$85,
  desp.m.ik[mes], "&gt;="&amp;K$1,
  desp.m.ik[mes], "&lt;"&amp;EOMONTH(K$1,0)+1
)</f>
        <v>0</v>
      </c>
      <c r="L86" s="186">
        <f ca="1">-SUMIFS(
  desp.m.ik[valor],
  desp.m.ik[nucleo], $B86,
  desp.m.ik[variavel], $B$85,
  desp.m.ik[mes], "&gt;="&amp;L$1,
  desp.m.ik[mes], "&lt;"&amp;EOMONTH(L$1,0)+1
)</f>
        <v>0</v>
      </c>
      <c r="M86" s="186">
        <f ca="1">-SUMIFS(
  desp.m.ik[valor],
  desp.m.ik[nucleo], $B86,
  desp.m.ik[variavel], $B$85,
  desp.m.ik[mes], "&gt;="&amp;M$1,
  desp.m.ik[mes], "&lt;"&amp;EOMONTH(M$1,0)+1
)</f>
        <v>0</v>
      </c>
      <c r="N86" s="186">
        <f ca="1">-SUMIFS(
  desp.m.ik[valor],
  desp.m.ik[nucleo], $B86,
  desp.m.ik[variavel], $B$85,
  desp.m.ik[mes], "&gt;="&amp;N$1,
  desp.m.ik[mes], "&lt;"&amp;EOMONTH(N$1,0)+1
)</f>
        <v>0</v>
      </c>
      <c r="O86" s="186">
        <f ca="1">-SUMIFS(
  desp.m.ik[valor],
  desp.m.ik[nucleo], $B86,
  desp.m.ik[variavel], $B$85,
  desp.m.ik[mes], "&gt;="&amp;O$1,
  desp.m.ik[mes], "&lt;"&amp;EOMONTH(O$1,0)+1
)</f>
        <v>0</v>
      </c>
      <c r="P86" s="186">
        <f ca="1">-SUMIFS(
  desp.m.ik[valor],
  desp.m.ik[nucleo], $B86,
  desp.m.ik[variavel], $B$85,
  desp.m.ik[mes], "&gt;="&amp;P$1,
  desp.m.ik[mes], "&lt;"&amp;EOMONTH(P$1,0)+1
)</f>
        <v>0</v>
      </c>
      <c r="Q86" s="186">
        <f ca="1">-SUMIFS(
  desp.m.ik[valor],
  desp.m.ik[nucleo], $B86,
  desp.m.ik[variavel], $B$85,
  desp.m.ik[mes], "&gt;="&amp;Q$1,
  desp.m.ik[mes], "&lt;"&amp;EOMONTH(Q$1,0)+1
)</f>
        <v>0</v>
      </c>
      <c r="R86" s="186">
        <f ca="1">-SUMIFS(
  desp.m.ik[valor],
  desp.m.ik[nucleo], $B86,
  desp.m.ik[variavel], $B$85,
  desp.m.ik[mes], "&gt;="&amp;R$1,
  desp.m.ik[mes], "&lt;"&amp;EOMONTH(R$1,0)+1
)</f>
        <v>0</v>
      </c>
      <c r="S86" s="186">
        <f ca="1">-SUMIFS(
  desp.m.ik[valor],
  desp.m.ik[nucleo], $B86,
  desp.m.ik[variavel], $B$85,
  desp.m.ik[mes], "&gt;="&amp;S$1,
  desp.m.ik[mes], "&lt;"&amp;EOMONTH(S$1,0)+1
)</f>
        <v>0</v>
      </c>
      <c r="T86" s="186">
        <f ca="1">-SUMIFS(
  desp.m.ik[valor],
  desp.m.ik[nucleo], $B86,
  desp.m.ik[variavel], $B$85,
  desp.m.ik[mes], "&gt;="&amp;T$1,
  desp.m.ik[mes], "&lt;"&amp;EOMONTH(T$1,0)+1
)</f>
        <v>0</v>
      </c>
      <c r="U86" s="186">
        <f ca="1">-SUMIFS(
  desp.m.ik[valor],
  desp.m.ik[nucleo], $B86,
  desp.m.ik[variavel], $B$85,
  desp.m.ik[mes], "&gt;="&amp;U$1,
  desp.m.ik[mes], "&lt;"&amp;EOMONTH(U$1,0)+1
)</f>
        <v>0</v>
      </c>
      <c r="V86" s="186">
        <f ca="1">-SUMIFS(
  desp.m.ik[valor],
  desp.m.ik[nucleo], $B86,
  desp.m.ik[variavel], $B$85,
  desp.m.ik[mes], "&gt;="&amp;V$1,
  desp.m.ik[mes], "&lt;"&amp;EOMONTH(V$1,0)+1
)</f>
        <v>0</v>
      </c>
      <c r="W86" s="186">
        <f ca="1">-SUMIFS(
  desp.m.ik[valor],
  desp.m.ik[nucleo], $B86,
  desp.m.ik[variavel], $B$85,
  desp.m.ik[mes], "&gt;="&amp;W$1,
  desp.m.ik[mes], "&lt;"&amp;EOMONTH(W$1,0)+1
)</f>
        <v>0</v>
      </c>
      <c r="X86" s="186">
        <f ca="1">-SUMIFS(
  desp.m.ik[valor],
  desp.m.ik[nucleo], $B86,
  desp.m.ik[variavel], $B$85,
  desp.m.ik[mes], "&gt;="&amp;X$1,
  desp.m.ik[mes], "&lt;"&amp;EOMONTH(X$1,0)+1
)</f>
        <v>0</v>
      </c>
      <c r="Y86" s="186">
        <f ca="1">-SUMIFS(
  desp.m.ik[valor],
  desp.m.ik[nucleo], $B86,
  desp.m.ik[variavel], $B$85,
  desp.m.ik[mes], "&gt;="&amp;Y$1,
  desp.m.ik[mes], "&lt;"&amp;EOMONTH(Y$1,0)+1
)</f>
        <v>0</v>
      </c>
      <c r="Z86" s="186">
        <f ca="1">-SUMIFS(
  desp.m.ik[valor],
  desp.m.ik[nucleo], $B86,
  desp.m.ik[variavel], $B$85,
  desp.m.ik[mes], "&gt;="&amp;Z$1,
  desp.m.ik[mes], "&lt;"&amp;EOMONTH(Z$1,0)+1
)</f>
        <v>0</v>
      </c>
      <c r="AA86" s="186">
        <f ca="1">-SUMIFS(
  desp.m.ik[valor],
  desp.m.ik[nucleo], $B86,
  desp.m.ik[variavel], $B$85,
  desp.m.ik[mes], "&gt;="&amp;AA$1,
  desp.m.ik[mes], "&lt;"&amp;EOMONTH(AA$1,0)+1
)</f>
        <v>0</v>
      </c>
      <c r="AC86" s="178">
        <f t="shared" ca="1" si="17"/>
        <v>0</v>
      </c>
      <c r="AE86" s="178">
        <f t="shared" ca="1" si="19"/>
        <v>0</v>
      </c>
    </row>
    <row r="87" spans="1:31" hidden="1" outlineLevel="1" x14ac:dyDescent="0.25">
      <c r="A87" s="182" t="s">
        <v>564</v>
      </c>
      <c r="B87" s="182" t="s">
        <v>383</v>
      </c>
      <c r="C87" s="183" t="s">
        <v>514</v>
      </c>
      <c r="D87" s="184">
        <f t="shared" ref="D87:AA87" ca="1" si="22">SUM(D$88:D$102)</f>
        <v>0</v>
      </c>
      <c r="E87" s="184">
        <f t="shared" ca="1" si="22"/>
        <v>0</v>
      </c>
      <c r="F87" s="184">
        <f t="shared" ca="1" si="22"/>
        <v>0</v>
      </c>
      <c r="G87" s="184">
        <f t="shared" ca="1" si="22"/>
        <v>0</v>
      </c>
      <c r="H87" s="184">
        <f t="shared" ca="1" si="22"/>
        <v>0</v>
      </c>
      <c r="I87" s="184">
        <f t="shared" ca="1" si="22"/>
        <v>0</v>
      </c>
      <c r="J87" s="184">
        <f t="shared" ca="1" si="22"/>
        <v>0</v>
      </c>
      <c r="K87" s="184">
        <f t="shared" ca="1" si="22"/>
        <v>0</v>
      </c>
      <c r="L87" s="184">
        <f t="shared" ca="1" si="22"/>
        <v>0</v>
      </c>
      <c r="M87" s="184">
        <f t="shared" ca="1" si="22"/>
        <v>0</v>
      </c>
      <c r="N87" s="184">
        <f t="shared" ca="1" si="22"/>
        <v>0</v>
      </c>
      <c r="O87" s="184">
        <f t="shared" ca="1" si="22"/>
        <v>0</v>
      </c>
      <c r="P87" s="184">
        <f t="shared" ca="1" si="22"/>
        <v>0</v>
      </c>
      <c r="Q87" s="184">
        <f t="shared" ca="1" si="22"/>
        <v>0</v>
      </c>
      <c r="R87" s="184">
        <f t="shared" ca="1" si="22"/>
        <v>0</v>
      </c>
      <c r="S87" s="184">
        <f t="shared" ca="1" si="22"/>
        <v>0</v>
      </c>
      <c r="T87" s="184">
        <f t="shared" ca="1" si="22"/>
        <v>0</v>
      </c>
      <c r="U87" s="184">
        <f t="shared" ca="1" si="22"/>
        <v>0</v>
      </c>
      <c r="V87" s="184">
        <f t="shared" ca="1" si="22"/>
        <v>0</v>
      </c>
      <c r="W87" s="184">
        <f t="shared" ca="1" si="22"/>
        <v>0</v>
      </c>
      <c r="X87" s="184">
        <f t="shared" ca="1" si="22"/>
        <v>0</v>
      </c>
      <c r="Y87" s="184">
        <f t="shared" ca="1" si="22"/>
        <v>0</v>
      </c>
      <c r="Z87" s="184">
        <f t="shared" ca="1" si="22"/>
        <v>0</v>
      </c>
      <c r="AA87" s="184">
        <f t="shared" ca="1" si="22"/>
        <v>0</v>
      </c>
      <c r="AC87" s="280">
        <f t="shared" ca="1" si="17"/>
        <v>0</v>
      </c>
      <c r="AE87" s="280">
        <f t="shared" ca="1" si="19"/>
        <v>0</v>
      </c>
    </row>
    <row r="88" spans="1:31" hidden="1" outlineLevel="2" x14ac:dyDescent="0.25">
      <c r="A88" s="185" t="s">
        <v>1195</v>
      </c>
      <c r="B88" s="185" t="s">
        <v>704</v>
      </c>
      <c r="C88" s="138" t="s">
        <v>514</v>
      </c>
      <c r="D88" s="186">
        <f ca="1">-SUMIFS(
  desp.m.ik[valor],
  desp.m.ik[nucleo], $B88,
  desp.m.ik[variavel], $B$87,
  desp.m.ik[mes], "&gt;="&amp;D$1,
  desp.m.ik[mes], "&lt;"&amp;EOMONTH(D$1,0)+1
)</f>
        <v>0</v>
      </c>
      <c r="E88" s="186">
        <f ca="1">-SUMIFS(
  desp.m.ik[valor],
  desp.m.ik[nucleo], $B88,
  desp.m.ik[variavel], $B$87,
  desp.m.ik[mes], "&gt;="&amp;E$1,
  desp.m.ik[mes], "&lt;"&amp;EOMONTH(E$1,0)+1
)</f>
        <v>0</v>
      </c>
      <c r="F88" s="186">
        <f ca="1">-SUMIFS(
  desp.m.ik[valor],
  desp.m.ik[nucleo], $B88,
  desp.m.ik[variavel], $B$87,
  desp.m.ik[mes], "&gt;="&amp;F$1,
  desp.m.ik[mes], "&lt;"&amp;EOMONTH(F$1,0)+1
)</f>
        <v>0</v>
      </c>
      <c r="G88" s="186">
        <f ca="1">-SUMIFS(
  desp.m.ik[valor],
  desp.m.ik[nucleo], $B88,
  desp.m.ik[variavel], $B$87,
  desp.m.ik[mes], "&gt;="&amp;G$1,
  desp.m.ik[mes], "&lt;"&amp;EOMONTH(G$1,0)+1
)</f>
        <v>0</v>
      </c>
      <c r="H88" s="186">
        <f ca="1">-SUMIFS(
  desp.m.ik[valor],
  desp.m.ik[nucleo], $B88,
  desp.m.ik[variavel], $B$87,
  desp.m.ik[mes], "&gt;="&amp;H$1,
  desp.m.ik[mes], "&lt;"&amp;EOMONTH(H$1,0)+1
)</f>
        <v>0</v>
      </c>
      <c r="I88" s="186">
        <f ca="1">-SUMIFS(
  desp.m.ik[valor],
  desp.m.ik[nucleo], $B88,
  desp.m.ik[variavel], $B$87,
  desp.m.ik[mes], "&gt;="&amp;I$1,
  desp.m.ik[mes], "&lt;"&amp;EOMONTH(I$1,0)+1
)</f>
        <v>0</v>
      </c>
      <c r="J88" s="186">
        <f ca="1">-SUMIFS(
  desp.m.ik[valor],
  desp.m.ik[nucleo], $B88,
  desp.m.ik[variavel], $B$87,
  desp.m.ik[mes], "&gt;="&amp;J$1,
  desp.m.ik[mes], "&lt;"&amp;EOMONTH(J$1,0)+1
)</f>
        <v>0</v>
      </c>
      <c r="K88" s="186">
        <f ca="1">-SUMIFS(
  desp.m.ik[valor],
  desp.m.ik[nucleo], $B88,
  desp.m.ik[variavel], $B$87,
  desp.m.ik[mes], "&gt;="&amp;K$1,
  desp.m.ik[mes], "&lt;"&amp;EOMONTH(K$1,0)+1
)</f>
        <v>0</v>
      </c>
      <c r="L88" s="186">
        <f ca="1">-SUMIFS(
  desp.m.ik[valor],
  desp.m.ik[nucleo], $B88,
  desp.m.ik[variavel], $B$87,
  desp.m.ik[mes], "&gt;="&amp;L$1,
  desp.m.ik[mes], "&lt;"&amp;EOMONTH(L$1,0)+1
)</f>
        <v>0</v>
      </c>
      <c r="M88" s="186">
        <f ca="1">-SUMIFS(
  desp.m.ik[valor],
  desp.m.ik[nucleo], $B88,
  desp.m.ik[variavel], $B$87,
  desp.m.ik[mes], "&gt;="&amp;M$1,
  desp.m.ik[mes], "&lt;"&amp;EOMONTH(M$1,0)+1
)</f>
        <v>0</v>
      </c>
      <c r="N88" s="186">
        <f ca="1">-SUMIFS(
  desp.m.ik[valor],
  desp.m.ik[nucleo], $B88,
  desp.m.ik[variavel], $B$87,
  desp.m.ik[mes], "&gt;="&amp;N$1,
  desp.m.ik[mes], "&lt;"&amp;EOMONTH(N$1,0)+1
)</f>
        <v>0</v>
      </c>
      <c r="O88" s="186">
        <f ca="1">-SUMIFS(
  desp.m.ik[valor],
  desp.m.ik[nucleo], $B88,
  desp.m.ik[variavel], $B$87,
  desp.m.ik[mes], "&gt;="&amp;O$1,
  desp.m.ik[mes], "&lt;"&amp;EOMONTH(O$1,0)+1
)</f>
        <v>0</v>
      </c>
      <c r="P88" s="186">
        <f ca="1">-SUMIFS(
  desp.m.ik[valor],
  desp.m.ik[nucleo], $B88,
  desp.m.ik[variavel], $B$87,
  desp.m.ik[mes], "&gt;="&amp;P$1,
  desp.m.ik[mes], "&lt;"&amp;EOMONTH(P$1,0)+1
)</f>
        <v>0</v>
      </c>
      <c r="Q88" s="186">
        <f ca="1">-SUMIFS(
  desp.m.ik[valor],
  desp.m.ik[nucleo], $B88,
  desp.m.ik[variavel], $B$87,
  desp.m.ik[mes], "&gt;="&amp;Q$1,
  desp.m.ik[mes], "&lt;"&amp;EOMONTH(Q$1,0)+1
)</f>
        <v>0</v>
      </c>
      <c r="R88" s="186">
        <f ca="1">-SUMIFS(
  desp.m.ik[valor],
  desp.m.ik[nucleo], $B88,
  desp.m.ik[variavel], $B$87,
  desp.m.ik[mes], "&gt;="&amp;R$1,
  desp.m.ik[mes], "&lt;"&amp;EOMONTH(R$1,0)+1
)</f>
        <v>0</v>
      </c>
      <c r="S88" s="186">
        <f ca="1">-SUMIFS(
  desp.m.ik[valor],
  desp.m.ik[nucleo], $B88,
  desp.m.ik[variavel], $B$87,
  desp.m.ik[mes], "&gt;="&amp;S$1,
  desp.m.ik[mes], "&lt;"&amp;EOMONTH(S$1,0)+1
)</f>
        <v>0</v>
      </c>
      <c r="T88" s="186">
        <f ca="1">-SUMIFS(
  desp.m.ik[valor],
  desp.m.ik[nucleo], $B88,
  desp.m.ik[variavel], $B$87,
  desp.m.ik[mes], "&gt;="&amp;T$1,
  desp.m.ik[mes], "&lt;"&amp;EOMONTH(T$1,0)+1
)</f>
        <v>0</v>
      </c>
      <c r="U88" s="186">
        <f ca="1">-SUMIFS(
  desp.m.ik[valor],
  desp.m.ik[nucleo], $B88,
  desp.m.ik[variavel], $B$87,
  desp.m.ik[mes], "&gt;="&amp;U$1,
  desp.m.ik[mes], "&lt;"&amp;EOMONTH(U$1,0)+1
)</f>
        <v>0</v>
      </c>
      <c r="V88" s="186">
        <f ca="1">-SUMIFS(
  desp.m.ik[valor],
  desp.m.ik[nucleo], $B88,
  desp.m.ik[variavel], $B$87,
  desp.m.ik[mes], "&gt;="&amp;V$1,
  desp.m.ik[mes], "&lt;"&amp;EOMONTH(V$1,0)+1
)</f>
        <v>0</v>
      </c>
      <c r="W88" s="186">
        <f ca="1">-SUMIFS(
  desp.m.ik[valor],
  desp.m.ik[nucleo], $B88,
  desp.m.ik[variavel], $B$87,
  desp.m.ik[mes], "&gt;="&amp;W$1,
  desp.m.ik[mes], "&lt;"&amp;EOMONTH(W$1,0)+1
)</f>
        <v>0</v>
      </c>
      <c r="X88" s="186">
        <f ca="1">-SUMIFS(
  desp.m.ik[valor],
  desp.m.ik[nucleo], $B88,
  desp.m.ik[variavel], $B$87,
  desp.m.ik[mes], "&gt;="&amp;X$1,
  desp.m.ik[mes], "&lt;"&amp;EOMONTH(X$1,0)+1
)</f>
        <v>0</v>
      </c>
      <c r="Y88" s="186">
        <f ca="1">-SUMIFS(
  desp.m.ik[valor],
  desp.m.ik[nucleo], $B88,
  desp.m.ik[variavel], $B$87,
  desp.m.ik[mes], "&gt;="&amp;Y$1,
  desp.m.ik[mes], "&lt;"&amp;EOMONTH(Y$1,0)+1
)</f>
        <v>0</v>
      </c>
      <c r="Z88" s="186">
        <f ca="1">-SUMIFS(
  desp.m.ik[valor],
  desp.m.ik[nucleo], $B88,
  desp.m.ik[variavel], $B$87,
  desp.m.ik[mes], "&gt;="&amp;Z$1,
  desp.m.ik[mes], "&lt;"&amp;EOMONTH(Z$1,0)+1
)</f>
        <v>0</v>
      </c>
      <c r="AA88" s="186">
        <f ca="1">-SUMIFS(
  desp.m.ik[valor],
  desp.m.ik[nucleo], $B88,
  desp.m.ik[variavel], $B$87,
  desp.m.ik[mes], "&gt;="&amp;AA$1,
  desp.m.ik[mes], "&lt;"&amp;EOMONTH(AA$1,0)+1
)</f>
        <v>0</v>
      </c>
      <c r="AC88" s="178">
        <f t="shared" ca="1" si="17"/>
        <v>0</v>
      </c>
      <c r="AE88" s="178">
        <f ca="1">SUM(D88:AA88)</f>
        <v>0</v>
      </c>
    </row>
    <row r="89" spans="1:31" hidden="1" outlineLevel="2" x14ac:dyDescent="0.25">
      <c r="A89" s="185" t="s">
        <v>1194</v>
      </c>
      <c r="B89" s="185" t="s">
        <v>546</v>
      </c>
      <c r="C89" s="138" t="s">
        <v>514</v>
      </c>
      <c r="D89" s="186">
        <f ca="1">-SUMIFS(
  desp.m.ik[valor],
  desp.m.ik[nucleo], $B89,
  desp.m.ik[variavel], $B$87,
  desp.m.ik[mes], "&gt;="&amp;D$1,
  desp.m.ik[mes], "&lt;"&amp;EOMONTH(D$1,0)+1
)</f>
        <v>0</v>
      </c>
      <c r="E89" s="186">
        <f ca="1">-SUMIFS(
  desp.m.ik[valor],
  desp.m.ik[nucleo], $B89,
  desp.m.ik[variavel], $B$87,
  desp.m.ik[mes], "&gt;="&amp;E$1,
  desp.m.ik[mes], "&lt;"&amp;EOMONTH(E$1,0)+1
)</f>
        <v>0</v>
      </c>
      <c r="F89" s="186">
        <f ca="1">-SUMIFS(
  desp.m.ik[valor],
  desp.m.ik[nucleo], $B89,
  desp.m.ik[variavel], $B$87,
  desp.m.ik[mes], "&gt;="&amp;F$1,
  desp.m.ik[mes], "&lt;"&amp;EOMONTH(F$1,0)+1
)</f>
        <v>0</v>
      </c>
      <c r="G89" s="186">
        <f ca="1">-SUMIFS(
  desp.m.ik[valor],
  desp.m.ik[nucleo], $B89,
  desp.m.ik[variavel], $B$87,
  desp.m.ik[mes], "&gt;="&amp;G$1,
  desp.m.ik[mes], "&lt;"&amp;EOMONTH(G$1,0)+1
)</f>
        <v>0</v>
      </c>
      <c r="H89" s="186">
        <f ca="1">-SUMIFS(
  desp.m.ik[valor],
  desp.m.ik[nucleo], $B89,
  desp.m.ik[variavel], $B$87,
  desp.m.ik[mes], "&gt;="&amp;H$1,
  desp.m.ik[mes], "&lt;"&amp;EOMONTH(H$1,0)+1
)</f>
        <v>0</v>
      </c>
      <c r="I89" s="186">
        <f ca="1">-SUMIFS(
  desp.m.ik[valor],
  desp.m.ik[nucleo], $B89,
  desp.m.ik[variavel], $B$87,
  desp.m.ik[mes], "&gt;="&amp;I$1,
  desp.m.ik[mes], "&lt;"&amp;EOMONTH(I$1,0)+1
)</f>
        <v>0</v>
      </c>
      <c r="J89" s="186">
        <f ca="1">-SUMIFS(
  desp.m.ik[valor],
  desp.m.ik[nucleo], $B89,
  desp.m.ik[variavel], $B$87,
  desp.m.ik[mes], "&gt;="&amp;J$1,
  desp.m.ik[mes], "&lt;"&amp;EOMONTH(J$1,0)+1
)</f>
        <v>0</v>
      </c>
      <c r="K89" s="186">
        <f ca="1">-SUMIFS(
  desp.m.ik[valor],
  desp.m.ik[nucleo], $B89,
  desp.m.ik[variavel], $B$87,
  desp.m.ik[mes], "&gt;="&amp;K$1,
  desp.m.ik[mes], "&lt;"&amp;EOMONTH(K$1,0)+1
)</f>
        <v>0</v>
      </c>
      <c r="L89" s="186">
        <f ca="1">-SUMIFS(
  desp.m.ik[valor],
  desp.m.ik[nucleo], $B89,
  desp.m.ik[variavel], $B$87,
  desp.m.ik[mes], "&gt;="&amp;L$1,
  desp.m.ik[mes], "&lt;"&amp;EOMONTH(L$1,0)+1
)</f>
        <v>0</v>
      </c>
      <c r="M89" s="186">
        <f ca="1">-SUMIFS(
  desp.m.ik[valor],
  desp.m.ik[nucleo], $B89,
  desp.m.ik[variavel], $B$87,
  desp.m.ik[mes], "&gt;="&amp;M$1,
  desp.m.ik[mes], "&lt;"&amp;EOMONTH(M$1,0)+1
)</f>
        <v>0</v>
      </c>
      <c r="N89" s="186">
        <f ca="1">-SUMIFS(
  desp.m.ik[valor],
  desp.m.ik[nucleo], $B89,
  desp.m.ik[variavel], $B$87,
  desp.m.ik[mes], "&gt;="&amp;N$1,
  desp.m.ik[mes], "&lt;"&amp;EOMONTH(N$1,0)+1
)</f>
        <v>0</v>
      </c>
      <c r="O89" s="186">
        <f ca="1">-SUMIFS(
  desp.m.ik[valor],
  desp.m.ik[nucleo], $B89,
  desp.m.ik[variavel], $B$87,
  desp.m.ik[mes], "&gt;="&amp;O$1,
  desp.m.ik[mes], "&lt;"&amp;EOMONTH(O$1,0)+1
)</f>
        <v>0</v>
      </c>
      <c r="P89" s="186">
        <f ca="1">-SUMIFS(
  desp.m.ik[valor],
  desp.m.ik[nucleo], $B89,
  desp.m.ik[variavel], $B$87,
  desp.m.ik[mes], "&gt;="&amp;P$1,
  desp.m.ik[mes], "&lt;"&amp;EOMONTH(P$1,0)+1
)</f>
        <v>0</v>
      </c>
      <c r="Q89" s="186">
        <f ca="1">-SUMIFS(
  desp.m.ik[valor],
  desp.m.ik[nucleo], $B89,
  desp.m.ik[variavel], $B$87,
  desp.m.ik[mes], "&gt;="&amp;Q$1,
  desp.m.ik[mes], "&lt;"&amp;EOMONTH(Q$1,0)+1
)</f>
        <v>0</v>
      </c>
      <c r="R89" s="186">
        <f ca="1">-SUMIFS(
  desp.m.ik[valor],
  desp.m.ik[nucleo], $B89,
  desp.m.ik[variavel], $B$87,
  desp.m.ik[mes], "&gt;="&amp;R$1,
  desp.m.ik[mes], "&lt;"&amp;EOMONTH(R$1,0)+1
)</f>
        <v>0</v>
      </c>
      <c r="S89" s="186">
        <f ca="1">-SUMIFS(
  desp.m.ik[valor],
  desp.m.ik[nucleo], $B89,
  desp.m.ik[variavel], $B$87,
  desp.m.ik[mes], "&gt;="&amp;S$1,
  desp.m.ik[mes], "&lt;"&amp;EOMONTH(S$1,0)+1
)</f>
        <v>0</v>
      </c>
      <c r="T89" s="186">
        <f ca="1">-SUMIFS(
  desp.m.ik[valor],
  desp.m.ik[nucleo], $B89,
  desp.m.ik[variavel], $B$87,
  desp.m.ik[mes], "&gt;="&amp;T$1,
  desp.m.ik[mes], "&lt;"&amp;EOMONTH(T$1,0)+1
)</f>
        <v>0</v>
      </c>
      <c r="U89" s="186">
        <f ca="1">-SUMIFS(
  desp.m.ik[valor],
  desp.m.ik[nucleo], $B89,
  desp.m.ik[variavel], $B$87,
  desp.m.ik[mes], "&gt;="&amp;U$1,
  desp.m.ik[mes], "&lt;"&amp;EOMONTH(U$1,0)+1
)</f>
        <v>0</v>
      </c>
      <c r="V89" s="186">
        <f ca="1">-SUMIFS(
  desp.m.ik[valor],
  desp.m.ik[nucleo], $B89,
  desp.m.ik[variavel], $B$87,
  desp.m.ik[mes], "&gt;="&amp;V$1,
  desp.m.ik[mes], "&lt;"&amp;EOMONTH(V$1,0)+1
)</f>
        <v>0</v>
      </c>
      <c r="W89" s="186">
        <f ca="1">-SUMIFS(
  desp.m.ik[valor],
  desp.m.ik[nucleo], $B89,
  desp.m.ik[variavel], $B$87,
  desp.m.ik[mes], "&gt;="&amp;W$1,
  desp.m.ik[mes], "&lt;"&amp;EOMONTH(W$1,0)+1
)</f>
        <v>0</v>
      </c>
      <c r="X89" s="186">
        <f ca="1">-SUMIFS(
  desp.m.ik[valor],
  desp.m.ik[nucleo], $B89,
  desp.m.ik[variavel], $B$87,
  desp.m.ik[mes], "&gt;="&amp;X$1,
  desp.m.ik[mes], "&lt;"&amp;EOMONTH(X$1,0)+1
)</f>
        <v>0</v>
      </c>
      <c r="Y89" s="186">
        <f ca="1">-SUMIFS(
  desp.m.ik[valor],
  desp.m.ik[nucleo], $B89,
  desp.m.ik[variavel], $B$87,
  desp.m.ik[mes], "&gt;="&amp;Y$1,
  desp.m.ik[mes], "&lt;"&amp;EOMONTH(Y$1,0)+1
)</f>
        <v>0</v>
      </c>
      <c r="Z89" s="186">
        <f ca="1">-SUMIFS(
  desp.m.ik[valor],
  desp.m.ik[nucleo], $B89,
  desp.m.ik[variavel], $B$87,
  desp.m.ik[mes], "&gt;="&amp;Z$1,
  desp.m.ik[mes], "&lt;"&amp;EOMONTH(Z$1,0)+1
)</f>
        <v>0</v>
      </c>
      <c r="AA89" s="186">
        <f ca="1">-SUMIFS(
  desp.m.ik[valor],
  desp.m.ik[nucleo], $B89,
  desp.m.ik[variavel], $B$87,
  desp.m.ik[mes], "&gt;="&amp;AA$1,
  desp.m.ik[mes], "&lt;"&amp;EOMONTH(AA$1,0)+1
)</f>
        <v>0</v>
      </c>
      <c r="AC89" s="178">
        <f t="shared" ca="1" si="17"/>
        <v>0</v>
      </c>
      <c r="AE89" s="178">
        <f t="shared" ca="1" si="19"/>
        <v>0</v>
      </c>
    </row>
    <row r="90" spans="1:31" hidden="1" outlineLevel="2" x14ac:dyDescent="0.25">
      <c r="A90" s="185" t="s">
        <v>1197</v>
      </c>
      <c r="B90" s="185" t="s">
        <v>544</v>
      </c>
      <c r="C90" s="138" t="s">
        <v>514</v>
      </c>
      <c r="D90" s="186">
        <f ca="1">-SUMIFS(
  desp.m.ik[valor],
  desp.m.ik[nucleo], $B90,
  desp.m.ik[variavel], $B$87,
  desp.m.ik[mes], "&gt;="&amp;D$1,
  desp.m.ik[mes], "&lt;"&amp;EOMONTH(D$1,0)+1
)</f>
        <v>0</v>
      </c>
      <c r="E90" s="186">
        <f ca="1">-SUMIFS(
  desp.m.ik[valor],
  desp.m.ik[nucleo], $B90,
  desp.m.ik[variavel], $B$87,
  desp.m.ik[mes], "&gt;="&amp;E$1,
  desp.m.ik[mes], "&lt;"&amp;EOMONTH(E$1,0)+1
)</f>
        <v>0</v>
      </c>
      <c r="F90" s="186">
        <f ca="1">-SUMIFS(
  desp.m.ik[valor],
  desp.m.ik[nucleo], $B90,
  desp.m.ik[variavel], $B$87,
  desp.m.ik[mes], "&gt;="&amp;F$1,
  desp.m.ik[mes], "&lt;"&amp;EOMONTH(F$1,0)+1
)</f>
        <v>0</v>
      </c>
      <c r="G90" s="186">
        <f ca="1">-SUMIFS(
  desp.m.ik[valor],
  desp.m.ik[nucleo], $B90,
  desp.m.ik[variavel], $B$87,
  desp.m.ik[mes], "&gt;="&amp;G$1,
  desp.m.ik[mes], "&lt;"&amp;EOMONTH(G$1,0)+1
)</f>
        <v>0</v>
      </c>
      <c r="H90" s="186">
        <f ca="1">-SUMIFS(
  desp.m.ik[valor],
  desp.m.ik[nucleo], $B90,
  desp.m.ik[variavel], $B$87,
  desp.m.ik[mes], "&gt;="&amp;H$1,
  desp.m.ik[mes], "&lt;"&amp;EOMONTH(H$1,0)+1
)</f>
        <v>0</v>
      </c>
      <c r="I90" s="186">
        <f ca="1">-SUMIFS(
  desp.m.ik[valor],
  desp.m.ik[nucleo], $B90,
  desp.m.ik[variavel], $B$87,
  desp.m.ik[mes], "&gt;="&amp;I$1,
  desp.m.ik[mes], "&lt;"&amp;EOMONTH(I$1,0)+1
)</f>
        <v>0</v>
      </c>
      <c r="J90" s="186">
        <f ca="1">-SUMIFS(
  desp.m.ik[valor],
  desp.m.ik[nucleo], $B90,
  desp.m.ik[variavel], $B$87,
  desp.m.ik[mes], "&gt;="&amp;J$1,
  desp.m.ik[mes], "&lt;"&amp;EOMONTH(J$1,0)+1
)</f>
        <v>0</v>
      </c>
      <c r="K90" s="186">
        <f ca="1">-SUMIFS(
  desp.m.ik[valor],
  desp.m.ik[nucleo], $B90,
  desp.m.ik[variavel], $B$87,
  desp.m.ik[mes], "&gt;="&amp;K$1,
  desp.m.ik[mes], "&lt;"&amp;EOMONTH(K$1,0)+1
)</f>
        <v>0</v>
      </c>
      <c r="L90" s="186">
        <f ca="1">-SUMIFS(
  desp.m.ik[valor],
  desp.m.ik[nucleo], $B90,
  desp.m.ik[variavel], $B$87,
  desp.m.ik[mes], "&gt;="&amp;L$1,
  desp.m.ik[mes], "&lt;"&amp;EOMONTH(L$1,0)+1
)</f>
        <v>0</v>
      </c>
      <c r="M90" s="186">
        <f ca="1">-SUMIFS(
  desp.m.ik[valor],
  desp.m.ik[nucleo], $B90,
  desp.m.ik[variavel], $B$87,
  desp.m.ik[mes], "&gt;="&amp;M$1,
  desp.m.ik[mes], "&lt;"&amp;EOMONTH(M$1,0)+1
)</f>
        <v>0</v>
      </c>
      <c r="N90" s="186">
        <f ca="1">-SUMIFS(
  desp.m.ik[valor],
  desp.m.ik[nucleo], $B90,
  desp.m.ik[variavel], $B$87,
  desp.m.ik[mes], "&gt;="&amp;N$1,
  desp.m.ik[mes], "&lt;"&amp;EOMONTH(N$1,0)+1
)</f>
        <v>0</v>
      </c>
      <c r="O90" s="186">
        <f ca="1">-SUMIFS(
  desp.m.ik[valor],
  desp.m.ik[nucleo], $B90,
  desp.m.ik[variavel], $B$87,
  desp.m.ik[mes], "&gt;="&amp;O$1,
  desp.m.ik[mes], "&lt;"&amp;EOMONTH(O$1,0)+1
)</f>
        <v>0</v>
      </c>
      <c r="P90" s="186">
        <f ca="1">-SUMIFS(
  desp.m.ik[valor],
  desp.m.ik[nucleo], $B90,
  desp.m.ik[variavel], $B$87,
  desp.m.ik[mes], "&gt;="&amp;P$1,
  desp.m.ik[mes], "&lt;"&amp;EOMONTH(P$1,0)+1
)</f>
        <v>0</v>
      </c>
      <c r="Q90" s="186">
        <f ca="1">-SUMIFS(
  desp.m.ik[valor],
  desp.m.ik[nucleo], $B90,
  desp.m.ik[variavel], $B$87,
  desp.m.ik[mes], "&gt;="&amp;Q$1,
  desp.m.ik[mes], "&lt;"&amp;EOMONTH(Q$1,0)+1
)</f>
        <v>0</v>
      </c>
      <c r="R90" s="186">
        <f ca="1">-SUMIFS(
  desp.m.ik[valor],
  desp.m.ik[nucleo], $B90,
  desp.m.ik[variavel], $B$87,
  desp.m.ik[mes], "&gt;="&amp;R$1,
  desp.m.ik[mes], "&lt;"&amp;EOMONTH(R$1,0)+1
)</f>
        <v>0</v>
      </c>
      <c r="S90" s="186">
        <f ca="1">-SUMIFS(
  desp.m.ik[valor],
  desp.m.ik[nucleo], $B90,
  desp.m.ik[variavel], $B$87,
  desp.m.ik[mes], "&gt;="&amp;S$1,
  desp.m.ik[mes], "&lt;"&amp;EOMONTH(S$1,0)+1
)</f>
        <v>0</v>
      </c>
      <c r="T90" s="186">
        <f ca="1">-SUMIFS(
  desp.m.ik[valor],
  desp.m.ik[nucleo], $B90,
  desp.m.ik[variavel], $B$87,
  desp.m.ik[mes], "&gt;="&amp;T$1,
  desp.m.ik[mes], "&lt;"&amp;EOMONTH(T$1,0)+1
)</f>
        <v>0</v>
      </c>
      <c r="U90" s="186">
        <f ca="1">-SUMIFS(
  desp.m.ik[valor],
  desp.m.ik[nucleo], $B90,
  desp.m.ik[variavel], $B$87,
  desp.m.ik[mes], "&gt;="&amp;U$1,
  desp.m.ik[mes], "&lt;"&amp;EOMONTH(U$1,0)+1
)</f>
        <v>0</v>
      </c>
      <c r="V90" s="186">
        <f ca="1">-SUMIFS(
  desp.m.ik[valor],
  desp.m.ik[nucleo], $B90,
  desp.m.ik[variavel], $B$87,
  desp.m.ik[mes], "&gt;="&amp;V$1,
  desp.m.ik[mes], "&lt;"&amp;EOMONTH(V$1,0)+1
)</f>
        <v>0</v>
      </c>
      <c r="W90" s="186">
        <f ca="1">-SUMIFS(
  desp.m.ik[valor],
  desp.m.ik[nucleo], $B90,
  desp.m.ik[variavel], $B$87,
  desp.m.ik[mes], "&gt;="&amp;W$1,
  desp.m.ik[mes], "&lt;"&amp;EOMONTH(W$1,0)+1
)</f>
        <v>0</v>
      </c>
      <c r="X90" s="186">
        <f ca="1">-SUMIFS(
  desp.m.ik[valor],
  desp.m.ik[nucleo], $B90,
  desp.m.ik[variavel], $B$87,
  desp.m.ik[mes], "&gt;="&amp;X$1,
  desp.m.ik[mes], "&lt;"&amp;EOMONTH(X$1,0)+1
)</f>
        <v>0</v>
      </c>
      <c r="Y90" s="186">
        <f ca="1">-SUMIFS(
  desp.m.ik[valor],
  desp.m.ik[nucleo], $B90,
  desp.m.ik[variavel], $B$87,
  desp.m.ik[mes], "&gt;="&amp;Y$1,
  desp.m.ik[mes], "&lt;"&amp;EOMONTH(Y$1,0)+1
)</f>
        <v>0</v>
      </c>
      <c r="Z90" s="186">
        <f ca="1">-SUMIFS(
  desp.m.ik[valor],
  desp.m.ik[nucleo], $B90,
  desp.m.ik[variavel], $B$87,
  desp.m.ik[mes], "&gt;="&amp;Z$1,
  desp.m.ik[mes], "&lt;"&amp;EOMONTH(Z$1,0)+1
)</f>
        <v>0</v>
      </c>
      <c r="AA90" s="186">
        <f ca="1">-SUMIFS(
  desp.m.ik[valor],
  desp.m.ik[nucleo], $B90,
  desp.m.ik[variavel], $B$87,
  desp.m.ik[mes], "&gt;="&amp;AA$1,
  desp.m.ik[mes], "&lt;"&amp;EOMONTH(AA$1,0)+1
)</f>
        <v>0</v>
      </c>
      <c r="AC90" s="178">
        <f t="shared" ca="1" si="17"/>
        <v>0</v>
      </c>
      <c r="AE90" s="178">
        <f ca="1">SUM(D90:AA90)</f>
        <v>0</v>
      </c>
    </row>
    <row r="91" spans="1:31" hidden="1" outlineLevel="2" x14ac:dyDescent="0.25">
      <c r="A91" s="185" t="s">
        <v>1145</v>
      </c>
      <c r="B91" s="185" t="s">
        <v>539</v>
      </c>
      <c r="C91" s="138" t="s">
        <v>514</v>
      </c>
      <c r="D91" s="186">
        <f ca="1">-SUMIFS(
  desp.m.ik[valor],
  desp.m.ik[nucleo], $B91,
  desp.m.ik[variavel], $B$87,
  desp.m.ik[mes], "&gt;="&amp;D$1,
  desp.m.ik[mes], "&lt;"&amp;EOMONTH(D$1,0)+1
)</f>
        <v>0</v>
      </c>
      <c r="E91" s="186">
        <f ca="1">-SUMIFS(
  desp.m.ik[valor],
  desp.m.ik[nucleo], $B91,
  desp.m.ik[variavel], $B$87,
  desp.m.ik[mes], "&gt;="&amp;E$1,
  desp.m.ik[mes], "&lt;"&amp;EOMONTH(E$1,0)+1
)</f>
        <v>0</v>
      </c>
      <c r="F91" s="186">
        <f ca="1">-SUMIFS(
  desp.m.ik[valor],
  desp.m.ik[nucleo], $B91,
  desp.m.ik[variavel], $B$87,
  desp.m.ik[mes], "&gt;="&amp;F$1,
  desp.m.ik[mes], "&lt;"&amp;EOMONTH(F$1,0)+1
)</f>
        <v>0</v>
      </c>
      <c r="G91" s="186">
        <f ca="1">-SUMIFS(
  desp.m.ik[valor],
  desp.m.ik[nucleo], $B91,
  desp.m.ik[variavel], $B$87,
  desp.m.ik[mes], "&gt;="&amp;G$1,
  desp.m.ik[mes], "&lt;"&amp;EOMONTH(G$1,0)+1
)</f>
        <v>0</v>
      </c>
      <c r="H91" s="186">
        <f ca="1">-SUMIFS(
  desp.m.ik[valor],
  desp.m.ik[nucleo], $B91,
  desp.m.ik[variavel], $B$87,
  desp.m.ik[mes], "&gt;="&amp;H$1,
  desp.m.ik[mes], "&lt;"&amp;EOMONTH(H$1,0)+1
)</f>
        <v>0</v>
      </c>
      <c r="I91" s="186">
        <f ca="1">-SUMIFS(
  desp.m.ik[valor],
  desp.m.ik[nucleo], $B91,
  desp.m.ik[variavel], $B$87,
  desp.m.ik[mes], "&gt;="&amp;I$1,
  desp.m.ik[mes], "&lt;"&amp;EOMONTH(I$1,0)+1
)</f>
        <v>0</v>
      </c>
      <c r="J91" s="186">
        <f ca="1">-SUMIFS(
  desp.m.ik[valor],
  desp.m.ik[nucleo], $B91,
  desp.m.ik[variavel], $B$87,
  desp.m.ik[mes], "&gt;="&amp;J$1,
  desp.m.ik[mes], "&lt;"&amp;EOMONTH(J$1,0)+1
)</f>
        <v>0</v>
      </c>
      <c r="K91" s="186">
        <f ca="1">-SUMIFS(
  desp.m.ik[valor],
  desp.m.ik[nucleo], $B91,
  desp.m.ik[variavel], $B$87,
  desp.m.ik[mes], "&gt;="&amp;K$1,
  desp.m.ik[mes], "&lt;"&amp;EOMONTH(K$1,0)+1
)</f>
        <v>0</v>
      </c>
      <c r="L91" s="186">
        <f ca="1">-SUMIFS(
  desp.m.ik[valor],
  desp.m.ik[nucleo], $B91,
  desp.m.ik[variavel], $B$87,
  desp.m.ik[mes], "&gt;="&amp;L$1,
  desp.m.ik[mes], "&lt;"&amp;EOMONTH(L$1,0)+1
)</f>
        <v>0</v>
      </c>
      <c r="M91" s="186">
        <f ca="1">-SUMIFS(
  desp.m.ik[valor],
  desp.m.ik[nucleo], $B91,
  desp.m.ik[variavel], $B$87,
  desp.m.ik[mes], "&gt;="&amp;M$1,
  desp.m.ik[mes], "&lt;"&amp;EOMONTH(M$1,0)+1
)</f>
        <v>0</v>
      </c>
      <c r="N91" s="186">
        <f ca="1">-SUMIFS(
  desp.m.ik[valor],
  desp.m.ik[nucleo], $B91,
  desp.m.ik[variavel], $B$87,
  desp.m.ik[mes], "&gt;="&amp;N$1,
  desp.m.ik[mes], "&lt;"&amp;EOMONTH(N$1,0)+1
)</f>
        <v>0</v>
      </c>
      <c r="O91" s="186">
        <f ca="1">-SUMIFS(
  desp.m.ik[valor],
  desp.m.ik[nucleo], $B91,
  desp.m.ik[variavel], $B$87,
  desp.m.ik[mes], "&gt;="&amp;O$1,
  desp.m.ik[mes], "&lt;"&amp;EOMONTH(O$1,0)+1
)</f>
        <v>0</v>
      </c>
      <c r="P91" s="186">
        <f ca="1">-SUMIFS(
  desp.m.ik[valor],
  desp.m.ik[nucleo], $B91,
  desp.m.ik[variavel], $B$87,
  desp.m.ik[mes], "&gt;="&amp;P$1,
  desp.m.ik[mes], "&lt;"&amp;EOMONTH(P$1,0)+1
)</f>
        <v>0</v>
      </c>
      <c r="Q91" s="186">
        <f ca="1">-SUMIFS(
  desp.m.ik[valor],
  desp.m.ik[nucleo], $B91,
  desp.m.ik[variavel], $B$87,
  desp.m.ik[mes], "&gt;="&amp;Q$1,
  desp.m.ik[mes], "&lt;"&amp;EOMONTH(Q$1,0)+1
)</f>
        <v>0</v>
      </c>
      <c r="R91" s="186">
        <f ca="1">-SUMIFS(
  desp.m.ik[valor],
  desp.m.ik[nucleo], $B91,
  desp.m.ik[variavel], $B$87,
  desp.m.ik[mes], "&gt;="&amp;R$1,
  desp.m.ik[mes], "&lt;"&amp;EOMONTH(R$1,0)+1
)</f>
        <v>0</v>
      </c>
      <c r="S91" s="186">
        <f ca="1">-SUMIFS(
  desp.m.ik[valor],
  desp.m.ik[nucleo], $B91,
  desp.m.ik[variavel], $B$87,
  desp.m.ik[mes], "&gt;="&amp;S$1,
  desp.m.ik[mes], "&lt;"&amp;EOMONTH(S$1,0)+1
)</f>
        <v>0</v>
      </c>
      <c r="T91" s="186">
        <f ca="1">-SUMIFS(
  desp.m.ik[valor],
  desp.m.ik[nucleo], $B91,
  desp.m.ik[variavel], $B$87,
  desp.m.ik[mes], "&gt;="&amp;T$1,
  desp.m.ik[mes], "&lt;"&amp;EOMONTH(T$1,0)+1
)</f>
        <v>0</v>
      </c>
      <c r="U91" s="186">
        <f ca="1">-SUMIFS(
  desp.m.ik[valor],
  desp.m.ik[nucleo], $B91,
  desp.m.ik[variavel], $B$87,
  desp.m.ik[mes], "&gt;="&amp;U$1,
  desp.m.ik[mes], "&lt;"&amp;EOMONTH(U$1,0)+1
)</f>
        <v>0</v>
      </c>
      <c r="V91" s="186">
        <f ca="1">-SUMIFS(
  desp.m.ik[valor],
  desp.m.ik[nucleo], $B91,
  desp.m.ik[variavel], $B$87,
  desp.m.ik[mes], "&gt;="&amp;V$1,
  desp.m.ik[mes], "&lt;"&amp;EOMONTH(V$1,0)+1
)</f>
        <v>0</v>
      </c>
      <c r="W91" s="186">
        <f ca="1">-SUMIFS(
  desp.m.ik[valor],
  desp.m.ik[nucleo], $B91,
  desp.m.ik[variavel], $B$87,
  desp.m.ik[mes], "&gt;="&amp;W$1,
  desp.m.ik[mes], "&lt;"&amp;EOMONTH(W$1,0)+1
)</f>
        <v>0</v>
      </c>
      <c r="X91" s="186">
        <f ca="1">-SUMIFS(
  desp.m.ik[valor],
  desp.m.ik[nucleo], $B91,
  desp.m.ik[variavel], $B$87,
  desp.m.ik[mes], "&gt;="&amp;X$1,
  desp.m.ik[mes], "&lt;"&amp;EOMONTH(X$1,0)+1
)</f>
        <v>0</v>
      </c>
      <c r="Y91" s="186">
        <f ca="1">-SUMIFS(
  desp.m.ik[valor],
  desp.m.ik[nucleo], $B91,
  desp.m.ik[variavel], $B$87,
  desp.m.ik[mes], "&gt;="&amp;Y$1,
  desp.m.ik[mes], "&lt;"&amp;EOMONTH(Y$1,0)+1
)</f>
        <v>0</v>
      </c>
      <c r="Z91" s="186">
        <f ca="1">-SUMIFS(
  desp.m.ik[valor],
  desp.m.ik[nucleo], $B91,
  desp.m.ik[variavel], $B$87,
  desp.m.ik[mes], "&gt;="&amp;Z$1,
  desp.m.ik[mes], "&lt;"&amp;EOMONTH(Z$1,0)+1
)</f>
        <v>0</v>
      </c>
      <c r="AA91" s="186">
        <f ca="1">-SUMIFS(
  desp.m.ik[valor],
  desp.m.ik[nucleo], $B91,
  desp.m.ik[variavel], $B$87,
  desp.m.ik[mes], "&gt;="&amp;AA$1,
  desp.m.ik[mes], "&lt;"&amp;EOMONTH(AA$1,0)+1
)</f>
        <v>0</v>
      </c>
      <c r="AC91" s="178">
        <f t="shared" ca="1" si="17"/>
        <v>0</v>
      </c>
      <c r="AE91" s="178">
        <f t="shared" ca="1" si="19"/>
        <v>0</v>
      </c>
    </row>
    <row r="92" spans="1:31" hidden="1" outlineLevel="2" x14ac:dyDescent="0.25">
      <c r="A92" s="185" t="s">
        <v>1196</v>
      </c>
      <c r="B92" s="185" t="s">
        <v>1040</v>
      </c>
      <c r="C92" s="138" t="s">
        <v>514</v>
      </c>
      <c r="D92" s="186">
        <f ca="1">-SUMIFS(
  desp.m.ik[valor],
  desp.m.ik[nucleo], $B92,
  desp.m.ik[variavel], $B$87,
  desp.m.ik[mes], "&gt;="&amp;D$1,
  desp.m.ik[mes], "&lt;"&amp;EOMONTH(D$1,0)+1
)</f>
        <v>0</v>
      </c>
      <c r="E92" s="186">
        <f ca="1">-SUMIFS(
  desp.m.ik[valor],
  desp.m.ik[nucleo], $B92,
  desp.m.ik[variavel], $B$87,
  desp.m.ik[mes], "&gt;="&amp;E$1,
  desp.m.ik[mes], "&lt;"&amp;EOMONTH(E$1,0)+1
)</f>
        <v>0</v>
      </c>
      <c r="F92" s="186">
        <f ca="1">-SUMIFS(
  desp.m.ik[valor],
  desp.m.ik[nucleo], $B92,
  desp.m.ik[variavel], $B$87,
  desp.m.ik[mes], "&gt;="&amp;F$1,
  desp.m.ik[mes], "&lt;"&amp;EOMONTH(F$1,0)+1
)</f>
        <v>0</v>
      </c>
      <c r="G92" s="186">
        <f ca="1">-SUMIFS(
  desp.m.ik[valor],
  desp.m.ik[nucleo], $B92,
  desp.m.ik[variavel], $B$87,
  desp.m.ik[mes], "&gt;="&amp;G$1,
  desp.m.ik[mes], "&lt;"&amp;EOMONTH(G$1,0)+1
)</f>
        <v>0</v>
      </c>
      <c r="H92" s="186">
        <f ca="1">-SUMIFS(
  desp.m.ik[valor],
  desp.m.ik[nucleo], $B92,
  desp.m.ik[variavel], $B$87,
  desp.m.ik[mes], "&gt;="&amp;H$1,
  desp.m.ik[mes], "&lt;"&amp;EOMONTH(H$1,0)+1
)</f>
        <v>0</v>
      </c>
      <c r="I92" s="186">
        <f ca="1">-SUMIFS(
  desp.m.ik[valor],
  desp.m.ik[nucleo], $B92,
  desp.m.ik[variavel], $B$87,
  desp.m.ik[mes], "&gt;="&amp;I$1,
  desp.m.ik[mes], "&lt;"&amp;EOMONTH(I$1,0)+1
)</f>
        <v>0</v>
      </c>
      <c r="J92" s="186">
        <f ca="1">-SUMIFS(
  desp.m.ik[valor],
  desp.m.ik[nucleo], $B92,
  desp.m.ik[variavel], $B$87,
  desp.m.ik[mes], "&gt;="&amp;J$1,
  desp.m.ik[mes], "&lt;"&amp;EOMONTH(J$1,0)+1
)</f>
        <v>0</v>
      </c>
      <c r="K92" s="186">
        <f ca="1">-SUMIFS(
  desp.m.ik[valor],
  desp.m.ik[nucleo], $B92,
  desp.m.ik[variavel], $B$87,
  desp.m.ik[mes], "&gt;="&amp;K$1,
  desp.m.ik[mes], "&lt;"&amp;EOMONTH(K$1,0)+1
)</f>
        <v>0</v>
      </c>
      <c r="L92" s="186">
        <f ca="1">-SUMIFS(
  desp.m.ik[valor],
  desp.m.ik[nucleo], $B92,
  desp.m.ik[variavel], $B$87,
  desp.m.ik[mes], "&gt;="&amp;L$1,
  desp.m.ik[mes], "&lt;"&amp;EOMONTH(L$1,0)+1
)</f>
        <v>0</v>
      </c>
      <c r="M92" s="186">
        <f ca="1">-SUMIFS(
  desp.m.ik[valor],
  desp.m.ik[nucleo], $B92,
  desp.m.ik[variavel], $B$87,
  desp.m.ik[mes], "&gt;="&amp;M$1,
  desp.m.ik[mes], "&lt;"&amp;EOMONTH(M$1,0)+1
)</f>
        <v>0</v>
      </c>
      <c r="N92" s="186">
        <f ca="1">-SUMIFS(
  desp.m.ik[valor],
  desp.m.ik[nucleo], $B92,
  desp.m.ik[variavel], $B$87,
  desp.m.ik[mes], "&gt;="&amp;N$1,
  desp.m.ik[mes], "&lt;"&amp;EOMONTH(N$1,0)+1
)</f>
        <v>0</v>
      </c>
      <c r="O92" s="186">
        <f ca="1">-SUMIFS(
  desp.m.ik[valor],
  desp.m.ik[nucleo], $B92,
  desp.m.ik[variavel], $B$87,
  desp.m.ik[mes], "&gt;="&amp;O$1,
  desp.m.ik[mes], "&lt;"&amp;EOMONTH(O$1,0)+1
)</f>
        <v>0</v>
      </c>
      <c r="P92" s="186">
        <f ca="1">-SUMIFS(
  desp.m.ik[valor],
  desp.m.ik[nucleo], $B92,
  desp.m.ik[variavel], $B$87,
  desp.m.ik[mes], "&gt;="&amp;P$1,
  desp.m.ik[mes], "&lt;"&amp;EOMONTH(P$1,0)+1
)</f>
        <v>0</v>
      </c>
      <c r="Q92" s="186">
        <f ca="1">-SUMIFS(
  desp.m.ik[valor],
  desp.m.ik[nucleo], $B92,
  desp.m.ik[variavel], $B$87,
  desp.m.ik[mes], "&gt;="&amp;Q$1,
  desp.m.ik[mes], "&lt;"&amp;EOMONTH(Q$1,0)+1
)</f>
        <v>0</v>
      </c>
      <c r="R92" s="186">
        <f ca="1">-SUMIFS(
  desp.m.ik[valor],
  desp.m.ik[nucleo], $B92,
  desp.m.ik[variavel], $B$87,
  desp.m.ik[mes], "&gt;="&amp;R$1,
  desp.m.ik[mes], "&lt;"&amp;EOMONTH(R$1,0)+1
)</f>
        <v>0</v>
      </c>
      <c r="S92" s="186">
        <f ca="1">-SUMIFS(
  desp.m.ik[valor],
  desp.m.ik[nucleo], $B92,
  desp.m.ik[variavel], $B$87,
  desp.m.ik[mes], "&gt;="&amp;S$1,
  desp.m.ik[mes], "&lt;"&amp;EOMONTH(S$1,0)+1
)</f>
        <v>0</v>
      </c>
      <c r="T92" s="186">
        <f ca="1">-SUMIFS(
  desp.m.ik[valor],
  desp.m.ik[nucleo], $B92,
  desp.m.ik[variavel], $B$87,
  desp.m.ik[mes], "&gt;="&amp;T$1,
  desp.m.ik[mes], "&lt;"&amp;EOMONTH(T$1,0)+1
)</f>
        <v>0</v>
      </c>
      <c r="U92" s="186">
        <f ca="1">-SUMIFS(
  desp.m.ik[valor],
  desp.m.ik[nucleo], $B92,
  desp.m.ik[variavel], $B$87,
  desp.m.ik[mes], "&gt;="&amp;U$1,
  desp.m.ik[mes], "&lt;"&amp;EOMONTH(U$1,0)+1
)</f>
        <v>0</v>
      </c>
      <c r="V92" s="186">
        <f ca="1">-SUMIFS(
  desp.m.ik[valor],
  desp.m.ik[nucleo], $B92,
  desp.m.ik[variavel], $B$87,
  desp.m.ik[mes], "&gt;="&amp;V$1,
  desp.m.ik[mes], "&lt;"&amp;EOMONTH(V$1,0)+1
)</f>
        <v>0</v>
      </c>
      <c r="W92" s="186">
        <f ca="1">-SUMIFS(
  desp.m.ik[valor],
  desp.m.ik[nucleo], $B92,
  desp.m.ik[variavel], $B$87,
  desp.m.ik[mes], "&gt;="&amp;W$1,
  desp.m.ik[mes], "&lt;"&amp;EOMONTH(W$1,0)+1
)</f>
        <v>0</v>
      </c>
      <c r="X92" s="186">
        <f ca="1">-SUMIFS(
  desp.m.ik[valor],
  desp.m.ik[nucleo], $B92,
  desp.m.ik[variavel], $B$87,
  desp.m.ik[mes], "&gt;="&amp;X$1,
  desp.m.ik[mes], "&lt;"&amp;EOMONTH(X$1,0)+1
)</f>
        <v>0</v>
      </c>
      <c r="Y92" s="186">
        <f ca="1">-SUMIFS(
  desp.m.ik[valor],
  desp.m.ik[nucleo], $B92,
  desp.m.ik[variavel], $B$87,
  desp.m.ik[mes], "&gt;="&amp;Y$1,
  desp.m.ik[mes], "&lt;"&amp;EOMONTH(Y$1,0)+1
)</f>
        <v>0</v>
      </c>
      <c r="Z92" s="186">
        <f ca="1">-SUMIFS(
  desp.m.ik[valor],
  desp.m.ik[nucleo], $B92,
  desp.m.ik[variavel], $B$87,
  desp.m.ik[mes], "&gt;="&amp;Z$1,
  desp.m.ik[mes], "&lt;"&amp;EOMONTH(Z$1,0)+1
)</f>
        <v>0</v>
      </c>
      <c r="AA92" s="186">
        <f ca="1">-SUMIFS(
  desp.m.ik[valor],
  desp.m.ik[nucleo], $B92,
  desp.m.ik[variavel], $B$87,
  desp.m.ik[mes], "&gt;="&amp;AA$1,
  desp.m.ik[mes], "&lt;"&amp;EOMONTH(AA$1,0)+1
)</f>
        <v>0</v>
      </c>
      <c r="AC92" s="178">
        <f t="shared" ca="1" si="17"/>
        <v>0</v>
      </c>
      <c r="AE92" s="178">
        <f t="shared" ca="1" si="19"/>
        <v>0</v>
      </c>
    </row>
    <row r="93" spans="1:31" hidden="1" outlineLevel="2" x14ac:dyDescent="0.25">
      <c r="A93" s="185" t="s">
        <v>1144</v>
      </c>
      <c r="B93" s="185" t="s">
        <v>533</v>
      </c>
      <c r="C93" s="138" t="s">
        <v>514</v>
      </c>
      <c r="D93" s="186">
        <f ca="1">-SUMIFS(
  desp.m.ik[valor],
  desp.m.ik[nucleo], $B93,
  desp.m.ik[variavel], $B$87,
  desp.m.ik[mes], "&gt;="&amp;D$1,
  desp.m.ik[mes], "&lt;"&amp;EOMONTH(D$1,0)+1
)</f>
        <v>0</v>
      </c>
      <c r="E93" s="186">
        <f ca="1">-SUMIFS(
  desp.m.ik[valor],
  desp.m.ik[nucleo], $B93,
  desp.m.ik[variavel], $B$87,
  desp.m.ik[mes], "&gt;="&amp;E$1,
  desp.m.ik[mes], "&lt;"&amp;EOMONTH(E$1,0)+1
)</f>
        <v>0</v>
      </c>
      <c r="F93" s="186">
        <f ca="1">-SUMIFS(
  desp.m.ik[valor],
  desp.m.ik[nucleo], $B93,
  desp.m.ik[variavel], $B$87,
  desp.m.ik[mes], "&gt;="&amp;F$1,
  desp.m.ik[mes], "&lt;"&amp;EOMONTH(F$1,0)+1
)</f>
        <v>0</v>
      </c>
      <c r="G93" s="186">
        <f ca="1">-SUMIFS(
  desp.m.ik[valor],
  desp.m.ik[nucleo], $B93,
  desp.m.ik[variavel], $B$87,
  desp.m.ik[mes], "&gt;="&amp;G$1,
  desp.m.ik[mes], "&lt;"&amp;EOMONTH(G$1,0)+1
)</f>
        <v>0</v>
      </c>
      <c r="H93" s="186">
        <f ca="1">-SUMIFS(
  desp.m.ik[valor],
  desp.m.ik[nucleo], $B93,
  desp.m.ik[variavel], $B$87,
  desp.m.ik[mes], "&gt;="&amp;H$1,
  desp.m.ik[mes], "&lt;"&amp;EOMONTH(H$1,0)+1
)</f>
        <v>0</v>
      </c>
      <c r="I93" s="186">
        <f ca="1">-SUMIFS(
  desp.m.ik[valor],
  desp.m.ik[nucleo], $B93,
  desp.m.ik[variavel], $B$87,
  desp.m.ik[mes], "&gt;="&amp;I$1,
  desp.m.ik[mes], "&lt;"&amp;EOMONTH(I$1,0)+1
)</f>
        <v>0</v>
      </c>
      <c r="J93" s="186">
        <f ca="1">-SUMIFS(
  desp.m.ik[valor],
  desp.m.ik[nucleo], $B93,
  desp.m.ik[variavel], $B$87,
  desp.m.ik[mes], "&gt;="&amp;J$1,
  desp.m.ik[mes], "&lt;"&amp;EOMONTH(J$1,0)+1
)</f>
        <v>0</v>
      </c>
      <c r="K93" s="186">
        <f ca="1">-SUMIFS(
  desp.m.ik[valor],
  desp.m.ik[nucleo], $B93,
  desp.m.ik[variavel], $B$87,
  desp.m.ik[mes], "&gt;="&amp;K$1,
  desp.m.ik[mes], "&lt;"&amp;EOMONTH(K$1,0)+1
)</f>
        <v>0</v>
      </c>
      <c r="L93" s="186">
        <f ca="1">-SUMIFS(
  desp.m.ik[valor],
  desp.m.ik[nucleo], $B93,
  desp.m.ik[variavel], $B$87,
  desp.m.ik[mes], "&gt;="&amp;L$1,
  desp.m.ik[mes], "&lt;"&amp;EOMONTH(L$1,0)+1
)</f>
        <v>0</v>
      </c>
      <c r="M93" s="186">
        <f ca="1">-SUMIFS(
  desp.m.ik[valor],
  desp.m.ik[nucleo], $B93,
  desp.m.ik[variavel], $B$87,
  desp.m.ik[mes], "&gt;="&amp;M$1,
  desp.m.ik[mes], "&lt;"&amp;EOMONTH(M$1,0)+1
)</f>
        <v>0</v>
      </c>
      <c r="N93" s="186">
        <f ca="1">-SUMIFS(
  desp.m.ik[valor],
  desp.m.ik[nucleo], $B93,
  desp.m.ik[variavel], $B$87,
  desp.m.ik[mes], "&gt;="&amp;N$1,
  desp.m.ik[mes], "&lt;"&amp;EOMONTH(N$1,0)+1
)</f>
        <v>0</v>
      </c>
      <c r="O93" s="186">
        <f ca="1">-SUMIFS(
  desp.m.ik[valor],
  desp.m.ik[nucleo], $B93,
  desp.m.ik[variavel], $B$87,
  desp.m.ik[mes], "&gt;="&amp;O$1,
  desp.m.ik[mes], "&lt;"&amp;EOMONTH(O$1,0)+1
)</f>
        <v>0</v>
      </c>
      <c r="P93" s="186">
        <f ca="1">-SUMIFS(
  desp.m.ik[valor],
  desp.m.ik[nucleo], $B93,
  desp.m.ik[variavel], $B$87,
  desp.m.ik[mes], "&gt;="&amp;P$1,
  desp.m.ik[mes], "&lt;"&amp;EOMONTH(P$1,0)+1
)</f>
        <v>0</v>
      </c>
      <c r="Q93" s="186">
        <f ca="1">-SUMIFS(
  desp.m.ik[valor],
  desp.m.ik[nucleo], $B93,
  desp.m.ik[variavel], $B$87,
  desp.m.ik[mes], "&gt;="&amp;Q$1,
  desp.m.ik[mes], "&lt;"&amp;EOMONTH(Q$1,0)+1
)</f>
        <v>0</v>
      </c>
      <c r="R93" s="186">
        <f ca="1">-SUMIFS(
  desp.m.ik[valor],
  desp.m.ik[nucleo], $B93,
  desp.m.ik[variavel], $B$87,
  desp.m.ik[mes], "&gt;="&amp;R$1,
  desp.m.ik[mes], "&lt;"&amp;EOMONTH(R$1,0)+1
)</f>
        <v>0</v>
      </c>
      <c r="S93" s="186">
        <f ca="1">-SUMIFS(
  desp.m.ik[valor],
  desp.m.ik[nucleo], $B93,
  desp.m.ik[variavel], $B$87,
  desp.m.ik[mes], "&gt;="&amp;S$1,
  desp.m.ik[mes], "&lt;"&amp;EOMONTH(S$1,0)+1
)</f>
        <v>0</v>
      </c>
      <c r="T93" s="186">
        <f ca="1">-SUMIFS(
  desp.m.ik[valor],
  desp.m.ik[nucleo], $B93,
  desp.m.ik[variavel], $B$87,
  desp.m.ik[mes], "&gt;="&amp;T$1,
  desp.m.ik[mes], "&lt;"&amp;EOMONTH(T$1,0)+1
)</f>
        <v>0</v>
      </c>
      <c r="U93" s="186">
        <f ca="1">-SUMIFS(
  desp.m.ik[valor],
  desp.m.ik[nucleo], $B93,
  desp.m.ik[variavel], $B$87,
  desp.m.ik[mes], "&gt;="&amp;U$1,
  desp.m.ik[mes], "&lt;"&amp;EOMONTH(U$1,0)+1
)</f>
        <v>0</v>
      </c>
      <c r="V93" s="186">
        <f ca="1">-SUMIFS(
  desp.m.ik[valor],
  desp.m.ik[nucleo], $B93,
  desp.m.ik[variavel], $B$87,
  desp.m.ik[mes], "&gt;="&amp;V$1,
  desp.m.ik[mes], "&lt;"&amp;EOMONTH(V$1,0)+1
)</f>
        <v>0</v>
      </c>
      <c r="W93" s="186">
        <f ca="1">-SUMIFS(
  desp.m.ik[valor],
  desp.m.ik[nucleo], $B93,
  desp.m.ik[variavel], $B$87,
  desp.m.ik[mes], "&gt;="&amp;W$1,
  desp.m.ik[mes], "&lt;"&amp;EOMONTH(W$1,0)+1
)</f>
        <v>0</v>
      </c>
      <c r="X93" s="186">
        <f ca="1">-SUMIFS(
  desp.m.ik[valor],
  desp.m.ik[nucleo], $B93,
  desp.m.ik[variavel], $B$87,
  desp.m.ik[mes], "&gt;="&amp;X$1,
  desp.m.ik[mes], "&lt;"&amp;EOMONTH(X$1,0)+1
)</f>
        <v>0</v>
      </c>
      <c r="Y93" s="186">
        <f ca="1">-SUMIFS(
  desp.m.ik[valor],
  desp.m.ik[nucleo], $B93,
  desp.m.ik[variavel], $B$87,
  desp.m.ik[mes], "&gt;="&amp;Y$1,
  desp.m.ik[mes], "&lt;"&amp;EOMONTH(Y$1,0)+1
)</f>
        <v>0</v>
      </c>
      <c r="Z93" s="186">
        <f ca="1">-SUMIFS(
  desp.m.ik[valor],
  desp.m.ik[nucleo], $B93,
  desp.m.ik[variavel], $B$87,
  desp.m.ik[mes], "&gt;="&amp;Z$1,
  desp.m.ik[mes], "&lt;"&amp;EOMONTH(Z$1,0)+1
)</f>
        <v>0</v>
      </c>
      <c r="AA93" s="186">
        <f ca="1">-SUMIFS(
  desp.m.ik[valor],
  desp.m.ik[nucleo], $B93,
  desp.m.ik[variavel], $B$87,
  desp.m.ik[mes], "&gt;="&amp;AA$1,
  desp.m.ik[mes], "&lt;"&amp;EOMONTH(AA$1,0)+1
)</f>
        <v>0</v>
      </c>
      <c r="AC93" s="178">
        <f t="shared" ca="1" si="17"/>
        <v>0</v>
      </c>
      <c r="AE93" s="178">
        <f ca="1">SUM(D93:AA93)</f>
        <v>0</v>
      </c>
    </row>
    <row r="94" spans="1:31" hidden="1" outlineLevel="2" x14ac:dyDescent="0.25">
      <c r="A94" s="185" t="s">
        <v>1263</v>
      </c>
      <c r="B94" s="185" t="s">
        <v>578</v>
      </c>
      <c r="C94" s="138" t="s">
        <v>514</v>
      </c>
      <c r="D94" s="186">
        <f ca="1">-SUMIFS(
  desp.m.ik[valor],
  desp.m.ik[nucleo], $B94,
  desp.m.ik[variavel], $B$87,
  desp.m.ik[mes], "&gt;="&amp;D$1,
  desp.m.ik[mes], "&lt;"&amp;EOMONTH(D$1,0)+1
)</f>
        <v>0</v>
      </c>
      <c r="E94" s="186">
        <f ca="1">-SUMIFS(
  desp.m.ik[valor],
  desp.m.ik[nucleo], $B94,
  desp.m.ik[variavel], $B$87,
  desp.m.ik[mes], "&gt;="&amp;E$1,
  desp.m.ik[mes], "&lt;"&amp;EOMONTH(E$1,0)+1
)</f>
        <v>0</v>
      </c>
      <c r="F94" s="186">
        <f ca="1">-SUMIFS(
  desp.m.ik[valor],
  desp.m.ik[nucleo], $B94,
  desp.m.ik[variavel], $B$87,
  desp.m.ik[mes], "&gt;="&amp;F$1,
  desp.m.ik[mes], "&lt;"&amp;EOMONTH(F$1,0)+1
)</f>
        <v>0</v>
      </c>
      <c r="G94" s="186">
        <f ca="1">-SUMIFS(
  desp.m.ik[valor],
  desp.m.ik[nucleo], $B94,
  desp.m.ik[variavel], $B$87,
  desp.m.ik[mes], "&gt;="&amp;G$1,
  desp.m.ik[mes], "&lt;"&amp;EOMONTH(G$1,0)+1
)</f>
        <v>0</v>
      </c>
      <c r="H94" s="186">
        <f ca="1">-SUMIFS(
  desp.m.ik[valor],
  desp.m.ik[nucleo], $B94,
  desp.m.ik[variavel], $B$87,
  desp.m.ik[mes], "&gt;="&amp;H$1,
  desp.m.ik[mes], "&lt;"&amp;EOMONTH(H$1,0)+1
)</f>
        <v>0</v>
      </c>
      <c r="I94" s="186">
        <f ca="1">-SUMIFS(
  desp.m.ik[valor],
  desp.m.ik[nucleo], $B94,
  desp.m.ik[variavel], $B$87,
  desp.m.ik[mes], "&gt;="&amp;I$1,
  desp.m.ik[mes], "&lt;"&amp;EOMONTH(I$1,0)+1
)</f>
        <v>0</v>
      </c>
      <c r="J94" s="186">
        <f ca="1">-SUMIFS(
  desp.m.ik[valor],
  desp.m.ik[nucleo], $B94,
  desp.m.ik[variavel], $B$87,
  desp.m.ik[mes], "&gt;="&amp;J$1,
  desp.m.ik[mes], "&lt;"&amp;EOMONTH(J$1,0)+1
)</f>
        <v>0</v>
      </c>
      <c r="K94" s="186">
        <f ca="1">-SUMIFS(
  desp.m.ik[valor],
  desp.m.ik[nucleo], $B94,
  desp.m.ik[variavel], $B$87,
  desp.m.ik[mes], "&gt;="&amp;K$1,
  desp.m.ik[mes], "&lt;"&amp;EOMONTH(K$1,0)+1
)</f>
        <v>0</v>
      </c>
      <c r="L94" s="186">
        <f ca="1">-SUMIFS(
  desp.m.ik[valor],
  desp.m.ik[nucleo], $B94,
  desp.m.ik[variavel], $B$87,
  desp.m.ik[mes], "&gt;="&amp;L$1,
  desp.m.ik[mes], "&lt;"&amp;EOMONTH(L$1,0)+1
)</f>
        <v>0</v>
      </c>
      <c r="M94" s="186">
        <f ca="1">-SUMIFS(
  desp.m.ik[valor],
  desp.m.ik[nucleo], $B94,
  desp.m.ik[variavel], $B$87,
  desp.m.ik[mes], "&gt;="&amp;M$1,
  desp.m.ik[mes], "&lt;"&amp;EOMONTH(M$1,0)+1
)</f>
        <v>0</v>
      </c>
      <c r="N94" s="186">
        <f ca="1">-SUMIFS(
  desp.m.ik[valor],
  desp.m.ik[nucleo], $B94,
  desp.m.ik[variavel], $B$87,
  desp.m.ik[mes], "&gt;="&amp;N$1,
  desp.m.ik[mes], "&lt;"&amp;EOMONTH(N$1,0)+1
)</f>
        <v>0</v>
      </c>
      <c r="O94" s="186">
        <f ca="1">-SUMIFS(
  desp.m.ik[valor],
  desp.m.ik[nucleo], $B94,
  desp.m.ik[variavel], $B$87,
  desp.m.ik[mes], "&gt;="&amp;O$1,
  desp.m.ik[mes], "&lt;"&amp;EOMONTH(O$1,0)+1
)</f>
        <v>0</v>
      </c>
      <c r="P94" s="186">
        <f ca="1">-SUMIFS(
  desp.m.ik[valor],
  desp.m.ik[nucleo], $B94,
  desp.m.ik[variavel], $B$87,
  desp.m.ik[mes], "&gt;="&amp;P$1,
  desp.m.ik[mes], "&lt;"&amp;EOMONTH(P$1,0)+1
)</f>
        <v>0</v>
      </c>
      <c r="Q94" s="186">
        <f ca="1">-SUMIFS(
  desp.m.ik[valor],
  desp.m.ik[nucleo], $B94,
  desp.m.ik[variavel], $B$87,
  desp.m.ik[mes], "&gt;="&amp;Q$1,
  desp.m.ik[mes], "&lt;"&amp;EOMONTH(Q$1,0)+1
)</f>
        <v>0</v>
      </c>
      <c r="R94" s="186">
        <f ca="1">-SUMIFS(
  desp.m.ik[valor],
  desp.m.ik[nucleo], $B94,
  desp.m.ik[variavel], $B$87,
  desp.m.ik[mes], "&gt;="&amp;R$1,
  desp.m.ik[mes], "&lt;"&amp;EOMONTH(R$1,0)+1
)</f>
        <v>0</v>
      </c>
      <c r="S94" s="186">
        <f ca="1">-SUMIFS(
  desp.m.ik[valor],
  desp.m.ik[nucleo], $B94,
  desp.m.ik[variavel], $B$87,
  desp.m.ik[mes], "&gt;="&amp;S$1,
  desp.m.ik[mes], "&lt;"&amp;EOMONTH(S$1,0)+1
)</f>
        <v>0</v>
      </c>
      <c r="T94" s="186">
        <f ca="1">-SUMIFS(
  desp.m.ik[valor],
  desp.m.ik[nucleo], $B94,
  desp.m.ik[variavel], $B$87,
  desp.m.ik[mes], "&gt;="&amp;T$1,
  desp.m.ik[mes], "&lt;"&amp;EOMONTH(T$1,0)+1
)</f>
        <v>0</v>
      </c>
      <c r="U94" s="186">
        <f ca="1">-SUMIFS(
  desp.m.ik[valor],
  desp.m.ik[nucleo], $B94,
  desp.m.ik[variavel], $B$87,
  desp.m.ik[mes], "&gt;="&amp;U$1,
  desp.m.ik[mes], "&lt;"&amp;EOMONTH(U$1,0)+1
)</f>
        <v>0</v>
      </c>
      <c r="V94" s="186">
        <f ca="1">-SUMIFS(
  desp.m.ik[valor],
  desp.m.ik[nucleo], $B94,
  desp.m.ik[variavel], $B$87,
  desp.m.ik[mes], "&gt;="&amp;V$1,
  desp.m.ik[mes], "&lt;"&amp;EOMONTH(V$1,0)+1
)</f>
        <v>0</v>
      </c>
      <c r="W94" s="186">
        <f ca="1">-SUMIFS(
  desp.m.ik[valor],
  desp.m.ik[nucleo], $B94,
  desp.m.ik[variavel], $B$87,
  desp.m.ik[mes], "&gt;="&amp;W$1,
  desp.m.ik[mes], "&lt;"&amp;EOMONTH(W$1,0)+1
)</f>
        <v>0</v>
      </c>
      <c r="X94" s="186">
        <f ca="1">-SUMIFS(
  desp.m.ik[valor],
  desp.m.ik[nucleo], $B94,
  desp.m.ik[variavel], $B$87,
  desp.m.ik[mes], "&gt;="&amp;X$1,
  desp.m.ik[mes], "&lt;"&amp;EOMONTH(X$1,0)+1
)</f>
        <v>0</v>
      </c>
      <c r="Y94" s="186">
        <f ca="1">-SUMIFS(
  desp.m.ik[valor],
  desp.m.ik[nucleo], $B94,
  desp.m.ik[variavel], $B$87,
  desp.m.ik[mes], "&gt;="&amp;Y$1,
  desp.m.ik[mes], "&lt;"&amp;EOMONTH(Y$1,0)+1
)</f>
        <v>0</v>
      </c>
      <c r="Z94" s="186">
        <f ca="1">-SUMIFS(
  desp.m.ik[valor],
  desp.m.ik[nucleo], $B94,
  desp.m.ik[variavel], $B$87,
  desp.m.ik[mes], "&gt;="&amp;Z$1,
  desp.m.ik[mes], "&lt;"&amp;EOMONTH(Z$1,0)+1
)</f>
        <v>0</v>
      </c>
      <c r="AA94" s="186">
        <f ca="1">-SUMIFS(
  desp.m.ik[valor],
  desp.m.ik[nucleo], $B94,
  desp.m.ik[variavel], $B$87,
  desp.m.ik[mes], "&gt;="&amp;AA$1,
  desp.m.ik[mes], "&lt;"&amp;EOMONTH(AA$1,0)+1
)</f>
        <v>0</v>
      </c>
      <c r="AC94" s="178">
        <f t="shared" ref="AC94" ca="1" si="23">SUM(D94:U94)</f>
        <v>0</v>
      </c>
      <c r="AE94" s="178">
        <f t="shared" ref="AE94" ca="1" si="24">SUM(D94:AA94)</f>
        <v>0</v>
      </c>
    </row>
    <row r="95" spans="1:31" hidden="1" outlineLevel="2" x14ac:dyDescent="0.25">
      <c r="A95" s="185" t="s">
        <v>1143</v>
      </c>
      <c r="B95" s="185" t="s">
        <v>541</v>
      </c>
      <c r="C95" s="138" t="s">
        <v>514</v>
      </c>
      <c r="D95" s="186">
        <f ca="1">-SUMIFS(
  desp.m.ik[valor],
  desp.m.ik[nucleo], $B95,
  desp.m.ik[variavel], $B$87,
  desp.m.ik[mes], "&gt;="&amp;D$1,
  desp.m.ik[mes], "&lt;"&amp;EOMONTH(D$1,0)+1
)</f>
        <v>0</v>
      </c>
      <c r="E95" s="186">
        <f ca="1">-SUMIFS(
  desp.m.ik[valor],
  desp.m.ik[nucleo], $B95,
  desp.m.ik[variavel], $B$87,
  desp.m.ik[mes], "&gt;="&amp;E$1,
  desp.m.ik[mes], "&lt;"&amp;EOMONTH(E$1,0)+1
)</f>
        <v>0</v>
      </c>
      <c r="F95" s="186">
        <f ca="1">-SUMIFS(
  desp.m.ik[valor],
  desp.m.ik[nucleo], $B95,
  desp.m.ik[variavel], $B$87,
  desp.m.ik[mes], "&gt;="&amp;F$1,
  desp.m.ik[mes], "&lt;"&amp;EOMONTH(F$1,0)+1
)</f>
        <v>0</v>
      </c>
      <c r="G95" s="186">
        <f ca="1">-SUMIFS(
  desp.m.ik[valor],
  desp.m.ik[nucleo], $B95,
  desp.m.ik[variavel], $B$87,
  desp.m.ik[mes], "&gt;="&amp;G$1,
  desp.m.ik[mes], "&lt;"&amp;EOMONTH(G$1,0)+1
)</f>
        <v>0</v>
      </c>
      <c r="H95" s="186">
        <f ca="1">-SUMIFS(
  desp.m.ik[valor],
  desp.m.ik[nucleo], $B95,
  desp.m.ik[variavel], $B$87,
  desp.m.ik[mes], "&gt;="&amp;H$1,
  desp.m.ik[mes], "&lt;"&amp;EOMONTH(H$1,0)+1
)</f>
        <v>0</v>
      </c>
      <c r="I95" s="186">
        <f ca="1">-SUMIFS(
  desp.m.ik[valor],
  desp.m.ik[nucleo], $B95,
  desp.m.ik[variavel], $B$87,
  desp.m.ik[mes], "&gt;="&amp;I$1,
  desp.m.ik[mes], "&lt;"&amp;EOMONTH(I$1,0)+1
)</f>
        <v>0</v>
      </c>
      <c r="J95" s="186">
        <f ca="1">-SUMIFS(
  desp.m.ik[valor],
  desp.m.ik[nucleo], $B95,
  desp.m.ik[variavel], $B$87,
  desp.m.ik[mes], "&gt;="&amp;J$1,
  desp.m.ik[mes], "&lt;"&amp;EOMONTH(J$1,0)+1
)</f>
        <v>0</v>
      </c>
      <c r="K95" s="186">
        <f ca="1">-SUMIFS(
  desp.m.ik[valor],
  desp.m.ik[nucleo], $B95,
  desp.m.ik[variavel], $B$87,
  desp.m.ik[mes], "&gt;="&amp;K$1,
  desp.m.ik[mes], "&lt;"&amp;EOMONTH(K$1,0)+1
)</f>
        <v>0</v>
      </c>
      <c r="L95" s="186">
        <f ca="1">-SUMIFS(
  desp.m.ik[valor],
  desp.m.ik[nucleo], $B95,
  desp.m.ik[variavel], $B$87,
  desp.m.ik[mes], "&gt;="&amp;L$1,
  desp.m.ik[mes], "&lt;"&amp;EOMONTH(L$1,0)+1
)</f>
        <v>0</v>
      </c>
      <c r="M95" s="186">
        <f ca="1">-SUMIFS(
  desp.m.ik[valor],
  desp.m.ik[nucleo], $B95,
  desp.m.ik[variavel], $B$87,
  desp.m.ik[mes], "&gt;="&amp;M$1,
  desp.m.ik[mes], "&lt;"&amp;EOMONTH(M$1,0)+1
)</f>
        <v>0</v>
      </c>
      <c r="N95" s="186">
        <f ca="1">-SUMIFS(
  desp.m.ik[valor],
  desp.m.ik[nucleo], $B95,
  desp.m.ik[variavel], $B$87,
  desp.m.ik[mes], "&gt;="&amp;N$1,
  desp.m.ik[mes], "&lt;"&amp;EOMONTH(N$1,0)+1
)</f>
        <v>0</v>
      </c>
      <c r="O95" s="186">
        <f ca="1">-SUMIFS(
  desp.m.ik[valor],
  desp.m.ik[nucleo], $B95,
  desp.m.ik[variavel], $B$87,
  desp.m.ik[mes], "&gt;="&amp;O$1,
  desp.m.ik[mes], "&lt;"&amp;EOMONTH(O$1,0)+1
)</f>
        <v>0</v>
      </c>
      <c r="P95" s="186">
        <f ca="1">-SUMIFS(
  desp.m.ik[valor],
  desp.m.ik[nucleo], $B95,
  desp.m.ik[variavel], $B$87,
  desp.m.ik[mes], "&gt;="&amp;P$1,
  desp.m.ik[mes], "&lt;"&amp;EOMONTH(P$1,0)+1
)</f>
        <v>0</v>
      </c>
      <c r="Q95" s="186">
        <f ca="1">-SUMIFS(
  desp.m.ik[valor],
  desp.m.ik[nucleo], $B95,
  desp.m.ik[variavel], $B$87,
  desp.m.ik[mes], "&gt;="&amp;Q$1,
  desp.m.ik[mes], "&lt;"&amp;EOMONTH(Q$1,0)+1
)</f>
        <v>0</v>
      </c>
      <c r="R95" s="186">
        <f ca="1">-SUMIFS(
  desp.m.ik[valor],
  desp.m.ik[nucleo], $B95,
  desp.m.ik[variavel], $B$87,
  desp.m.ik[mes], "&gt;="&amp;R$1,
  desp.m.ik[mes], "&lt;"&amp;EOMONTH(R$1,0)+1
)</f>
        <v>0</v>
      </c>
      <c r="S95" s="186">
        <f ca="1">-SUMIFS(
  desp.m.ik[valor],
  desp.m.ik[nucleo], $B95,
  desp.m.ik[variavel], $B$87,
  desp.m.ik[mes], "&gt;="&amp;S$1,
  desp.m.ik[mes], "&lt;"&amp;EOMONTH(S$1,0)+1
)</f>
        <v>0</v>
      </c>
      <c r="T95" s="186">
        <f ca="1">-SUMIFS(
  desp.m.ik[valor],
  desp.m.ik[nucleo], $B95,
  desp.m.ik[variavel], $B$87,
  desp.m.ik[mes], "&gt;="&amp;T$1,
  desp.m.ik[mes], "&lt;"&amp;EOMONTH(T$1,0)+1
)</f>
        <v>0</v>
      </c>
      <c r="U95" s="186">
        <f ca="1">-SUMIFS(
  desp.m.ik[valor],
  desp.m.ik[nucleo], $B95,
  desp.m.ik[variavel], $B$87,
  desp.m.ik[mes], "&gt;="&amp;U$1,
  desp.m.ik[mes], "&lt;"&amp;EOMONTH(U$1,0)+1
)</f>
        <v>0</v>
      </c>
      <c r="V95" s="186">
        <f ca="1">-SUMIFS(
  desp.m.ik[valor],
  desp.m.ik[nucleo], $B95,
  desp.m.ik[variavel], $B$87,
  desp.m.ik[mes], "&gt;="&amp;V$1,
  desp.m.ik[mes], "&lt;"&amp;EOMONTH(V$1,0)+1
)</f>
        <v>0</v>
      </c>
      <c r="W95" s="186">
        <f ca="1">-SUMIFS(
  desp.m.ik[valor],
  desp.m.ik[nucleo], $B95,
  desp.m.ik[variavel], $B$87,
  desp.m.ik[mes], "&gt;="&amp;W$1,
  desp.m.ik[mes], "&lt;"&amp;EOMONTH(W$1,0)+1
)</f>
        <v>0</v>
      </c>
      <c r="X95" s="186">
        <f ca="1">-SUMIFS(
  desp.m.ik[valor],
  desp.m.ik[nucleo], $B95,
  desp.m.ik[variavel], $B$87,
  desp.m.ik[mes], "&gt;="&amp;X$1,
  desp.m.ik[mes], "&lt;"&amp;EOMONTH(X$1,0)+1
)</f>
        <v>0</v>
      </c>
      <c r="Y95" s="186">
        <f ca="1">-SUMIFS(
  desp.m.ik[valor],
  desp.m.ik[nucleo], $B95,
  desp.m.ik[variavel], $B$87,
  desp.m.ik[mes], "&gt;="&amp;Y$1,
  desp.m.ik[mes], "&lt;"&amp;EOMONTH(Y$1,0)+1
)</f>
        <v>0</v>
      </c>
      <c r="Z95" s="186">
        <f ca="1">-SUMIFS(
  desp.m.ik[valor],
  desp.m.ik[nucleo], $B95,
  desp.m.ik[variavel], $B$87,
  desp.m.ik[mes], "&gt;="&amp;Z$1,
  desp.m.ik[mes], "&lt;"&amp;EOMONTH(Z$1,0)+1
)</f>
        <v>0</v>
      </c>
      <c r="AA95" s="186">
        <f ca="1">-SUMIFS(
  desp.m.ik[valor],
  desp.m.ik[nucleo], $B95,
  desp.m.ik[variavel], $B$87,
  desp.m.ik[mes], "&gt;="&amp;AA$1,
  desp.m.ik[mes], "&lt;"&amp;EOMONTH(AA$1,0)+1
)</f>
        <v>0</v>
      </c>
      <c r="AC95" s="178">
        <f t="shared" ca="1" si="17"/>
        <v>0</v>
      </c>
      <c r="AE95" s="178">
        <f t="shared" ca="1" si="19"/>
        <v>0</v>
      </c>
    </row>
    <row r="96" spans="1:31" hidden="1" outlineLevel="2" x14ac:dyDescent="0.25">
      <c r="A96" s="185" t="s">
        <v>1198</v>
      </c>
      <c r="B96" s="185" t="s">
        <v>531</v>
      </c>
      <c r="C96" s="138" t="s">
        <v>514</v>
      </c>
      <c r="D96" s="186">
        <f ca="1">-SUMIFS(
  desp.m.ik[valor],
  desp.m.ik[nucleo], $B96,
  desp.m.ik[variavel], $B$87,
  desp.m.ik[mes], "&gt;="&amp;D$1,
  desp.m.ik[mes], "&lt;"&amp;EOMONTH(D$1,0)+1
)</f>
        <v>0</v>
      </c>
      <c r="E96" s="186">
        <f ca="1">-SUMIFS(
  desp.m.ik[valor],
  desp.m.ik[nucleo], $B96,
  desp.m.ik[variavel], $B$87,
  desp.m.ik[mes], "&gt;="&amp;E$1,
  desp.m.ik[mes], "&lt;"&amp;EOMONTH(E$1,0)+1
)</f>
        <v>0</v>
      </c>
      <c r="F96" s="186">
        <f ca="1">-SUMIFS(
  desp.m.ik[valor],
  desp.m.ik[nucleo], $B96,
  desp.m.ik[variavel], $B$87,
  desp.m.ik[mes], "&gt;="&amp;F$1,
  desp.m.ik[mes], "&lt;"&amp;EOMONTH(F$1,0)+1
)</f>
        <v>0</v>
      </c>
      <c r="G96" s="186">
        <f ca="1">-SUMIFS(
  desp.m.ik[valor],
  desp.m.ik[nucleo], $B96,
  desp.m.ik[variavel], $B$87,
  desp.m.ik[mes], "&gt;="&amp;G$1,
  desp.m.ik[mes], "&lt;"&amp;EOMONTH(G$1,0)+1
)</f>
        <v>0</v>
      </c>
      <c r="H96" s="186">
        <f ca="1">-SUMIFS(
  desp.m.ik[valor],
  desp.m.ik[nucleo], $B96,
  desp.m.ik[variavel], $B$87,
  desp.m.ik[mes], "&gt;="&amp;H$1,
  desp.m.ik[mes], "&lt;"&amp;EOMONTH(H$1,0)+1
)</f>
        <v>0</v>
      </c>
      <c r="I96" s="186">
        <f ca="1">-SUMIFS(
  desp.m.ik[valor],
  desp.m.ik[nucleo], $B96,
  desp.m.ik[variavel], $B$87,
  desp.m.ik[mes], "&gt;="&amp;I$1,
  desp.m.ik[mes], "&lt;"&amp;EOMONTH(I$1,0)+1
)</f>
        <v>0</v>
      </c>
      <c r="J96" s="186">
        <f ca="1">-SUMIFS(
  desp.m.ik[valor],
  desp.m.ik[nucleo], $B96,
  desp.m.ik[variavel], $B$87,
  desp.m.ik[mes], "&gt;="&amp;J$1,
  desp.m.ik[mes], "&lt;"&amp;EOMONTH(J$1,0)+1
)</f>
        <v>0</v>
      </c>
      <c r="K96" s="186">
        <f ca="1">-SUMIFS(
  desp.m.ik[valor],
  desp.m.ik[nucleo], $B96,
  desp.m.ik[variavel], $B$87,
  desp.m.ik[mes], "&gt;="&amp;K$1,
  desp.m.ik[mes], "&lt;"&amp;EOMONTH(K$1,0)+1
)</f>
        <v>0</v>
      </c>
      <c r="L96" s="186">
        <f ca="1">-SUMIFS(
  desp.m.ik[valor],
  desp.m.ik[nucleo], $B96,
  desp.m.ik[variavel], $B$87,
  desp.m.ik[mes], "&gt;="&amp;L$1,
  desp.m.ik[mes], "&lt;"&amp;EOMONTH(L$1,0)+1
)</f>
        <v>0</v>
      </c>
      <c r="M96" s="186">
        <f ca="1">-SUMIFS(
  desp.m.ik[valor],
  desp.m.ik[nucleo], $B96,
  desp.m.ik[variavel], $B$87,
  desp.m.ik[mes], "&gt;="&amp;M$1,
  desp.m.ik[mes], "&lt;"&amp;EOMONTH(M$1,0)+1
)</f>
        <v>0</v>
      </c>
      <c r="N96" s="186">
        <f ca="1">-SUMIFS(
  desp.m.ik[valor],
  desp.m.ik[nucleo], $B96,
  desp.m.ik[variavel], $B$87,
  desp.m.ik[mes], "&gt;="&amp;N$1,
  desp.m.ik[mes], "&lt;"&amp;EOMONTH(N$1,0)+1
)</f>
        <v>0</v>
      </c>
      <c r="O96" s="186">
        <f ca="1">-SUMIFS(
  desp.m.ik[valor],
  desp.m.ik[nucleo], $B96,
  desp.m.ik[variavel], $B$87,
  desp.m.ik[mes], "&gt;="&amp;O$1,
  desp.m.ik[mes], "&lt;"&amp;EOMONTH(O$1,0)+1
)</f>
        <v>0</v>
      </c>
      <c r="P96" s="186">
        <f ca="1">-SUMIFS(
  desp.m.ik[valor],
  desp.m.ik[nucleo], $B96,
  desp.m.ik[variavel], $B$87,
  desp.m.ik[mes], "&gt;="&amp;P$1,
  desp.m.ik[mes], "&lt;"&amp;EOMONTH(P$1,0)+1
)</f>
        <v>0</v>
      </c>
      <c r="Q96" s="186">
        <f ca="1">-SUMIFS(
  desp.m.ik[valor],
  desp.m.ik[nucleo], $B96,
  desp.m.ik[variavel], $B$87,
  desp.m.ik[mes], "&gt;="&amp;Q$1,
  desp.m.ik[mes], "&lt;"&amp;EOMONTH(Q$1,0)+1
)</f>
        <v>0</v>
      </c>
      <c r="R96" s="186">
        <f ca="1">-SUMIFS(
  desp.m.ik[valor],
  desp.m.ik[nucleo], $B96,
  desp.m.ik[variavel], $B$87,
  desp.m.ik[mes], "&gt;="&amp;R$1,
  desp.m.ik[mes], "&lt;"&amp;EOMONTH(R$1,0)+1
)</f>
        <v>0</v>
      </c>
      <c r="S96" s="186">
        <f ca="1">-SUMIFS(
  desp.m.ik[valor],
  desp.m.ik[nucleo], $B96,
  desp.m.ik[variavel], $B$87,
  desp.m.ik[mes], "&gt;="&amp;S$1,
  desp.m.ik[mes], "&lt;"&amp;EOMONTH(S$1,0)+1
)</f>
        <v>0</v>
      </c>
      <c r="T96" s="186">
        <f ca="1">-SUMIFS(
  desp.m.ik[valor],
  desp.m.ik[nucleo], $B96,
  desp.m.ik[variavel], $B$87,
  desp.m.ik[mes], "&gt;="&amp;T$1,
  desp.m.ik[mes], "&lt;"&amp;EOMONTH(T$1,0)+1
)</f>
        <v>0</v>
      </c>
      <c r="U96" s="186">
        <f ca="1">-SUMIFS(
  desp.m.ik[valor],
  desp.m.ik[nucleo], $B96,
  desp.m.ik[variavel], $B$87,
  desp.m.ik[mes], "&gt;="&amp;U$1,
  desp.m.ik[mes], "&lt;"&amp;EOMONTH(U$1,0)+1
)</f>
        <v>0</v>
      </c>
      <c r="V96" s="186">
        <f ca="1">-SUMIFS(
  desp.m.ik[valor],
  desp.m.ik[nucleo], $B96,
  desp.m.ik[variavel], $B$87,
  desp.m.ik[mes], "&gt;="&amp;V$1,
  desp.m.ik[mes], "&lt;"&amp;EOMONTH(V$1,0)+1
)</f>
        <v>0</v>
      </c>
      <c r="W96" s="186">
        <f ca="1">-SUMIFS(
  desp.m.ik[valor],
  desp.m.ik[nucleo], $B96,
  desp.m.ik[variavel], $B$87,
  desp.m.ik[mes], "&gt;="&amp;W$1,
  desp.m.ik[mes], "&lt;"&amp;EOMONTH(W$1,0)+1
)</f>
        <v>0</v>
      </c>
      <c r="X96" s="186">
        <f ca="1">-SUMIFS(
  desp.m.ik[valor],
  desp.m.ik[nucleo], $B96,
  desp.m.ik[variavel], $B$87,
  desp.m.ik[mes], "&gt;="&amp;X$1,
  desp.m.ik[mes], "&lt;"&amp;EOMONTH(X$1,0)+1
)</f>
        <v>0</v>
      </c>
      <c r="Y96" s="186">
        <f ca="1">-SUMIFS(
  desp.m.ik[valor],
  desp.m.ik[nucleo], $B96,
  desp.m.ik[variavel], $B$87,
  desp.m.ik[mes], "&gt;="&amp;Y$1,
  desp.m.ik[mes], "&lt;"&amp;EOMONTH(Y$1,0)+1
)</f>
        <v>0</v>
      </c>
      <c r="Z96" s="186">
        <f ca="1">-SUMIFS(
  desp.m.ik[valor],
  desp.m.ik[nucleo], $B96,
  desp.m.ik[variavel], $B$87,
  desp.m.ik[mes], "&gt;="&amp;Z$1,
  desp.m.ik[mes], "&lt;"&amp;EOMONTH(Z$1,0)+1
)</f>
        <v>0</v>
      </c>
      <c r="AA96" s="186">
        <f ca="1">-SUMIFS(
  desp.m.ik[valor],
  desp.m.ik[nucleo], $B96,
  desp.m.ik[variavel], $B$87,
  desp.m.ik[mes], "&gt;="&amp;AA$1,
  desp.m.ik[mes], "&lt;"&amp;EOMONTH(AA$1,0)+1
)</f>
        <v>0</v>
      </c>
      <c r="AC96" s="178">
        <f t="shared" ca="1" si="17"/>
        <v>0</v>
      </c>
      <c r="AE96" s="178">
        <f t="shared" ca="1" si="19"/>
        <v>0</v>
      </c>
    </row>
    <row r="97" spans="1:31" hidden="1" outlineLevel="2" x14ac:dyDescent="0.25">
      <c r="A97" s="185" t="s">
        <v>1199</v>
      </c>
      <c r="B97" s="185" t="s">
        <v>556</v>
      </c>
      <c r="C97" s="138" t="s">
        <v>514</v>
      </c>
      <c r="D97" s="186">
        <f ca="1">-SUMIFS(
  desp.m.ik[valor],
  desp.m.ik[nucleo], $B97,
  desp.m.ik[variavel], $B$87,
  desp.m.ik[mes], "&gt;="&amp;D$1,
  desp.m.ik[mes], "&lt;"&amp;EOMONTH(D$1,0)+1
)</f>
        <v>0</v>
      </c>
      <c r="E97" s="186">
        <f ca="1">-SUMIFS(
  desp.m.ik[valor],
  desp.m.ik[nucleo], $B97,
  desp.m.ik[variavel], $B$87,
  desp.m.ik[mes], "&gt;="&amp;E$1,
  desp.m.ik[mes], "&lt;"&amp;EOMONTH(E$1,0)+1
)</f>
        <v>0</v>
      </c>
      <c r="F97" s="186">
        <f ca="1">-SUMIFS(
  desp.m.ik[valor],
  desp.m.ik[nucleo], $B97,
  desp.m.ik[variavel], $B$87,
  desp.m.ik[mes], "&gt;="&amp;F$1,
  desp.m.ik[mes], "&lt;"&amp;EOMONTH(F$1,0)+1
)</f>
        <v>0</v>
      </c>
      <c r="G97" s="186">
        <f ca="1">-SUMIFS(
  desp.m.ik[valor],
  desp.m.ik[nucleo], $B97,
  desp.m.ik[variavel], $B$87,
  desp.m.ik[mes], "&gt;="&amp;G$1,
  desp.m.ik[mes], "&lt;"&amp;EOMONTH(G$1,0)+1
)</f>
        <v>0</v>
      </c>
      <c r="H97" s="186">
        <f ca="1">-SUMIFS(
  desp.m.ik[valor],
  desp.m.ik[nucleo], $B97,
  desp.m.ik[variavel], $B$87,
  desp.m.ik[mes], "&gt;="&amp;H$1,
  desp.m.ik[mes], "&lt;"&amp;EOMONTH(H$1,0)+1
)</f>
        <v>0</v>
      </c>
      <c r="I97" s="186">
        <f ca="1">-SUMIFS(
  desp.m.ik[valor],
  desp.m.ik[nucleo], $B97,
  desp.m.ik[variavel], $B$87,
  desp.m.ik[mes], "&gt;="&amp;I$1,
  desp.m.ik[mes], "&lt;"&amp;EOMONTH(I$1,0)+1
)</f>
        <v>0</v>
      </c>
      <c r="J97" s="186">
        <f ca="1">-SUMIFS(
  desp.m.ik[valor],
  desp.m.ik[nucleo], $B97,
  desp.m.ik[variavel], $B$87,
  desp.m.ik[mes], "&gt;="&amp;J$1,
  desp.m.ik[mes], "&lt;"&amp;EOMONTH(J$1,0)+1
)</f>
        <v>0</v>
      </c>
      <c r="K97" s="186">
        <f ca="1">-SUMIFS(
  desp.m.ik[valor],
  desp.m.ik[nucleo], $B97,
  desp.m.ik[variavel], $B$87,
  desp.m.ik[mes], "&gt;="&amp;K$1,
  desp.m.ik[mes], "&lt;"&amp;EOMONTH(K$1,0)+1
)</f>
        <v>0</v>
      </c>
      <c r="L97" s="186">
        <f ca="1">-SUMIFS(
  desp.m.ik[valor],
  desp.m.ik[nucleo], $B97,
  desp.m.ik[variavel], $B$87,
  desp.m.ik[mes], "&gt;="&amp;L$1,
  desp.m.ik[mes], "&lt;"&amp;EOMONTH(L$1,0)+1
)</f>
        <v>0</v>
      </c>
      <c r="M97" s="186">
        <f ca="1">-SUMIFS(
  desp.m.ik[valor],
  desp.m.ik[nucleo], $B97,
  desp.m.ik[variavel], $B$87,
  desp.m.ik[mes], "&gt;="&amp;M$1,
  desp.m.ik[mes], "&lt;"&amp;EOMONTH(M$1,0)+1
)</f>
        <v>0</v>
      </c>
      <c r="N97" s="186">
        <f ca="1">-SUMIFS(
  desp.m.ik[valor],
  desp.m.ik[nucleo], $B97,
  desp.m.ik[variavel], $B$87,
  desp.m.ik[mes], "&gt;="&amp;N$1,
  desp.m.ik[mes], "&lt;"&amp;EOMONTH(N$1,0)+1
)</f>
        <v>0</v>
      </c>
      <c r="O97" s="186">
        <f ca="1">-SUMIFS(
  desp.m.ik[valor],
  desp.m.ik[nucleo], $B97,
  desp.m.ik[variavel], $B$87,
  desp.m.ik[mes], "&gt;="&amp;O$1,
  desp.m.ik[mes], "&lt;"&amp;EOMONTH(O$1,0)+1
)</f>
        <v>0</v>
      </c>
      <c r="P97" s="186">
        <f ca="1">-SUMIFS(
  desp.m.ik[valor],
  desp.m.ik[nucleo], $B97,
  desp.m.ik[variavel], $B$87,
  desp.m.ik[mes], "&gt;="&amp;P$1,
  desp.m.ik[mes], "&lt;"&amp;EOMONTH(P$1,0)+1
)</f>
        <v>0</v>
      </c>
      <c r="Q97" s="186">
        <f ca="1">-SUMIFS(
  desp.m.ik[valor],
  desp.m.ik[nucleo], $B97,
  desp.m.ik[variavel], $B$87,
  desp.m.ik[mes], "&gt;="&amp;Q$1,
  desp.m.ik[mes], "&lt;"&amp;EOMONTH(Q$1,0)+1
)</f>
        <v>0</v>
      </c>
      <c r="R97" s="186">
        <f ca="1">-SUMIFS(
  desp.m.ik[valor],
  desp.m.ik[nucleo], $B97,
  desp.m.ik[variavel], $B$87,
  desp.m.ik[mes], "&gt;="&amp;R$1,
  desp.m.ik[mes], "&lt;"&amp;EOMONTH(R$1,0)+1
)</f>
        <v>0</v>
      </c>
      <c r="S97" s="186">
        <f ca="1">-SUMIFS(
  desp.m.ik[valor],
  desp.m.ik[nucleo], $B97,
  desp.m.ik[variavel], $B$87,
  desp.m.ik[mes], "&gt;="&amp;S$1,
  desp.m.ik[mes], "&lt;"&amp;EOMONTH(S$1,0)+1
)</f>
        <v>0</v>
      </c>
      <c r="T97" s="186">
        <f ca="1">-SUMIFS(
  desp.m.ik[valor],
  desp.m.ik[nucleo], $B97,
  desp.m.ik[variavel], $B$87,
  desp.m.ik[mes], "&gt;="&amp;T$1,
  desp.m.ik[mes], "&lt;"&amp;EOMONTH(T$1,0)+1
)</f>
        <v>0</v>
      </c>
      <c r="U97" s="186">
        <f ca="1">-SUMIFS(
  desp.m.ik[valor],
  desp.m.ik[nucleo], $B97,
  desp.m.ik[variavel], $B$87,
  desp.m.ik[mes], "&gt;="&amp;U$1,
  desp.m.ik[mes], "&lt;"&amp;EOMONTH(U$1,0)+1
)</f>
        <v>0</v>
      </c>
      <c r="V97" s="186">
        <f ca="1">-SUMIFS(
  desp.m.ik[valor],
  desp.m.ik[nucleo], $B97,
  desp.m.ik[variavel], $B$87,
  desp.m.ik[mes], "&gt;="&amp;V$1,
  desp.m.ik[mes], "&lt;"&amp;EOMONTH(V$1,0)+1
)</f>
        <v>0</v>
      </c>
      <c r="W97" s="186">
        <f ca="1">-SUMIFS(
  desp.m.ik[valor],
  desp.m.ik[nucleo], $B97,
  desp.m.ik[variavel], $B$87,
  desp.m.ik[mes], "&gt;="&amp;W$1,
  desp.m.ik[mes], "&lt;"&amp;EOMONTH(W$1,0)+1
)</f>
        <v>0</v>
      </c>
      <c r="X97" s="186">
        <f ca="1">-SUMIFS(
  desp.m.ik[valor],
  desp.m.ik[nucleo], $B97,
  desp.m.ik[variavel], $B$87,
  desp.m.ik[mes], "&gt;="&amp;X$1,
  desp.m.ik[mes], "&lt;"&amp;EOMONTH(X$1,0)+1
)</f>
        <v>0</v>
      </c>
      <c r="Y97" s="186">
        <f ca="1">-SUMIFS(
  desp.m.ik[valor],
  desp.m.ik[nucleo], $B97,
  desp.m.ik[variavel], $B$87,
  desp.m.ik[mes], "&gt;="&amp;Y$1,
  desp.m.ik[mes], "&lt;"&amp;EOMONTH(Y$1,0)+1
)</f>
        <v>0</v>
      </c>
      <c r="Z97" s="186">
        <f ca="1">-SUMIFS(
  desp.m.ik[valor],
  desp.m.ik[nucleo], $B97,
  desp.m.ik[variavel], $B$87,
  desp.m.ik[mes], "&gt;="&amp;Z$1,
  desp.m.ik[mes], "&lt;"&amp;EOMONTH(Z$1,0)+1
)</f>
        <v>0</v>
      </c>
      <c r="AA97" s="186">
        <f ca="1">-SUMIFS(
  desp.m.ik[valor],
  desp.m.ik[nucleo], $B97,
  desp.m.ik[variavel], $B$87,
  desp.m.ik[mes], "&gt;="&amp;AA$1,
  desp.m.ik[mes], "&lt;"&amp;EOMONTH(AA$1,0)+1
)</f>
        <v>0</v>
      </c>
      <c r="AC97" s="178">
        <f t="shared" ca="1" si="17"/>
        <v>0</v>
      </c>
      <c r="AE97" s="178">
        <f t="shared" ca="1" si="19"/>
        <v>0</v>
      </c>
    </row>
    <row r="98" spans="1:31" hidden="1" outlineLevel="2" x14ac:dyDescent="0.25">
      <c r="A98" s="185" t="s">
        <v>1142</v>
      </c>
      <c r="B98" s="185" t="s">
        <v>537</v>
      </c>
      <c r="C98" s="138" t="s">
        <v>514</v>
      </c>
      <c r="D98" s="186">
        <f ca="1">-SUMIFS(
  desp.m.ik[valor],
  desp.m.ik[nucleo], $B98,
  desp.m.ik[variavel], $B$87,
  desp.m.ik[mes], "&gt;="&amp;D$1,
  desp.m.ik[mes], "&lt;"&amp;EOMONTH(D$1,0)+1
)</f>
        <v>0</v>
      </c>
      <c r="E98" s="186">
        <f ca="1">-SUMIFS(
  desp.m.ik[valor],
  desp.m.ik[nucleo], $B98,
  desp.m.ik[variavel], $B$87,
  desp.m.ik[mes], "&gt;="&amp;E$1,
  desp.m.ik[mes], "&lt;"&amp;EOMONTH(E$1,0)+1
)</f>
        <v>0</v>
      </c>
      <c r="F98" s="186">
        <f ca="1">-SUMIFS(
  desp.m.ik[valor],
  desp.m.ik[nucleo], $B98,
  desp.m.ik[variavel], $B$87,
  desp.m.ik[mes], "&gt;="&amp;F$1,
  desp.m.ik[mes], "&lt;"&amp;EOMONTH(F$1,0)+1
)</f>
        <v>0</v>
      </c>
      <c r="G98" s="186">
        <f ca="1">-SUMIFS(
  desp.m.ik[valor],
  desp.m.ik[nucleo], $B98,
  desp.m.ik[variavel], $B$87,
  desp.m.ik[mes], "&gt;="&amp;G$1,
  desp.m.ik[mes], "&lt;"&amp;EOMONTH(G$1,0)+1
)</f>
        <v>0</v>
      </c>
      <c r="H98" s="186">
        <f ca="1">-SUMIFS(
  desp.m.ik[valor],
  desp.m.ik[nucleo], $B98,
  desp.m.ik[variavel], $B$87,
  desp.m.ik[mes], "&gt;="&amp;H$1,
  desp.m.ik[mes], "&lt;"&amp;EOMONTH(H$1,0)+1
)</f>
        <v>0</v>
      </c>
      <c r="I98" s="186">
        <f ca="1">-SUMIFS(
  desp.m.ik[valor],
  desp.m.ik[nucleo], $B98,
  desp.m.ik[variavel], $B$87,
  desp.m.ik[mes], "&gt;="&amp;I$1,
  desp.m.ik[mes], "&lt;"&amp;EOMONTH(I$1,0)+1
)</f>
        <v>0</v>
      </c>
      <c r="J98" s="186">
        <f ca="1">-SUMIFS(
  desp.m.ik[valor],
  desp.m.ik[nucleo], $B98,
  desp.m.ik[variavel], $B$87,
  desp.m.ik[mes], "&gt;="&amp;J$1,
  desp.m.ik[mes], "&lt;"&amp;EOMONTH(J$1,0)+1
)</f>
        <v>0</v>
      </c>
      <c r="K98" s="186">
        <f ca="1">-SUMIFS(
  desp.m.ik[valor],
  desp.m.ik[nucleo], $B98,
  desp.m.ik[variavel], $B$87,
  desp.m.ik[mes], "&gt;="&amp;K$1,
  desp.m.ik[mes], "&lt;"&amp;EOMONTH(K$1,0)+1
)</f>
        <v>0</v>
      </c>
      <c r="L98" s="186">
        <f ca="1">-SUMIFS(
  desp.m.ik[valor],
  desp.m.ik[nucleo], $B98,
  desp.m.ik[variavel], $B$87,
  desp.m.ik[mes], "&gt;="&amp;L$1,
  desp.m.ik[mes], "&lt;"&amp;EOMONTH(L$1,0)+1
)</f>
        <v>0</v>
      </c>
      <c r="M98" s="186">
        <f ca="1">-SUMIFS(
  desp.m.ik[valor],
  desp.m.ik[nucleo], $B98,
  desp.m.ik[variavel], $B$87,
  desp.m.ik[mes], "&gt;="&amp;M$1,
  desp.m.ik[mes], "&lt;"&amp;EOMONTH(M$1,0)+1
)</f>
        <v>0</v>
      </c>
      <c r="N98" s="186">
        <f ca="1">-SUMIFS(
  desp.m.ik[valor],
  desp.m.ik[nucleo], $B98,
  desp.m.ik[variavel], $B$87,
  desp.m.ik[mes], "&gt;="&amp;N$1,
  desp.m.ik[mes], "&lt;"&amp;EOMONTH(N$1,0)+1
)</f>
        <v>0</v>
      </c>
      <c r="O98" s="186">
        <f ca="1">-SUMIFS(
  desp.m.ik[valor],
  desp.m.ik[nucleo], $B98,
  desp.m.ik[variavel], $B$87,
  desp.m.ik[mes], "&gt;="&amp;O$1,
  desp.m.ik[mes], "&lt;"&amp;EOMONTH(O$1,0)+1
)</f>
        <v>0</v>
      </c>
      <c r="P98" s="186">
        <f ca="1">-SUMIFS(
  desp.m.ik[valor],
  desp.m.ik[nucleo], $B98,
  desp.m.ik[variavel], $B$87,
  desp.m.ik[mes], "&gt;="&amp;P$1,
  desp.m.ik[mes], "&lt;"&amp;EOMONTH(P$1,0)+1
)</f>
        <v>0</v>
      </c>
      <c r="Q98" s="186">
        <f ca="1">-SUMIFS(
  desp.m.ik[valor],
  desp.m.ik[nucleo], $B98,
  desp.m.ik[variavel], $B$87,
  desp.m.ik[mes], "&gt;="&amp;Q$1,
  desp.m.ik[mes], "&lt;"&amp;EOMONTH(Q$1,0)+1
)</f>
        <v>0</v>
      </c>
      <c r="R98" s="186">
        <f ca="1">-SUMIFS(
  desp.m.ik[valor],
  desp.m.ik[nucleo], $B98,
  desp.m.ik[variavel], $B$87,
  desp.m.ik[mes], "&gt;="&amp;R$1,
  desp.m.ik[mes], "&lt;"&amp;EOMONTH(R$1,0)+1
)</f>
        <v>0</v>
      </c>
      <c r="S98" s="186">
        <f ca="1">-SUMIFS(
  desp.m.ik[valor],
  desp.m.ik[nucleo], $B98,
  desp.m.ik[variavel], $B$87,
  desp.m.ik[mes], "&gt;="&amp;S$1,
  desp.m.ik[mes], "&lt;"&amp;EOMONTH(S$1,0)+1
)</f>
        <v>0</v>
      </c>
      <c r="T98" s="186">
        <f ca="1">-SUMIFS(
  desp.m.ik[valor],
  desp.m.ik[nucleo], $B98,
  desp.m.ik[variavel], $B$87,
  desp.m.ik[mes], "&gt;="&amp;T$1,
  desp.m.ik[mes], "&lt;"&amp;EOMONTH(T$1,0)+1
)</f>
        <v>0</v>
      </c>
      <c r="U98" s="186">
        <f ca="1">-SUMIFS(
  desp.m.ik[valor],
  desp.m.ik[nucleo], $B98,
  desp.m.ik[variavel], $B$87,
  desp.m.ik[mes], "&gt;="&amp;U$1,
  desp.m.ik[mes], "&lt;"&amp;EOMONTH(U$1,0)+1
)</f>
        <v>0</v>
      </c>
      <c r="V98" s="186">
        <f ca="1">-SUMIFS(
  desp.m.ik[valor],
  desp.m.ik[nucleo], $B98,
  desp.m.ik[variavel], $B$87,
  desp.m.ik[mes], "&gt;="&amp;V$1,
  desp.m.ik[mes], "&lt;"&amp;EOMONTH(V$1,0)+1
)</f>
        <v>0</v>
      </c>
      <c r="W98" s="186">
        <f ca="1">-SUMIFS(
  desp.m.ik[valor],
  desp.m.ik[nucleo], $B98,
  desp.m.ik[variavel], $B$87,
  desp.m.ik[mes], "&gt;="&amp;W$1,
  desp.m.ik[mes], "&lt;"&amp;EOMONTH(W$1,0)+1
)</f>
        <v>0</v>
      </c>
      <c r="X98" s="186">
        <f ca="1">-SUMIFS(
  desp.m.ik[valor],
  desp.m.ik[nucleo], $B98,
  desp.m.ik[variavel], $B$87,
  desp.m.ik[mes], "&gt;="&amp;X$1,
  desp.m.ik[mes], "&lt;"&amp;EOMONTH(X$1,0)+1
)</f>
        <v>0</v>
      </c>
      <c r="Y98" s="186">
        <f ca="1">-SUMIFS(
  desp.m.ik[valor],
  desp.m.ik[nucleo], $B98,
  desp.m.ik[variavel], $B$87,
  desp.m.ik[mes], "&gt;="&amp;Y$1,
  desp.m.ik[mes], "&lt;"&amp;EOMONTH(Y$1,0)+1
)</f>
        <v>0</v>
      </c>
      <c r="Z98" s="186">
        <f ca="1">-SUMIFS(
  desp.m.ik[valor],
  desp.m.ik[nucleo], $B98,
  desp.m.ik[variavel], $B$87,
  desp.m.ik[mes], "&gt;="&amp;Z$1,
  desp.m.ik[mes], "&lt;"&amp;EOMONTH(Z$1,0)+1
)</f>
        <v>0</v>
      </c>
      <c r="AA98" s="186">
        <f ca="1">-SUMIFS(
  desp.m.ik[valor],
  desp.m.ik[nucleo], $B98,
  desp.m.ik[variavel], $B$87,
  desp.m.ik[mes], "&gt;="&amp;AA$1,
  desp.m.ik[mes], "&lt;"&amp;EOMONTH(AA$1,0)+1
)</f>
        <v>0</v>
      </c>
      <c r="AC98" s="178">
        <f t="shared" ca="1" si="17"/>
        <v>0</v>
      </c>
      <c r="AE98" s="178">
        <f t="shared" ca="1" si="19"/>
        <v>0</v>
      </c>
    </row>
    <row r="99" spans="1:31" hidden="1" outlineLevel="2" x14ac:dyDescent="0.25">
      <c r="A99" s="185" t="s">
        <v>1200</v>
      </c>
      <c r="B99" s="185" t="s">
        <v>580</v>
      </c>
      <c r="C99" s="138" t="s">
        <v>514</v>
      </c>
      <c r="D99" s="186">
        <f ca="1">-SUMIFS(
  desp.m.ik[valor],
  desp.m.ik[nucleo], $B99,
  desp.m.ik[variavel], $B$87,
  desp.m.ik[mes], "&gt;="&amp;D$1,
  desp.m.ik[mes], "&lt;"&amp;EOMONTH(D$1,0)+1
)</f>
        <v>0</v>
      </c>
      <c r="E99" s="186">
        <f ca="1">-SUMIFS(
  desp.m.ik[valor],
  desp.m.ik[nucleo], $B99,
  desp.m.ik[variavel], $B$87,
  desp.m.ik[mes], "&gt;="&amp;E$1,
  desp.m.ik[mes], "&lt;"&amp;EOMONTH(E$1,0)+1
)</f>
        <v>0</v>
      </c>
      <c r="F99" s="186">
        <f ca="1">-SUMIFS(
  desp.m.ik[valor],
  desp.m.ik[nucleo], $B99,
  desp.m.ik[variavel], $B$87,
  desp.m.ik[mes], "&gt;="&amp;F$1,
  desp.m.ik[mes], "&lt;"&amp;EOMONTH(F$1,0)+1
)</f>
        <v>0</v>
      </c>
      <c r="G99" s="186">
        <f ca="1">-SUMIFS(
  desp.m.ik[valor],
  desp.m.ik[nucleo], $B99,
  desp.m.ik[variavel], $B$87,
  desp.m.ik[mes], "&gt;="&amp;G$1,
  desp.m.ik[mes], "&lt;"&amp;EOMONTH(G$1,0)+1
)</f>
        <v>0</v>
      </c>
      <c r="H99" s="186">
        <f ca="1">-SUMIFS(
  desp.m.ik[valor],
  desp.m.ik[nucleo], $B99,
  desp.m.ik[variavel], $B$87,
  desp.m.ik[mes], "&gt;="&amp;H$1,
  desp.m.ik[mes], "&lt;"&amp;EOMONTH(H$1,0)+1
)</f>
        <v>0</v>
      </c>
      <c r="I99" s="186">
        <f ca="1">-SUMIFS(
  desp.m.ik[valor],
  desp.m.ik[nucleo], $B99,
  desp.m.ik[variavel], $B$87,
  desp.m.ik[mes], "&gt;="&amp;I$1,
  desp.m.ik[mes], "&lt;"&amp;EOMONTH(I$1,0)+1
)</f>
        <v>0</v>
      </c>
      <c r="J99" s="186">
        <f ca="1">-SUMIFS(
  desp.m.ik[valor],
  desp.m.ik[nucleo], $B99,
  desp.m.ik[variavel], $B$87,
  desp.m.ik[mes], "&gt;="&amp;J$1,
  desp.m.ik[mes], "&lt;"&amp;EOMONTH(J$1,0)+1
)</f>
        <v>0</v>
      </c>
      <c r="K99" s="186">
        <f ca="1">-SUMIFS(
  desp.m.ik[valor],
  desp.m.ik[nucleo], $B99,
  desp.m.ik[variavel], $B$87,
  desp.m.ik[mes], "&gt;="&amp;K$1,
  desp.m.ik[mes], "&lt;"&amp;EOMONTH(K$1,0)+1
)</f>
        <v>0</v>
      </c>
      <c r="L99" s="186">
        <f ca="1">-SUMIFS(
  desp.m.ik[valor],
  desp.m.ik[nucleo], $B99,
  desp.m.ik[variavel], $B$87,
  desp.m.ik[mes], "&gt;="&amp;L$1,
  desp.m.ik[mes], "&lt;"&amp;EOMONTH(L$1,0)+1
)</f>
        <v>0</v>
      </c>
      <c r="M99" s="186">
        <f ca="1">-SUMIFS(
  desp.m.ik[valor],
  desp.m.ik[nucleo], $B99,
  desp.m.ik[variavel], $B$87,
  desp.m.ik[mes], "&gt;="&amp;M$1,
  desp.m.ik[mes], "&lt;"&amp;EOMONTH(M$1,0)+1
)</f>
        <v>0</v>
      </c>
      <c r="N99" s="186">
        <f ca="1">-SUMIFS(
  desp.m.ik[valor],
  desp.m.ik[nucleo], $B99,
  desp.m.ik[variavel], $B$87,
  desp.m.ik[mes], "&gt;="&amp;N$1,
  desp.m.ik[mes], "&lt;"&amp;EOMONTH(N$1,0)+1
)</f>
        <v>0</v>
      </c>
      <c r="O99" s="186">
        <f ca="1">-SUMIFS(
  desp.m.ik[valor],
  desp.m.ik[nucleo], $B99,
  desp.m.ik[variavel], $B$87,
  desp.m.ik[mes], "&gt;="&amp;O$1,
  desp.m.ik[mes], "&lt;"&amp;EOMONTH(O$1,0)+1
)</f>
        <v>0</v>
      </c>
      <c r="P99" s="186">
        <f ca="1">-SUMIFS(
  desp.m.ik[valor],
  desp.m.ik[nucleo], $B99,
  desp.m.ik[variavel], $B$87,
  desp.m.ik[mes], "&gt;="&amp;P$1,
  desp.m.ik[mes], "&lt;"&amp;EOMONTH(P$1,0)+1
)</f>
        <v>0</v>
      </c>
      <c r="Q99" s="186">
        <f ca="1">-SUMIFS(
  desp.m.ik[valor],
  desp.m.ik[nucleo], $B99,
  desp.m.ik[variavel], $B$87,
  desp.m.ik[mes], "&gt;="&amp;Q$1,
  desp.m.ik[mes], "&lt;"&amp;EOMONTH(Q$1,0)+1
)</f>
        <v>0</v>
      </c>
      <c r="R99" s="186">
        <f ca="1">-SUMIFS(
  desp.m.ik[valor],
  desp.m.ik[nucleo], $B99,
  desp.m.ik[variavel], $B$87,
  desp.m.ik[mes], "&gt;="&amp;R$1,
  desp.m.ik[mes], "&lt;"&amp;EOMONTH(R$1,0)+1
)</f>
        <v>0</v>
      </c>
      <c r="S99" s="186">
        <f ca="1">-SUMIFS(
  desp.m.ik[valor],
  desp.m.ik[nucleo], $B99,
  desp.m.ik[variavel], $B$87,
  desp.m.ik[mes], "&gt;="&amp;S$1,
  desp.m.ik[mes], "&lt;"&amp;EOMONTH(S$1,0)+1
)</f>
        <v>0</v>
      </c>
      <c r="T99" s="186">
        <f ca="1">-SUMIFS(
  desp.m.ik[valor],
  desp.m.ik[nucleo], $B99,
  desp.m.ik[variavel], $B$87,
  desp.m.ik[mes], "&gt;="&amp;T$1,
  desp.m.ik[mes], "&lt;"&amp;EOMONTH(T$1,0)+1
)</f>
        <v>0</v>
      </c>
      <c r="U99" s="186">
        <f ca="1">-SUMIFS(
  desp.m.ik[valor],
  desp.m.ik[nucleo], $B99,
  desp.m.ik[variavel], $B$87,
  desp.m.ik[mes], "&gt;="&amp;U$1,
  desp.m.ik[mes], "&lt;"&amp;EOMONTH(U$1,0)+1
)</f>
        <v>0</v>
      </c>
      <c r="V99" s="186">
        <f ca="1">-SUMIFS(
  desp.m.ik[valor],
  desp.m.ik[nucleo], $B99,
  desp.m.ik[variavel], $B$87,
  desp.m.ik[mes], "&gt;="&amp;V$1,
  desp.m.ik[mes], "&lt;"&amp;EOMONTH(V$1,0)+1
)</f>
        <v>0</v>
      </c>
      <c r="W99" s="186">
        <f ca="1">-SUMIFS(
  desp.m.ik[valor],
  desp.m.ik[nucleo], $B99,
  desp.m.ik[variavel], $B$87,
  desp.m.ik[mes], "&gt;="&amp;W$1,
  desp.m.ik[mes], "&lt;"&amp;EOMONTH(W$1,0)+1
)</f>
        <v>0</v>
      </c>
      <c r="X99" s="186">
        <f ca="1">-SUMIFS(
  desp.m.ik[valor],
  desp.m.ik[nucleo], $B99,
  desp.m.ik[variavel], $B$87,
  desp.m.ik[mes], "&gt;="&amp;X$1,
  desp.m.ik[mes], "&lt;"&amp;EOMONTH(X$1,0)+1
)</f>
        <v>0</v>
      </c>
      <c r="Y99" s="186">
        <f ca="1">-SUMIFS(
  desp.m.ik[valor],
  desp.m.ik[nucleo], $B99,
  desp.m.ik[variavel], $B$87,
  desp.m.ik[mes], "&gt;="&amp;Y$1,
  desp.m.ik[mes], "&lt;"&amp;EOMONTH(Y$1,0)+1
)</f>
        <v>0</v>
      </c>
      <c r="Z99" s="186">
        <f ca="1">-SUMIFS(
  desp.m.ik[valor],
  desp.m.ik[nucleo], $B99,
  desp.m.ik[variavel], $B$87,
  desp.m.ik[mes], "&gt;="&amp;Z$1,
  desp.m.ik[mes], "&lt;"&amp;EOMONTH(Z$1,0)+1
)</f>
        <v>0</v>
      </c>
      <c r="AA99" s="186">
        <f ca="1">-SUMIFS(
  desp.m.ik[valor],
  desp.m.ik[nucleo], $B99,
  desp.m.ik[variavel], $B$87,
  desp.m.ik[mes], "&gt;="&amp;AA$1,
  desp.m.ik[mes], "&lt;"&amp;EOMONTH(AA$1,0)+1
)</f>
        <v>0</v>
      </c>
      <c r="AC99" s="178">
        <f t="shared" ca="1" si="17"/>
        <v>0</v>
      </c>
      <c r="AE99" s="178">
        <f t="shared" ca="1" si="19"/>
        <v>0</v>
      </c>
    </row>
    <row r="100" spans="1:31" hidden="1" outlineLevel="2" x14ac:dyDescent="0.25">
      <c r="A100" s="185" t="s">
        <v>1201</v>
      </c>
      <c r="B100" s="185" t="s">
        <v>706</v>
      </c>
      <c r="C100" s="138" t="s">
        <v>514</v>
      </c>
      <c r="D100" s="186">
        <f ca="1">-SUMIFS(
  desp.m.ik[valor],
  desp.m.ik[nucleo], $B100,
  desp.m.ik[variavel], $B$87,
  desp.m.ik[mes], "&gt;="&amp;D$1,
  desp.m.ik[mes], "&lt;"&amp;EOMONTH(D$1,0)+1
)</f>
        <v>0</v>
      </c>
      <c r="E100" s="186">
        <f ca="1">-SUMIFS(
  desp.m.ik[valor],
  desp.m.ik[nucleo], $B100,
  desp.m.ik[variavel], $B$87,
  desp.m.ik[mes], "&gt;="&amp;E$1,
  desp.m.ik[mes], "&lt;"&amp;EOMONTH(E$1,0)+1
)</f>
        <v>0</v>
      </c>
      <c r="F100" s="186">
        <f ca="1">-SUMIFS(
  desp.m.ik[valor],
  desp.m.ik[nucleo], $B100,
  desp.m.ik[variavel], $B$87,
  desp.m.ik[mes], "&gt;="&amp;F$1,
  desp.m.ik[mes], "&lt;"&amp;EOMONTH(F$1,0)+1
)</f>
        <v>0</v>
      </c>
      <c r="G100" s="186">
        <f ca="1">-SUMIFS(
  desp.m.ik[valor],
  desp.m.ik[nucleo], $B100,
  desp.m.ik[variavel], $B$87,
  desp.m.ik[mes], "&gt;="&amp;G$1,
  desp.m.ik[mes], "&lt;"&amp;EOMONTH(G$1,0)+1
)</f>
        <v>0</v>
      </c>
      <c r="H100" s="186">
        <f ca="1">-SUMIFS(
  desp.m.ik[valor],
  desp.m.ik[nucleo], $B100,
  desp.m.ik[variavel], $B$87,
  desp.m.ik[mes], "&gt;="&amp;H$1,
  desp.m.ik[mes], "&lt;"&amp;EOMONTH(H$1,0)+1
)</f>
        <v>0</v>
      </c>
      <c r="I100" s="186">
        <f ca="1">-SUMIFS(
  desp.m.ik[valor],
  desp.m.ik[nucleo], $B100,
  desp.m.ik[variavel], $B$87,
  desp.m.ik[mes], "&gt;="&amp;I$1,
  desp.m.ik[mes], "&lt;"&amp;EOMONTH(I$1,0)+1
)</f>
        <v>0</v>
      </c>
      <c r="J100" s="186">
        <f ca="1">-SUMIFS(
  desp.m.ik[valor],
  desp.m.ik[nucleo], $B100,
  desp.m.ik[variavel], $B$87,
  desp.m.ik[mes], "&gt;="&amp;J$1,
  desp.m.ik[mes], "&lt;"&amp;EOMONTH(J$1,0)+1
)</f>
        <v>0</v>
      </c>
      <c r="K100" s="186">
        <f ca="1">-SUMIFS(
  desp.m.ik[valor],
  desp.m.ik[nucleo], $B100,
  desp.m.ik[variavel], $B$87,
  desp.m.ik[mes], "&gt;="&amp;K$1,
  desp.m.ik[mes], "&lt;"&amp;EOMONTH(K$1,0)+1
)</f>
        <v>0</v>
      </c>
      <c r="L100" s="186">
        <f ca="1">-SUMIFS(
  desp.m.ik[valor],
  desp.m.ik[nucleo], $B100,
  desp.m.ik[variavel], $B$87,
  desp.m.ik[mes], "&gt;="&amp;L$1,
  desp.m.ik[mes], "&lt;"&amp;EOMONTH(L$1,0)+1
)</f>
        <v>0</v>
      </c>
      <c r="M100" s="186">
        <f ca="1">-SUMIFS(
  desp.m.ik[valor],
  desp.m.ik[nucleo], $B100,
  desp.m.ik[variavel], $B$87,
  desp.m.ik[mes], "&gt;="&amp;M$1,
  desp.m.ik[mes], "&lt;"&amp;EOMONTH(M$1,0)+1
)</f>
        <v>0</v>
      </c>
      <c r="N100" s="186">
        <f ca="1">-SUMIFS(
  desp.m.ik[valor],
  desp.m.ik[nucleo], $B100,
  desp.m.ik[variavel], $B$87,
  desp.m.ik[mes], "&gt;="&amp;N$1,
  desp.m.ik[mes], "&lt;"&amp;EOMONTH(N$1,0)+1
)</f>
        <v>0</v>
      </c>
      <c r="O100" s="186">
        <f ca="1">-SUMIFS(
  desp.m.ik[valor],
  desp.m.ik[nucleo], $B100,
  desp.m.ik[variavel], $B$87,
  desp.m.ik[mes], "&gt;="&amp;O$1,
  desp.m.ik[mes], "&lt;"&amp;EOMONTH(O$1,0)+1
)</f>
        <v>0</v>
      </c>
      <c r="P100" s="186">
        <f ca="1">-SUMIFS(
  desp.m.ik[valor],
  desp.m.ik[nucleo], $B100,
  desp.m.ik[variavel], $B$87,
  desp.m.ik[mes], "&gt;="&amp;P$1,
  desp.m.ik[mes], "&lt;"&amp;EOMONTH(P$1,0)+1
)</f>
        <v>0</v>
      </c>
      <c r="Q100" s="186">
        <f ca="1">-SUMIFS(
  desp.m.ik[valor],
  desp.m.ik[nucleo], $B100,
  desp.m.ik[variavel], $B$87,
  desp.m.ik[mes], "&gt;="&amp;Q$1,
  desp.m.ik[mes], "&lt;"&amp;EOMONTH(Q$1,0)+1
)</f>
        <v>0</v>
      </c>
      <c r="R100" s="186">
        <f ca="1">-SUMIFS(
  desp.m.ik[valor],
  desp.m.ik[nucleo], $B100,
  desp.m.ik[variavel], $B$87,
  desp.m.ik[mes], "&gt;="&amp;R$1,
  desp.m.ik[mes], "&lt;"&amp;EOMONTH(R$1,0)+1
)</f>
        <v>0</v>
      </c>
      <c r="S100" s="186">
        <f ca="1">-SUMIFS(
  desp.m.ik[valor],
  desp.m.ik[nucleo], $B100,
  desp.m.ik[variavel], $B$87,
  desp.m.ik[mes], "&gt;="&amp;S$1,
  desp.m.ik[mes], "&lt;"&amp;EOMONTH(S$1,0)+1
)</f>
        <v>0</v>
      </c>
      <c r="T100" s="186">
        <f ca="1">-SUMIFS(
  desp.m.ik[valor],
  desp.m.ik[nucleo], $B100,
  desp.m.ik[variavel], $B$87,
  desp.m.ik[mes], "&gt;="&amp;T$1,
  desp.m.ik[mes], "&lt;"&amp;EOMONTH(T$1,0)+1
)</f>
        <v>0</v>
      </c>
      <c r="U100" s="186">
        <f ca="1">-SUMIFS(
  desp.m.ik[valor],
  desp.m.ik[nucleo], $B100,
  desp.m.ik[variavel], $B$87,
  desp.m.ik[mes], "&gt;="&amp;U$1,
  desp.m.ik[mes], "&lt;"&amp;EOMONTH(U$1,0)+1
)</f>
        <v>0</v>
      </c>
      <c r="V100" s="186">
        <f ca="1">-SUMIFS(
  desp.m.ik[valor],
  desp.m.ik[nucleo], $B100,
  desp.m.ik[variavel], $B$87,
  desp.m.ik[mes], "&gt;="&amp;V$1,
  desp.m.ik[mes], "&lt;"&amp;EOMONTH(V$1,0)+1
)</f>
        <v>0</v>
      </c>
      <c r="W100" s="186">
        <f ca="1">-SUMIFS(
  desp.m.ik[valor],
  desp.m.ik[nucleo], $B100,
  desp.m.ik[variavel], $B$87,
  desp.m.ik[mes], "&gt;="&amp;W$1,
  desp.m.ik[mes], "&lt;"&amp;EOMONTH(W$1,0)+1
)</f>
        <v>0</v>
      </c>
      <c r="X100" s="186">
        <f ca="1">-SUMIFS(
  desp.m.ik[valor],
  desp.m.ik[nucleo], $B100,
  desp.m.ik[variavel], $B$87,
  desp.m.ik[mes], "&gt;="&amp;X$1,
  desp.m.ik[mes], "&lt;"&amp;EOMONTH(X$1,0)+1
)</f>
        <v>0</v>
      </c>
      <c r="Y100" s="186">
        <f ca="1">-SUMIFS(
  desp.m.ik[valor],
  desp.m.ik[nucleo], $B100,
  desp.m.ik[variavel], $B$87,
  desp.m.ik[mes], "&gt;="&amp;Y$1,
  desp.m.ik[mes], "&lt;"&amp;EOMONTH(Y$1,0)+1
)</f>
        <v>0</v>
      </c>
      <c r="Z100" s="186">
        <f ca="1">-SUMIFS(
  desp.m.ik[valor],
  desp.m.ik[nucleo], $B100,
  desp.m.ik[variavel], $B$87,
  desp.m.ik[mes], "&gt;="&amp;Z$1,
  desp.m.ik[mes], "&lt;"&amp;EOMONTH(Z$1,0)+1
)</f>
        <v>0</v>
      </c>
      <c r="AA100" s="186">
        <f ca="1">-SUMIFS(
  desp.m.ik[valor],
  desp.m.ik[nucleo], $B100,
  desp.m.ik[variavel], $B$87,
  desp.m.ik[mes], "&gt;="&amp;AA$1,
  desp.m.ik[mes], "&lt;"&amp;EOMONTH(AA$1,0)+1
)</f>
        <v>0</v>
      </c>
      <c r="AC100" s="178">
        <f t="shared" ca="1" si="17"/>
        <v>0</v>
      </c>
      <c r="AE100" s="178">
        <f t="shared" ca="1" si="19"/>
        <v>0</v>
      </c>
    </row>
    <row r="101" spans="1:31" hidden="1" outlineLevel="2" x14ac:dyDescent="0.25">
      <c r="A101" s="185" t="s">
        <v>1202</v>
      </c>
      <c r="B101" s="185" t="s">
        <v>535</v>
      </c>
      <c r="C101" s="138" t="s">
        <v>514</v>
      </c>
      <c r="D101" s="186">
        <f ca="1">-SUMIFS(
  desp.m.ik[valor],
  desp.m.ik[nucleo], $B101,
  desp.m.ik[variavel], $B$87,
  desp.m.ik[mes], "&gt;="&amp;D$1,
  desp.m.ik[mes], "&lt;"&amp;EOMONTH(D$1,0)+1
)</f>
        <v>0</v>
      </c>
      <c r="E101" s="186">
        <f ca="1">-SUMIFS(
  desp.m.ik[valor],
  desp.m.ik[nucleo], $B101,
  desp.m.ik[variavel], $B$87,
  desp.m.ik[mes], "&gt;="&amp;E$1,
  desp.m.ik[mes], "&lt;"&amp;EOMONTH(E$1,0)+1
)</f>
        <v>0</v>
      </c>
      <c r="F101" s="186">
        <f ca="1">-SUMIFS(
  desp.m.ik[valor],
  desp.m.ik[nucleo], $B101,
  desp.m.ik[variavel], $B$87,
  desp.m.ik[mes], "&gt;="&amp;F$1,
  desp.m.ik[mes], "&lt;"&amp;EOMONTH(F$1,0)+1
)</f>
        <v>0</v>
      </c>
      <c r="G101" s="186">
        <f ca="1">-SUMIFS(
  desp.m.ik[valor],
  desp.m.ik[nucleo], $B101,
  desp.m.ik[variavel], $B$87,
  desp.m.ik[mes], "&gt;="&amp;G$1,
  desp.m.ik[mes], "&lt;"&amp;EOMONTH(G$1,0)+1
)</f>
        <v>0</v>
      </c>
      <c r="H101" s="186">
        <f ca="1">-SUMIFS(
  desp.m.ik[valor],
  desp.m.ik[nucleo], $B101,
  desp.m.ik[variavel], $B$87,
  desp.m.ik[mes], "&gt;="&amp;H$1,
  desp.m.ik[mes], "&lt;"&amp;EOMONTH(H$1,0)+1
)</f>
        <v>0</v>
      </c>
      <c r="I101" s="186">
        <f ca="1">-SUMIFS(
  desp.m.ik[valor],
  desp.m.ik[nucleo], $B101,
  desp.m.ik[variavel], $B$87,
  desp.m.ik[mes], "&gt;="&amp;I$1,
  desp.m.ik[mes], "&lt;"&amp;EOMONTH(I$1,0)+1
)</f>
        <v>0</v>
      </c>
      <c r="J101" s="186">
        <f ca="1">-SUMIFS(
  desp.m.ik[valor],
  desp.m.ik[nucleo], $B101,
  desp.m.ik[variavel], $B$87,
  desp.m.ik[mes], "&gt;="&amp;J$1,
  desp.m.ik[mes], "&lt;"&amp;EOMONTH(J$1,0)+1
)</f>
        <v>0</v>
      </c>
      <c r="K101" s="186">
        <f ca="1">-SUMIFS(
  desp.m.ik[valor],
  desp.m.ik[nucleo], $B101,
  desp.m.ik[variavel], $B$87,
  desp.m.ik[mes], "&gt;="&amp;K$1,
  desp.m.ik[mes], "&lt;"&amp;EOMONTH(K$1,0)+1
)</f>
        <v>0</v>
      </c>
      <c r="L101" s="186">
        <f ca="1">-SUMIFS(
  desp.m.ik[valor],
  desp.m.ik[nucleo], $B101,
  desp.m.ik[variavel], $B$87,
  desp.m.ik[mes], "&gt;="&amp;L$1,
  desp.m.ik[mes], "&lt;"&amp;EOMONTH(L$1,0)+1
)</f>
        <v>0</v>
      </c>
      <c r="M101" s="186">
        <f ca="1">-SUMIFS(
  desp.m.ik[valor],
  desp.m.ik[nucleo], $B101,
  desp.m.ik[variavel], $B$87,
  desp.m.ik[mes], "&gt;="&amp;M$1,
  desp.m.ik[mes], "&lt;"&amp;EOMONTH(M$1,0)+1
)</f>
        <v>0</v>
      </c>
      <c r="N101" s="186">
        <f ca="1">-SUMIFS(
  desp.m.ik[valor],
  desp.m.ik[nucleo], $B101,
  desp.m.ik[variavel], $B$87,
  desp.m.ik[mes], "&gt;="&amp;N$1,
  desp.m.ik[mes], "&lt;"&amp;EOMONTH(N$1,0)+1
)</f>
        <v>0</v>
      </c>
      <c r="O101" s="186">
        <f ca="1">-SUMIFS(
  desp.m.ik[valor],
  desp.m.ik[nucleo], $B101,
  desp.m.ik[variavel], $B$87,
  desp.m.ik[mes], "&gt;="&amp;O$1,
  desp.m.ik[mes], "&lt;"&amp;EOMONTH(O$1,0)+1
)</f>
        <v>0</v>
      </c>
      <c r="P101" s="186">
        <f ca="1">-SUMIFS(
  desp.m.ik[valor],
  desp.m.ik[nucleo], $B101,
  desp.m.ik[variavel], $B$87,
  desp.m.ik[mes], "&gt;="&amp;P$1,
  desp.m.ik[mes], "&lt;"&amp;EOMONTH(P$1,0)+1
)</f>
        <v>0</v>
      </c>
      <c r="Q101" s="186">
        <f ca="1">-SUMIFS(
  desp.m.ik[valor],
  desp.m.ik[nucleo], $B101,
  desp.m.ik[variavel], $B$87,
  desp.m.ik[mes], "&gt;="&amp;Q$1,
  desp.m.ik[mes], "&lt;"&amp;EOMONTH(Q$1,0)+1
)</f>
        <v>0</v>
      </c>
      <c r="R101" s="186">
        <f ca="1">-SUMIFS(
  desp.m.ik[valor],
  desp.m.ik[nucleo], $B101,
  desp.m.ik[variavel], $B$87,
  desp.m.ik[mes], "&gt;="&amp;R$1,
  desp.m.ik[mes], "&lt;"&amp;EOMONTH(R$1,0)+1
)</f>
        <v>0</v>
      </c>
      <c r="S101" s="186">
        <f ca="1">-SUMIFS(
  desp.m.ik[valor],
  desp.m.ik[nucleo], $B101,
  desp.m.ik[variavel], $B$87,
  desp.m.ik[mes], "&gt;="&amp;S$1,
  desp.m.ik[mes], "&lt;"&amp;EOMONTH(S$1,0)+1
)</f>
        <v>0</v>
      </c>
      <c r="T101" s="186">
        <f ca="1">-SUMIFS(
  desp.m.ik[valor],
  desp.m.ik[nucleo], $B101,
  desp.m.ik[variavel], $B$87,
  desp.m.ik[mes], "&gt;="&amp;T$1,
  desp.m.ik[mes], "&lt;"&amp;EOMONTH(T$1,0)+1
)</f>
        <v>0</v>
      </c>
      <c r="U101" s="186">
        <f ca="1">-SUMIFS(
  desp.m.ik[valor],
  desp.m.ik[nucleo], $B101,
  desp.m.ik[variavel], $B$87,
  desp.m.ik[mes], "&gt;="&amp;U$1,
  desp.m.ik[mes], "&lt;"&amp;EOMONTH(U$1,0)+1
)</f>
        <v>0</v>
      </c>
      <c r="V101" s="186">
        <f ca="1">-SUMIFS(
  desp.m.ik[valor],
  desp.m.ik[nucleo], $B101,
  desp.m.ik[variavel], $B$87,
  desp.m.ik[mes], "&gt;="&amp;V$1,
  desp.m.ik[mes], "&lt;"&amp;EOMONTH(V$1,0)+1
)</f>
        <v>0</v>
      </c>
      <c r="W101" s="186">
        <f ca="1">-SUMIFS(
  desp.m.ik[valor],
  desp.m.ik[nucleo], $B101,
  desp.m.ik[variavel], $B$87,
  desp.m.ik[mes], "&gt;="&amp;W$1,
  desp.m.ik[mes], "&lt;"&amp;EOMONTH(W$1,0)+1
)</f>
        <v>0</v>
      </c>
      <c r="X101" s="186">
        <f ca="1">-SUMIFS(
  desp.m.ik[valor],
  desp.m.ik[nucleo], $B101,
  desp.m.ik[variavel], $B$87,
  desp.m.ik[mes], "&gt;="&amp;X$1,
  desp.m.ik[mes], "&lt;"&amp;EOMONTH(X$1,0)+1
)</f>
        <v>0</v>
      </c>
      <c r="Y101" s="186">
        <f ca="1">-SUMIFS(
  desp.m.ik[valor],
  desp.m.ik[nucleo], $B101,
  desp.m.ik[variavel], $B$87,
  desp.m.ik[mes], "&gt;="&amp;Y$1,
  desp.m.ik[mes], "&lt;"&amp;EOMONTH(Y$1,0)+1
)</f>
        <v>0</v>
      </c>
      <c r="Z101" s="186">
        <f ca="1">-SUMIFS(
  desp.m.ik[valor],
  desp.m.ik[nucleo], $B101,
  desp.m.ik[variavel], $B$87,
  desp.m.ik[mes], "&gt;="&amp;Z$1,
  desp.m.ik[mes], "&lt;"&amp;EOMONTH(Z$1,0)+1
)</f>
        <v>0</v>
      </c>
      <c r="AA101" s="186">
        <f ca="1">-SUMIFS(
  desp.m.ik[valor],
  desp.m.ik[nucleo], $B101,
  desp.m.ik[variavel], $B$87,
  desp.m.ik[mes], "&gt;="&amp;AA$1,
  desp.m.ik[mes], "&lt;"&amp;EOMONTH(AA$1,0)+1
)</f>
        <v>0</v>
      </c>
      <c r="AC101" s="178">
        <f t="shared" ca="1" si="17"/>
        <v>0</v>
      </c>
      <c r="AE101" s="178">
        <f t="shared" ca="1" si="19"/>
        <v>0</v>
      </c>
    </row>
    <row r="102" spans="1:31" hidden="1" outlineLevel="2" x14ac:dyDescent="0.25">
      <c r="A102" s="185" t="s">
        <v>1201</v>
      </c>
      <c r="B102" s="185" t="s">
        <v>581</v>
      </c>
      <c r="C102" s="138" t="s">
        <v>514</v>
      </c>
      <c r="D102" s="186">
        <f ca="1">-SUMIFS(
  desp.m.ik[valor],
  desp.m.ik[nucleo], $B102,
  desp.m.ik[variavel], $B$87,
  desp.m.ik[mes], "&gt;="&amp;D$1,
  desp.m.ik[mes], "&lt;"&amp;EOMONTH(D$1,0)+1
)</f>
        <v>0</v>
      </c>
      <c r="E102" s="186">
        <f ca="1">-SUMIFS(
  desp.m.ik[valor],
  desp.m.ik[nucleo], $B102,
  desp.m.ik[variavel], $B$87,
  desp.m.ik[mes], "&gt;="&amp;E$1,
  desp.m.ik[mes], "&lt;"&amp;EOMONTH(E$1,0)+1
)</f>
        <v>0</v>
      </c>
      <c r="F102" s="186">
        <f ca="1">-SUMIFS(
  desp.m.ik[valor],
  desp.m.ik[nucleo], $B102,
  desp.m.ik[variavel], $B$87,
  desp.m.ik[mes], "&gt;="&amp;F$1,
  desp.m.ik[mes], "&lt;"&amp;EOMONTH(F$1,0)+1
)</f>
        <v>0</v>
      </c>
      <c r="G102" s="186">
        <f ca="1">-SUMIFS(
  desp.m.ik[valor],
  desp.m.ik[nucleo], $B102,
  desp.m.ik[variavel], $B$87,
  desp.m.ik[mes], "&gt;="&amp;G$1,
  desp.m.ik[mes], "&lt;"&amp;EOMONTH(G$1,0)+1
)</f>
        <v>0</v>
      </c>
      <c r="H102" s="186">
        <f ca="1">-SUMIFS(
  desp.m.ik[valor],
  desp.m.ik[nucleo], $B102,
  desp.m.ik[variavel], $B$87,
  desp.m.ik[mes], "&gt;="&amp;H$1,
  desp.m.ik[mes], "&lt;"&amp;EOMONTH(H$1,0)+1
)</f>
        <v>0</v>
      </c>
      <c r="I102" s="186">
        <f ca="1">-SUMIFS(
  desp.m.ik[valor],
  desp.m.ik[nucleo], $B102,
  desp.m.ik[variavel], $B$87,
  desp.m.ik[mes], "&gt;="&amp;I$1,
  desp.m.ik[mes], "&lt;"&amp;EOMONTH(I$1,0)+1
)</f>
        <v>0</v>
      </c>
      <c r="J102" s="186">
        <f ca="1">-SUMIFS(
  desp.m.ik[valor],
  desp.m.ik[nucleo], $B102,
  desp.m.ik[variavel], $B$87,
  desp.m.ik[mes], "&gt;="&amp;J$1,
  desp.m.ik[mes], "&lt;"&amp;EOMONTH(J$1,0)+1
)</f>
        <v>0</v>
      </c>
      <c r="K102" s="186">
        <f ca="1">-SUMIFS(
  desp.m.ik[valor],
  desp.m.ik[nucleo], $B102,
  desp.m.ik[variavel], $B$87,
  desp.m.ik[mes], "&gt;="&amp;K$1,
  desp.m.ik[mes], "&lt;"&amp;EOMONTH(K$1,0)+1
)</f>
        <v>0</v>
      </c>
      <c r="L102" s="186">
        <f ca="1">-SUMIFS(
  desp.m.ik[valor],
  desp.m.ik[nucleo], $B102,
  desp.m.ik[variavel], $B$87,
  desp.m.ik[mes], "&gt;="&amp;L$1,
  desp.m.ik[mes], "&lt;"&amp;EOMONTH(L$1,0)+1
)</f>
        <v>0</v>
      </c>
      <c r="M102" s="186">
        <f ca="1">-SUMIFS(
  desp.m.ik[valor],
  desp.m.ik[nucleo], $B102,
  desp.m.ik[variavel], $B$87,
  desp.m.ik[mes], "&gt;="&amp;M$1,
  desp.m.ik[mes], "&lt;"&amp;EOMONTH(M$1,0)+1
)</f>
        <v>0</v>
      </c>
      <c r="N102" s="186">
        <f ca="1">-SUMIFS(
  desp.m.ik[valor],
  desp.m.ik[nucleo], $B102,
  desp.m.ik[variavel], $B$87,
  desp.m.ik[mes], "&gt;="&amp;N$1,
  desp.m.ik[mes], "&lt;"&amp;EOMONTH(N$1,0)+1
)</f>
        <v>0</v>
      </c>
      <c r="O102" s="186">
        <f ca="1">-SUMIFS(
  desp.m.ik[valor],
  desp.m.ik[nucleo], $B102,
  desp.m.ik[variavel], $B$87,
  desp.m.ik[mes], "&gt;="&amp;O$1,
  desp.m.ik[mes], "&lt;"&amp;EOMONTH(O$1,0)+1
)</f>
        <v>0</v>
      </c>
      <c r="P102" s="186">
        <f ca="1">-SUMIFS(
  desp.m.ik[valor],
  desp.m.ik[nucleo], $B102,
  desp.m.ik[variavel], $B$87,
  desp.m.ik[mes], "&gt;="&amp;P$1,
  desp.m.ik[mes], "&lt;"&amp;EOMONTH(P$1,0)+1
)</f>
        <v>0</v>
      </c>
      <c r="Q102" s="186">
        <f ca="1">-SUMIFS(
  desp.m.ik[valor],
  desp.m.ik[nucleo], $B102,
  desp.m.ik[variavel], $B$87,
  desp.m.ik[mes], "&gt;="&amp;Q$1,
  desp.m.ik[mes], "&lt;"&amp;EOMONTH(Q$1,0)+1
)</f>
        <v>0</v>
      </c>
      <c r="R102" s="186">
        <f ca="1">-SUMIFS(
  desp.m.ik[valor],
  desp.m.ik[nucleo], $B102,
  desp.m.ik[variavel], $B$87,
  desp.m.ik[mes], "&gt;="&amp;R$1,
  desp.m.ik[mes], "&lt;"&amp;EOMONTH(R$1,0)+1
)</f>
        <v>0</v>
      </c>
      <c r="S102" s="186">
        <f ca="1">-SUMIFS(
  desp.m.ik[valor],
  desp.m.ik[nucleo], $B102,
  desp.m.ik[variavel], $B$87,
  desp.m.ik[mes], "&gt;="&amp;S$1,
  desp.m.ik[mes], "&lt;"&amp;EOMONTH(S$1,0)+1
)</f>
        <v>0</v>
      </c>
      <c r="T102" s="186">
        <f ca="1">-SUMIFS(
  desp.m.ik[valor],
  desp.m.ik[nucleo], $B102,
  desp.m.ik[variavel], $B$87,
  desp.m.ik[mes], "&gt;="&amp;T$1,
  desp.m.ik[mes], "&lt;"&amp;EOMONTH(T$1,0)+1
)</f>
        <v>0</v>
      </c>
      <c r="U102" s="186">
        <f ca="1">-SUMIFS(
  desp.m.ik[valor],
  desp.m.ik[nucleo], $B102,
  desp.m.ik[variavel], $B$87,
  desp.m.ik[mes], "&gt;="&amp;U$1,
  desp.m.ik[mes], "&lt;"&amp;EOMONTH(U$1,0)+1
)</f>
        <v>0</v>
      </c>
      <c r="V102" s="186">
        <f ca="1">-SUMIFS(
  desp.m.ik[valor],
  desp.m.ik[nucleo], $B102,
  desp.m.ik[variavel], $B$87,
  desp.m.ik[mes], "&gt;="&amp;V$1,
  desp.m.ik[mes], "&lt;"&amp;EOMONTH(V$1,0)+1
)</f>
        <v>0</v>
      </c>
      <c r="W102" s="186">
        <f ca="1">-SUMIFS(
  desp.m.ik[valor],
  desp.m.ik[nucleo], $B102,
  desp.m.ik[variavel], $B$87,
  desp.m.ik[mes], "&gt;="&amp;W$1,
  desp.m.ik[mes], "&lt;"&amp;EOMONTH(W$1,0)+1
)</f>
        <v>0</v>
      </c>
      <c r="X102" s="186">
        <f ca="1">-SUMIFS(
  desp.m.ik[valor],
  desp.m.ik[nucleo], $B102,
  desp.m.ik[variavel], $B$87,
  desp.m.ik[mes], "&gt;="&amp;X$1,
  desp.m.ik[mes], "&lt;"&amp;EOMONTH(X$1,0)+1
)</f>
        <v>0</v>
      </c>
      <c r="Y102" s="186">
        <f ca="1">-SUMIFS(
  desp.m.ik[valor],
  desp.m.ik[nucleo], $B102,
  desp.m.ik[variavel], $B$87,
  desp.m.ik[mes], "&gt;="&amp;Y$1,
  desp.m.ik[mes], "&lt;"&amp;EOMONTH(Y$1,0)+1
)</f>
        <v>0</v>
      </c>
      <c r="Z102" s="186">
        <f ca="1">-SUMIFS(
  desp.m.ik[valor],
  desp.m.ik[nucleo], $B102,
  desp.m.ik[variavel], $B$87,
  desp.m.ik[mes], "&gt;="&amp;Z$1,
  desp.m.ik[mes], "&lt;"&amp;EOMONTH(Z$1,0)+1
)</f>
        <v>0</v>
      </c>
      <c r="AA102" s="186">
        <f ca="1">-SUMIFS(
  desp.m.ik[valor],
  desp.m.ik[nucleo], $B102,
  desp.m.ik[variavel], $B$87,
  desp.m.ik[mes], "&gt;="&amp;AA$1,
  desp.m.ik[mes], "&lt;"&amp;EOMONTH(AA$1,0)+1
)</f>
        <v>0</v>
      </c>
      <c r="AC102" s="178">
        <f t="shared" ca="1" si="17"/>
        <v>0</v>
      </c>
      <c r="AE102" s="178">
        <f t="shared" ca="1" si="19"/>
        <v>0</v>
      </c>
    </row>
    <row r="103" spans="1:31" hidden="1" outlineLevel="1" x14ac:dyDescent="0.25">
      <c r="A103" s="182" t="s">
        <v>565</v>
      </c>
      <c r="B103" s="182" t="s">
        <v>386</v>
      </c>
      <c r="C103" s="183" t="s">
        <v>514</v>
      </c>
      <c r="D103" s="184">
        <f t="shared" ref="D103:AA103" ca="1" si="25">SUM(D$104:D$115)</f>
        <v>0</v>
      </c>
      <c r="E103" s="184">
        <f t="shared" ca="1" si="25"/>
        <v>0</v>
      </c>
      <c r="F103" s="184">
        <f t="shared" ca="1" si="25"/>
        <v>0</v>
      </c>
      <c r="G103" s="184">
        <f t="shared" ca="1" si="25"/>
        <v>0</v>
      </c>
      <c r="H103" s="184">
        <f t="shared" ca="1" si="25"/>
        <v>0</v>
      </c>
      <c r="I103" s="184">
        <f t="shared" ca="1" si="25"/>
        <v>0</v>
      </c>
      <c r="J103" s="184">
        <f t="shared" ca="1" si="25"/>
        <v>0</v>
      </c>
      <c r="K103" s="184">
        <f t="shared" ca="1" si="25"/>
        <v>0</v>
      </c>
      <c r="L103" s="184">
        <f t="shared" ca="1" si="25"/>
        <v>0</v>
      </c>
      <c r="M103" s="184">
        <f t="shared" ca="1" si="25"/>
        <v>0</v>
      </c>
      <c r="N103" s="184">
        <f t="shared" ca="1" si="25"/>
        <v>0</v>
      </c>
      <c r="O103" s="184">
        <f t="shared" ca="1" si="25"/>
        <v>0</v>
      </c>
      <c r="P103" s="184">
        <f t="shared" ca="1" si="25"/>
        <v>0</v>
      </c>
      <c r="Q103" s="184">
        <f t="shared" ca="1" si="25"/>
        <v>0</v>
      </c>
      <c r="R103" s="184">
        <f t="shared" ca="1" si="25"/>
        <v>0</v>
      </c>
      <c r="S103" s="184">
        <f t="shared" ca="1" si="25"/>
        <v>0</v>
      </c>
      <c r="T103" s="184">
        <f t="shared" ca="1" si="25"/>
        <v>0</v>
      </c>
      <c r="U103" s="184">
        <f t="shared" ca="1" si="25"/>
        <v>0</v>
      </c>
      <c r="V103" s="184">
        <f t="shared" ca="1" si="25"/>
        <v>0</v>
      </c>
      <c r="W103" s="184">
        <f t="shared" ca="1" si="25"/>
        <v>0</v>
      </c>
      <c r="X103" s="184">
        <f t="shared" ca="1" si="25"/>
        <v>0</v>
      </c>
      <c r="Y103" s="184">
        <f t="shared" ca="1" si="25"/>
        <v>0</v>
      </c>
      <c r="Z103" s="184">
        <f t="shared" ca="1" si="25"/>
        <v>0</v>
      </c>
      <c r="AA103" s="184">
        <f t="shared" ca="1" si="25"/>
        <v>0</v>
      </c>
      <c r="AC103" s="280">
        <f t="shared" ca="1" si="17"/>
        <v>0</v>
      </c>
      <c r="AE103" s="280">
        <f t="shared" ca="1" si="19"/>
        <v>0</v>
      </c>
    </row>
    <row r="104" spans="1:31" hidden="1" outlineLevel="2" x14ac:dyDescent="0.25">
      <c r="A104" s="185" t="s">
        <v>1146</v>
      </c>
      <c r="B104" s="185" t="s">
        <v>546</v>
      </c>
      <c r="C104" s="138" t="s">
        <v>514</v>
      </c>
      <c r="D104" s="186">
        <f ca="1">-SUMIFS(
  desp.m.ik[valor],
  desp.m.ik[nucleo], $B104,
  desp.m.ik[variavel], $B$103,
  desp.m.ik[mes], "&gt;="&amp;D$1,
  desp.m.ik[mes], "&lt;"&amp;EOMONTH(D$1,0)+1
)</f>
        <v>0</v>
      </c>
      <c r="E104" s="186">
        <f ca="1">-SUMIFS(
  desp.m.ik[valor],
  desp.m.ik[nucleo], $B104,
  desp.m.ik[variavel], $B$103,
  desp.m.ik[mes], "&gt;="&amp;E$1,
  desp.m.ik[mes], "&lt;"&amp;EOMONTH(E$1,0)+1
)</f>
        <v>0</v>
      </c>
      <c r="F104" s="186">
        <f ca="1">-SUMIFS(
  desp.m.ik[valor],
  desp.m.ik[nucleo], $B104,
  desp.m.ik[variavel], $B$103,
  desp.m.ik[mes], "&gt;="&amp;F$1,
  desp.m.ik[mes], "&lt;"&amp;EOMONTH(F$1,0)+1
)</f>
        <v>0</v>
      </c>
      <c r="G104" s="186">
        <f ca="1">-SUMIFS(
  desp.m.ik[valor],
  desp.m.ik[nucleo], $B104,
  desp.m.ik[variavel], $B$103,
  desp.m.ik[mes], "&gt;="&amp;G$1,
  desp.m.ik[mes], "&lt;"&amp;EOMONTH(G$1,0)+1
)</f>
        <v>0</v>
      </c>
      <c r="H104" s="186">
        <f ca="1">-SUMIFS(
  desp.m.ik[valor],
  desp.m.ik[nucleo], $B104,
  desp.m.ik[variavel], $B$103,
  desp.m.ik[mes], "&gt;="&amp;H$1,
  desp.m.ik[mes], "&lt;"&amp;EOMONTH(H$1,0)+1
)</f>
        <v>0</v>
      </c>
      <c r="I104" s="186">
        <f ca="1">-SUMIFS(
  desp.m.ik[valor],
  desp.m.ik[nucleo], $B104,
  desp.m.ik[variavel], $B$103,
  desp.m.ik[mes], "&gt;="&amp;I$1,
  desp.m.ik[mes], "&lt;"&amp;EOMONTH(I$1,0)+1
)</f>
        <v>0</v>
      </c>
      <c r="J104" s="186">
        <f ca="1">-SUMIFS(
  desp.m.ik[valor],
  desp.m.ik[nucleo], $B104,
  desp.m.ik[variavel], $B$103,
  desp.m.ik[mes], "&gt;="&amp;J$1,
  desp.m.ik[mes], "&lt;"&amp;EOMONTH(J$1,0)+1
)</f>
        <v>0</v>
      </c>
      <c r="K104" s="186">
        <f ca="1">-SUMIFS(
  desp.m.ik[valor],
  desp.m.ik[nucleo], $B104,
  desp.m.ik[variavel], $B$103,
  desp.m.ik[mes], "&gt;="&amp;K$1,
  desp.m.ik[mes], "&lt;"&amp;EOMONTH(K$1,0)+1
)</f>
        <v>0</v>
      </c>
      <c r="L104" s="186">
        <f ca="1">-SUMIFS(
  desp.m.ik[valor],
  desp.m.ik[nucleo], $B104,
  desp.m.ik[variavel], $B$103,
  desp.m.ik[mes], "&gt;="&amp;L$1,
  desp.m.ik[mes], "&lt;"&amp;EOMONTH(L$1,0)+1
)</f>
        <v>0</v>
      </c>
      <c r="M104" s="186">
        <f ca="1">-SUMIFS(
  desp.m.ik[valor],
  desp.m.ik[nucleo], $B104,
  desp.m.ik[variavel], $B$103,
  desp.m.ik[mes], "&gt;="&amp;M$1,
  desp.m.ik[mes], "&lt;"&amp;EOMONTH(M$1,0)+1
)</f>
        <v>0</v>
      </c>
      <c r="N104" s="186">
        <f ca="1">-SUMIFS(
  desp.m.ik[valor],
  desp.m.ik[nucleo], $B104,
  desp.m.ik[variavel], $B$103,
  desp.m.ik[mes], "&gt;="&amp;N$1,
  desp.m.ik[mes], "&lt;"&amp;EOMONTH(N$1,0)+1
)</f>
        <v>0</v>
      </c>
      <c r="O104" s="186">
        <f ca="1">-SUMIFS(
  desp.m.ik[valor],
  desp.m.ik[nucleo], $B104,
  desp.m.ik[variavel], $B$103,
  desp.m.ik[mes], "&gt;="&amp;O$1,
  desp.m.ik[mes], "&lt;"&amp;EOMONTH(O$1,0)+1
)</f>
        <v>0</v>
      </c>
      <c r="P104" s="186">
        <f ca="1">-SUMIFS(
  desp.m.ik[valor],
  desp.m.ik[nucleo], $B104,
  desp.m.ik[variavel], $B$103,
  desp.m.ik[mes], "&gt;="&amp;P$1,
  desp.m.ik[mes], "&lt;"&amp;EOMONTH(P$1,0)+1
)</f>
        <v>0</v>
      </c>
      <c r="Q104" s="186">
        <f ca="1">-SUMIFS(
  desp.m.ik[valor],
  desp.m.ik[nucleo], $B104,
  desp.m.ik[variavel], $B$103,
  desp.m.ik[mes], "&gt;="&amp;Q$1,
  desp.m.ik[mes], "&lt;"&amp;EOMONTH(Q$1,0)+1
)</f>
        <v>0</v>
      </c>
      <c r="R104" s="186">
        <f ca="1">-SUMIFS(
  desp.m.ik[valor],
  desp.m.ik[nucleo], $B104,
  desp.m.ik[variavel], $B$103,
  desp.m.ik[mes], "&gt;="&amp;R$1,
  desp.m.ik[mes], "&lt;"&amp;EOMONTH(R$1,0)+1
)</f>
        <v>0</v>
      </c>
      <c r="S104" s="186">
        <f ca="1">-SUMIFS(
  desp.m.ik[valor],
  desp.m.ik[nucleo], $B104,
  desp.m.ik[variavel], $B$103,
  desp.m.ik[mes], "&gt;="&amp;S$1,
  desp.m.ik[mes], "&lt;"&amp;EOMONTH(S$1,0)+1
)</f>
        <v>0</v>
      </c>
      <c r="T104" s="186">
        <f ca="1">-SUMIFS(
  desp.m.ik[valor],
  desp.m.ik[nucleo], $B104,
  desp.m.ik[variavel], $B$103,
  desp.m.ik[mes], "&gt;="&amp;T$1,
  desp.m.ik[mes], "&lt;"&amp;EOMONTH(T$1,0)+1
)</f>
        <v>0</v>
      </c>
      <c r="U104" s="186">
        <f ca="1">-SUMIFS(
  desp.m.ik[valor],
  desp.m.ik[nucleo], $B104,
  desp.m.ik[variavel], $B$103,
  desp.m.ik[mes], "&gt;="&amp;U$1,
  desp.m.ik[mes], "&lt;"&amp;EOMONTH(U$1,0)+1
)</f>
        <v>0</v>
      </c>
      <c r="V104" s="186">
        <f ca="1">-SUMIFS(
  desp.m.ik[valor],
  desp.m.ik[nucleo], $B104,
  desp.m.ik[variavel], $B$103,
  desp.m.ik[mes], "&gt;="&amp;V$1,
  desp.m.ik[mes], "&lt;"&amp;EOMONTH(V$1,0)+1
)</f>
        <v>0</v>
      </c>
      <c r="W104" s="186">
        <f ca="1">-SUMIFS(
  desp.m.ik[valor],
  desp.m.ik[nucleo], $B104,
  desp.m.ik[variavel], $B$103,
  desp.m.ik[mes], "&gt;="&amp;W$1,
  desp.m.ik[mes], "&lt;"&amp;EOMONTH(W$1,0)+1
)</f>
        <v>0</v>
      </c>
      <c r="X104" s="186">
        <f ca="1">-SUMIFS(
  desp.m.ik[valor],
  desp.m.ik[nucleo], $B104,
  desp.m.ik[variavel], $B$103,
  desp.m.ik[mes], "&gt;="&amp;X$1,
  desp.m.ik[mes], "&lt;"&amp;EOMONTH(X$1,0)+1
)</f>
        <v>0</v>
      </c>
      <c r="Y104" s="186">
        <f ca="1">-SUMIFS(
  desp.m.ik[valor],
  desp.m.ik[nucleo], $B104,
  desp.m.ik[variavel], $B$103,
  desp.m.ik[mes], "&gt;="&amp;Y$1,
  desp.m.ik[mes], "&lt;"&amp;EOMONTH(Y$1,0)+1
)</f>
        <v>0</v>
      </c>
      <c r="Z104" s="186">
        <f ca="1">-SUMIFS(
  desp.m.ik[valor],
  desp.m.ik[nucleo], $B104,
  desp.m.ik[variavel], $B$103,
  desp.m.ik[mes], "&gt;="&amp;Z$1,
  desp.m.ik[mes], "&lt;"&amp;EOMONTH(Z$1,0)+1
)</f>
        <v>0</v>
      </c>
      <c r="AA104" s="186">
        <f ca="1">-SUMIFS(
  desp.m.ik[valor],
  desp.m.ik[nucleo], $B104,
  desp.m.ik[variavel], $B$103,
  desp.m.ik[mes], "&gt;="&amp;AA$1,
  desp.m.ik[mes], "&lt;"&amp;EOMONTH(AA$1,0)+1
)</f>
        <v>0</v>
      </c>
      <c r="AC104" s="178">
        <f t="shared" ca="1" si="17"/>
        <v>0</v>
      </c>
      <c r="AE104" s="178">
        <f t="shared" ca="1" si="19"/>
        <v>0</v>
      </c>
    </row>
    <row r="105" spans="1:31" hidden="1" outlineLevel="2" x14ac:dyDescent="0.25">
      <c r="A105" s="185" t="s">
        <v>1151</v>
      </c>
      <c r="B105" s="185" t="s">
        <v>541</v>
      </c>
      <c r="C105" s="138" t="s">
        <v>514</v>
      </c>
      <c r="D105" s="186">
        <f ca="1">-SUMIFS(
  desp.m.ik[valor],
  desp.m.ik[nucleo], $B105,
  desp.m.ik[variavel], $B$103,
  desp.m.ik[mes], "&gt;="&amp;D$1,
  desp.m.ik[mes], "&lt;"&amp;EOMONTH(D$1,0)+1
)</f>
        <v>0</v>
      </c>
      <c r="E105" s="186">
        <f ca="1">-SUMIFS(
  desp.m.ik[valor],
  desp.m.ik[nucleo], $B105,
  desp.m.ik[variavel], $B$103,
  desp.m.ik[mes], "&gt;="&amp;E$1,
  desp.m.ik[mes], "&lt;"&amp;EOMONTH(E$1,0)+1
)</f>
        <v>0</v>
      </c>
      <c r="F105" s="186">
        <f ca="1">-SUMIFS(
  desp.m.ik[valor],
  desp.m.ik[nucleo], $B105,
  desp.m.ik[variavel], $B$103,
  desp.m.ik[mes], "&gt;="&amp;F$1,
  desp.m.ik[mes], "&lt;"&amp;EOMONTH(F$1,0)+1
)</f>
        <v>0</v>
      </c>
      <c r="G105" s="186">
        <f ca="1">-SUMIFS(
  desp.m.ik[valor],
  desp.m.ik[nucleo], $B105,
  desp.m.ik[variavel], $B$103,
  desp.m.ik[mes], "&gt;="&amp;G$1,
  desp.m.ik[mes], "&lt;"&amp;EOMONTH(G$1,0)+1
)</f>
        <v>0</v>
      </c>
      <c r="H105" s="186">
        <f ca="1">-SUMIFS(
  desp.m.ik[valor],
  desp.m.ik[nucleo], $B105,
  desp.m.ik[variavel], $B$103,
  desp.m.ik[mes], "&gt;="&amp;H$1,
  desp.m.ik[mes], "&lt;"&amp;EOMONTH(H$1,0)+1
)</f>
        <v>0</v>
      </c>
      <c r="I105" s="186">
        <f ca="1">-SUMIFS(
  desp.m.ik[valor],
  desp.m.ik[nucleo], $B105,
  desp.m.ik[variavel], $B$103,
  desp.m.ik[mes], "&gt;="&amp;I$1,
  desp.m.ik[mes], "&lt;"&amp;EOMONTH(I$1,0)+1
)</f>
        <v>0</v>
      </c>
      <c r="J105" s="186">
        <f ca="1">-SUMIFS(
  desp.m.ik[valor],
  desp.m.ik[nucleo], $B105,
  desp.m.ik[variavel], $B$103,
  desp.m.ik[mes], "&gt;="&amp;J$1,
  desp.m.ik[mes], "&lt;"&amp;EOMONTH(J$1,0)+1
)</f>
        <v>0</v>
      </c>
      <c r="K105" s="186">
        <f ca="1">-SUMIFS(
  desp.m.ik[valor],
  desp.m.ik[nucleo], $B105,
  desp.m.ik[variavel], $B$103,
  desp.m.ik[mes], "&gt;="&amp;K$1,
  desp.m.ik[mes], "&lt;"&amp;EOMONTH(K$1,0)+1
)</f>
        <v>0</v>
      </c>
      <c r="L105" s="186">
        <f ca="1">-SUMIFS(
  desp.m.ik[valor],
  desp.m.ik[nucleo], $B105,
  desp.m.ik[variavel], $B$103,
  desp.m.ik[mes], "&gt;="&amp;L$1,
  desp.m.ik[mes], "&lt;"&amp;EOMONTH(L$1,0)+1
)</f>
        <v>0</v>
      </c>
      <c r="M105" s="186">
        <f ca="1">-SUMIFS(
  desp.m.ik[valor],
  desp.m.ik[nucleo], $B105,
  desp.m.ik[variavel], $B$103,
  desp.m.ik[mes], "&gt;="&amp;M$1,
  desp.m.ik[mes], "&lt;"&amp;EOMONTH(M$1,0)+1
)</f>
        <v>0</v>
      </c>
      <c r="N105" s="186">
        <f ca="1">-SUMIFS(
  desp.m.ik[valor],
  desp.m.ik[nucleo], $B105,
  desp.m.ik[variavel], $B$103,
  desp.m.ik[mes], "&gt;="&amp;N$1,
  desp.m.ik[mes], "&lt;"&amp;EOMONTH(N$1,0)+1
)</f>
        <v>0</v>
      </c>
      <c r="O105" s="186">
        <f ca="1">-SUMIFS(
  desp.m.ik[valor],
  desp.m.ik[nucleo], $B105,
  desp.m.ik[variavel], $B$103,
  desp.m.ik[mes], "&gt;="&amp;O$1,
  desp.m.ik[mes], "&lt;"&amp;EOMONTH(O$1,0)+1
)</f>
        <v>0</v>
      </c>
      <c r="P105" s="186">
        <f ca="1">-SUMIFS(
  desp.m.ik[valor],
  desp.m.ik[nucleo], $B105,
  desp.m.ik[variavel], $B$103,
  desp.m.ik[mes], "&gt;="&amp;P$1,
  desp.m.ik[mes], "&lt;"&amp;EOMONTH(P$1,0)+1
)</f>
        <v>0</v>
      </c>
      <c r="Q105" s="186">
        <f ca="1">-SUMIFS(
  desp.m.ik[valor],
  desp.m.ik[nucleo], $B105,
  desp.m.ik[variavel], $B$103,
  desp.m.ik[mes], "&gt;="&amp;Q$1,
  desp.m.ik[mes], "&lt;"&amp;EOMONTH(Q$1,0)+1
)</f>
        <v>0</v>
      </c>
      <c r="R105" s="186">
        <f ca="1">-SUMIFS(
  desp.m.ik[valor],
  desp.m.ik[nucleo], $B105,
  desp.m.ik[variavel], $B$103,
  desp.m.ik[mes], "&gt;="&amp;R$1,
  desp.m.ik[mes], "&lt;"&amp;EOMONTH(R$1,0)+1
)</f>
        <v>0</v>
      </c>
      <c r="S105" s="186">
        <f ca="1">-SUMIFS(
  desp.m.ik[valor],
  desp.m.ik[nucleo], $B105,
  desp.m.ik[variavel], $B$103,
  desp.m.ik[mes], "&gt;="&amp;S$1,
  desp.m.ik[mes], "&lt;"&amp;EOMONTH(S$1,0)+1
)</f>
        <v>0</v>
      </c>
      <c r="T105" s="186">
        <f ca="1">-SUMIFS(
  desp.m.ik[valor],
  desp.m.ik[nucleo], $B105,
  desp.m.ik[variavel], $B$103,
  desp.m.ik[mes], "&gt;="&amp;T$1,
  desp.m.ik[mes], "&lt;"&amp;EOMONTH(T$1,0)+1
)</f>
        <v>0</v>
      </c>
      <c r="U105" s="186">
        <f ca="1">-SUMIFS(
  desp.m.ik[valor],
  desp.m.ik[nucleo], $B105,
  desp.m.ik[variavel], $B$103,
  desp.m.ik[mes], "&gt;="&amp;U$1,
  desp.m.ik[mes], "&lt;"&amp;EOMONTH(U$1,0)+1
)</f>
        <v>0</v>
      </c>
      <c r="V105" s="186">
        <f ca="1">-SUMIFS(
  desp.m.ik[valor],
  desp.m.ik[nucleo], $B105,
  desp.m.ik[variavel], $B$103,
  desp.m.ik[mes], "&gt;="&amp;V$1,
  desp.m.ik[mes], "&lt;"&amp;EOMONTH(V$1,0)+1
)</f>
        <v>0</v>
      </c>
      <c r="W105" s="186">
        <f ca="1">-SUMIFS(
  desp.m.ik[valor],
  desp.m.ik[nucleo], $B105,
  desp.m.ik[variavel], $B$103,
  desp.m.ik[mes], "&gt;="&amp;W$1,
  desp.m.ik[mes], "&lt;"&amp;EOMONTH(W$1,0)+1
)</f>
        <v>0</v>
      </c>
      <c r="X105" s="186">
        <f ca="1">-SUMIFS(
  desp.m.ik[valor],
  desp.m.ik[nucleo], $B105,
  desp.m.ik[variavel], $B$103,
  desp.m.ik[mes], "&gt;="&amp;X$1,
  desp.m.ik[mes], "&lt;"&amp;EOMONTH(X$1,0)+1
)</f>
        <v>0</v>
      </c>
      <c r="Y105" s="186">
        <f ca="1">-SUMIFS(
  desp.m.ik[valor],
  desp.m.ik[nucleo], $B105,
  desp.m.ik[variavel], $B$103,
  desp.m.ik[mes], "&gt;="&amp;Y$1,
  desp.m.ik[mes], "&lt;"&amp;EOMONTH(Y$1,0)+1
)</f>
        <v>0</v>
      </c>
      <c r="Z105" s="186">
        <f ca="1">-SUMIFS(
  desp.m.ik[valor],
  desp.m.ik[nucleo], $B105,
  desp.m.ik[variavel], $B$103,
  desp.m.ik[mes], "&gt;="&amp;Z$1,
  desp.m.ik[mes], "&lt;"&amp;EOMONTH(Z$1,0)+1
)</f>
        <v>0</v>
      </c>
      <c r="AA105" s="186">
        <f ca="1">-SUMIFS(
  desp.m.ik[valor],
  desp.m.ik[nucleo], $B105,
  desp.m.ik[variavel], $B$103,
  desp.m.ik[mes], "&gt;="&amp;AA$1,
  desp.m.ik[mes], "&lt;"&amp;EOMONTH(AA$1,0)+1
)</f>
        <v>0</v>
      </c>
      <c r="AC105" s="178">
        <f t="shared" ca="1" si="17"/>
        <v>0</v>
      </c>
      <c r="AE105" s="178">
        <f t="shared" ca="1" si="19"/>
        <v>0</v>
      </c>
    </row>
    <row r="106" spans="1:31" hidden="1" outlineLevel="2" x14ac:dyDescent="0.25">
      <c r="A106" s="185" t="s">
        <v>1150</v>
      </c>
      <c r="B106" s="185" t="s">
        <v>544</v>
      </c>
      <c r="C106" s="138" t="s">
        <v>514</v>
      </c>
      <c r="D106" s="186">
        <f ca="1">-SUMIFS(
  desp.m.ik[valor],
  desp.m.ik[nucleo], $B106,
  desp.m.ik[variavel], $B$103,
  desp.m.ik[mes], "&gt;="&amp;D$1,
  desp.m.ik[mes], "&lt;"&amp;EOMONTH(D$1,0)+1
)</f>
        <v>0</v>
      </c>
      <c r="E106" s="186">
        <f ca="1">-SUMIFS(
  desp.m.ik[valor],
  desp.m.ik[nucleo], $B106,
  desp.m.ik[variavel], $B$103,
  desp.m.ik[mes], "&gt;="&amp;E$1,
  desp.m.ik[mes], "&lt;"&amp;EOMONTH(E$1,0)+1
)</f>
        <v>0</v>
      </c>
      <c r="F106" s="186">
        <f ca="1">-SUMIFS(
  desp.m.ik[valor],
  desp.m.ik[nucleo], $B106,
  desp.m.ik[variavel], $B$103,
  desp.m.ik[mes], "&gt;="&amp;F$1,
  desp.m.ik[mes], "&lt;"&amp;EOMONTH(F$1,0)+1
)</f>
        <v>0</v>
      </c>
      <c r="G106" s="186">
        <f ca="1">-SUMIFS(
  desp.m.ik[valor],
  desp.m.ik[nucleo], $B106,
  desp.m.ik[variavel], $B$103,
  desp.m.ik[mes], "&gt;="&amp;G$1,
  desp.m.ik[mes], "&lt;"&amp;EOMONTH(G$1,0)+1
)</f>
        <v>0</v>
      </c>
      <c r="H106" s="186">
        <f ca="1">-SUMIFS(
  desp.m.ik[valor],
  desp.m.ik[nucleo], $B106,
  desp.m.ik[variavel], $B$103,
  desp.m.ik[mes], "&gt;="&amp;H$1,
  desp.m.ik[mes], "&lt;"&amp;EOMONTH(H$1,0)+1
)</f>
        <v>0</v>
      </c>
      <c r="I106" s="186">
        <f ca="1">-SUMIFS(
  desp.m.ik[valor],
  desp.m.ik[nucleo], $B106,
  desp.m.ik[variavel], $B$103,
  desp.m.ik[mes], "&gt;="&amp;I$1,
  desp.m.ik[mes], "&lt;"&amp;EOMONTH(I$1,0)+1
)</f>
        <v>0</v>
      </c>
      <c r="J106" s="186">
        <f ca="1">-SUMIFS(
  desp.m.ik[valor],
  desp.m.ik[nucleo], $B106,
  desp.m.ik[variavel], $B$103,
  desp.m.ik[mes], "&gt;="&amp;J$1,
  desp.m.ik[mes], "&lt;"&amp;EOMONTH(J$1,0)+1
)</f>
        <v>0</v>
      </c>
      <c r="K106" s="186">
        <f ca="1">-SUMIFS(
  desp.m.ik[valor],
  desp.m.ik[nucleo], $B106,
  desp.m.ik[variavel], $B$103,
  desp.m.ik[mes], "&gt;="&amp;K$1,
  desp.m.ik[mes], "&lt;"&amp;EOMONTH(K$1,0)+1
)</f>
        <v>0</v>
      </c>
      <c r="L106" s="186">
        <f ca="1">-SUMIFS(
  desp.m.ik[valor],
  desp.m.ik[nucleo], $B106,
  desp.m.ik[variavel], $B$103,
  desp.m.ik[mes], "&gt;="&amp;L$1,
  desp.m.ik[mes], "&lt;"&amp;EOMONTH(L$1,0)+1
)</f>
        <v>0</v>
      </c>
      <c r="M106" s="186">
        <f ca="1">-SUMIFS(
  desp.m.ik[valor],
  desp.m.ik[nucleo], $B106,
  desp.m.ik[variavel], $B$103,
  desp.m.ik[mes], "&gt;="&amp;M$1,
  desp.m.ik[mes], "&lt;"&amp;EOMONTH(M$1,0)+1
)</f>
        <v>0</v>
      </c>
      <c r="N106" s="186">
        <f ca="1">-SUMIFS(
  desp.m.ik[valor],
  desp.m.ik[nucleo], $B106,
  desp.m.ik[variavel], $B$103,
  desp.m.ik[mes], "&gt;="&amp;N$1,
  desp.m.ik[mes], "&lt;"&amp;EOMONTH(N$1,0)+1
)</f>
        <v>0</v>
      </c>
      <c r="O106" s="186">
        <f ca="1">-SUMIFS(
  desp.m.ik[valor],
  desp.m.ik[nucleo], $B106,
  desp.m.ik[variavel], $B$103,
  desp.m.ik[mes], "&gt;="&amp;O$1,
  desp.m.ik[mes], "&lt;"&amp;EOMONTH(O$1,0)+1
)</f>
        <v>0</v>
      </c>
      <c r="P106" s="186">
        <f ca="1">-SUMIFS(
  desp.m.ik[valor],
  desp.m.ik[nucleo], $B106,
  desp.m.ik[variavel], $B$103,
  desp.m.ik[mes], "&gt;="&amp;P$1,
  desp.m.ik[mes], "&lt;"&amp;EOMONTH(P$1,0)+1
)</f>
        <v>0</v>
      </c>
      <c r="Q106" s="186">
        <f ca="1">-SUMIFS(
  desp.m.ik[valor],
  desp.m.ik[nucleo], $B106,
  desp.m.ik[variavel], $B$103,
  desp.m.ik[mes], "&gt;="&amp;Q$1,
  desp.m.ik[mes], "&lt;"&amp;EOMONTH(Q$1,0)+1
)</f>
        <v>0</v>
      </c>
      <c r="R106" s="186">
        <f ca="1">-SUMIFS(
  desp.m.ik[valor],
  desp.m.ik[nucleo], $B106,
  desp.m.ik[variavel], $B$103,
  desp.m.ik[mes], "&gt;="&amp;R$1,
  desp.m.ik[mes], "&lt;"&amp;EOMONTH(R$1,0)+1
)</f>
        <v>0</v>
      </c>
      <c r="S106" s="186">
        <f ca="1">-SUMIFS(
  desp.m.ik[valor],
  desp.m.ik[nucleo], $B106,
  desp.m.ik[variavel], $B$103,
  desp.m.ik[mes], "&gt;="&amp;S$1,
  desp.m.ik[mes], "&lt;"&amp;EOMONTH(S$1,0)+1
)</f>
        <v>0</v>
      </c>
      <c r="T106" s="186">
        <f ca="1">-SUMIFS(
  desp.m.ik[valor],
  desp.m.ik[nucleo], $B106,
  desp.m.ik[variavel], $B$103,
  desp.m.ik[mes], "&gt;="&amp;T$1,
  desp.m.ik[mes], "&lt;"&amp;EOMONTH(T$1,0)+1
)</f>
        <v>0</v>
      </c>
      <c r="U106" s="186">
        <f ca="1">-SUMIFS(
  desp.m.ik[valor],
  desp.m.ik[nucleo], $B106,
  desp.m.ik[variavel], $B$103,
  desp.m.ik[mes], "&gt;="&amp;U$1,
  desp.m.ik[mes], "&lt;"&amp;EOMONTH(U$1,0)+1
)</f>
        <v>0</v>
      </c>
      <c r="V106" s="186">
        <f ca="1">-SUMIFS(
  desp.m.ik[valor],
  desp.m.ik[nucleo], $B106,
  desp.m.ik[variavel], $B$103,
  desp.m.ik[mes], "&gt;="&amp;V$1,
  desp.m.ik[mes], "&lt;"&amp;EOMONTH(V$1,0)+1
)</f>
        <v>0</v>
      </c>
      <c r="W106" s="186">
        <f ca="1">-SUMIFS(
  desp.m.ik[valor],
  desp.m.ik[nucleo], $B106,
  desp.m.ik[variavel], $B$103,
  desp.m.ik[mes], "&gt;="&amp;W$1,
  desp.m.ik[mes], "&lt;"&amp;EOMONTH(W$1,0)+1
)</f>
        <v>0</v>
      </c>
      <c r="X106" s="186">
        <f ca="1">-SUMIFS(
  desp.m.ik[valor],
  desp.m.ik[nucleo], $B106,
  desp.m.ik[variavel], $B$103,
  desp.m.ik[mes], "&gt;="&amp;X$1,
  desp.m.ik[mes], "&lt;"&amp;EOMONTH(X$1,0)+1
)</f>
        <v>0</v>
      </c>
      <c r="Y106" s="186">
        <f ca="1">-SUMIFS(
  desp.m.ik[valor],
  desp.m.ik[nucleo], $B106,
  desp.m.ik[variavel], $B$103,
  desp.m.ik[mes], "&gt;="&amp;Y$1,
  desp.m.ik[mes], "&lt;"&amp;EOMONTH(Y$1,0)+1
)</f>
        <v>0</v>
      </c>
      <c r="Z106" s="186">
        <f ca="1">-SUMIFS(
  desp.m.ik[valor],
  desp.m.ik[nucleo], $B106,
  desp.m.ik[variavel], $B$103,
  desp.m.ik[mes], "&gt;="&amp;Z$1,
  desp.m.ik[mes], "&lt;"&amp;EOMONTH(Z$1,0)+1
)</f>
        <v>0</v>
      </c>
      <c r="AA106" s="186">
        <f ca="1">-SUMIFS(
  desp.m.ik[valor],
  desp.m.ik[nucleo], $B106,
  desp.m.ik[variavel], $B$103,
  desp.m.ik[mes], "&gt;="&amp;AA$1,
  desp.m.ik[mes], "&lt;"&amp;EOMONTH(AA$1,0)+1
)</f>
        <v>0</v>
      </c>
      <c r="AC106" s="178">
        <f t="shared" ca="1" si="17"/>
        <v>0</v>
      </c>
      <c r="AE106" s="178">
        <f t="shared" ca="1" si="19"/>
        <v>0</v>
      </c>
    </row>
    <row r="107" spans="1:31" hidden="1" outlineLevel="2" x14ac:dyDescent="0.25">
      <c r="A107" s="185" t="s">
        <v>1149</v>
      </c>
      <c r="B107" s="185" t="s">
        <v>1040</v>
      </c>
      <c r="C107" s="138" t="s">
        <v>514</v>
      </c>
      <c r="D107" s="186">
        <f ca="1">-SUMIFS(
  desp.m.ik[valor],
  desp.m.ik[nucleo], $B107,
  desp.m.ik[variavel], $B$103,
  desp.m.ik[mes], "&gt;="&amp;D$1,
  desp.m.ik[mes], "&lt;"&amp;EOMONTH(D$1,0)+1
)</f>
        <v>0</v>
      </c>
      <c r="E107" s="186">
        <f ca="1">-SUMIFS(
  desp.m.ik[valor],
  desp.m.ik[nucleo], $B107,
  desp.m.ik[variavel], $B$103,
  desp.m.ik[mes], "&gt;="&amp;E$1,
  desp.m.ik[mes], "&lt;"&amp;EOMONTH(E$1,0)+1
)</f>
        <v>0</v>
      </c>
      <c r="F107" s="186">
        <f ca="1">-SUMIFS(
  desp.m.ik[valor],
  desp.m.ik[nucleo], $B107,
  desp.m.ik[variavel], $B$103,
  desp.m.ik[mes], "&gt;="&amp;F$1,
  desp.m.ik[mes], "&lt;"&amp;EOMONTH(F$1,0)+1
)</f>
        <v>0</v>
      </c>
      <c r="G107" s="186">
        <f ca="1">-SUMIFS(
  desp.m.ik[valor],
  desp.m.ik[nucleo], $B107,
  desp.m.ik[variavel], $B$103,
  desp.m.ik[mes], "&gt;="&amp;G$1,
  desp.m.ik[mes], "&lt;"&amp;EOMONTH(G$1,0)+1
)</f>
        <v>0</v>
      </c>
      <c r="H107" s="186">
        <f ca="1">-SUMIFS(
  desp.m.ik[valor],
  desp.m.ik[nucleo], $B107,
  desp.m.ik[variavel], $B$103,
  desp.m.ik[mes], "&gt;="&amp;H$1,
  desp.m.ik[mes], "&lt;"&amp;EOMONTH(H$1,0)+1
)</f>
        <v>0</v>
      </c>
      <c r="I107" s="186">
        <f ca="1">-SUMIFS(
  desp.m.ik[valor],
  desp.m.ik[nucleo], $B107,
  desp.m.ik[variavel], $B$103,
  desp.m.ik[mes], "&gt;="&amp;I$1,
  desp.m.ik[mes], "&lt;"&amp;EOMONTH(I$1,0)+1
)</f>
        <v>0</v>
      </c>
      <c r="J107" s="186">
        <f ca="1">-SUMIFS(
  desp.m.ik[valor],
  desp.m.ik[nucleo], $B107,
  desp.m.ik[variavel], $B$103,
  desp.m.ik[mes], "&gt;="&amp;J$1,
  desp.m.ik[mes], "&lt;"&amp;EOMONTH(J$1,0)+1
)</f>
        <v>0</v>
      </c>
      <c r="K107" s="186">
        <f ca="1">-SUMIFS(
  desp.m.ik[valor],
  desp.m.ik[nucleo], $B107,
  desp.m.ik[variavel], $B$103,
  desp.m.ik[mes], "&gt;="&amp;K$1,
  desp.m.ik[mes], "&lt;"&amp;EOMONTH(K$1,0)+1
)</f>
        <v>0</v>
      </c>
      <c r="L107" s="186">
        <f ca="1">-SUMIFS(
  desp.m.ik[valor],
  desp.m.ik[nucleo], $B107,
  desp.m.ik[variavel], $B$103,
  desp.m.ik[mes], "&gt;="&amp;L$1,
  desp.m.ik[mes], "&lt;"&amp;EOMONTH(L$1,0)+1
)</f>
        <v>0</v>
      </c>
      <c r="M107" s="186">
        <f ca="1">-SUMIFS(
  desp.m.ik[valor],
  desp.m.ik[nucleo], $B107,
  desp.m.ik[variavel], $B$103,
  desp.m.ik[mes], "&gt;="&amp;M$1,
  desp.m.ik[mes], "&lt;"&amp;EOMONTH(M$1,0)+1
)</f>
        <v>0</v>
      </c>
      <c r="N107" s="186">
        <f ca="1">-SUMIFS(
  desp.m.ik[valor],
  desp.m.ik[nucleo], $B107,
  desp.m.ik[variavel], $B$103,
  desp.m.ik[mes], "&gt;="&amp;N$1,
  desp.m.ik[mes], "&lt;"&amp;EOMONTH(N$1,0)+1
)</f>
        <v>0</v>
      </c>
      <c r="O107" s="186">
        <f ca="1">-SUMIFS(
  desp.m.ik[valor],
  desp.m.ik[nucleo], $B107,
  desp.m.ik[variavel], $B$103,
  desp.m.ik[mes], "&gt;="&amp;O$1,
  desp.m.ik[mes], "&lt;"&amp;EOMONTH(O$1,0)+1
)</f>
        <v>0</v>
      </c>
      <c r="P107" s="186">
        <f ca="1">-SUMIFS(
  desp.m.ik[valor],
  desp.m.ik[nucleo], $B107,
  desp.m.ik[variavel], $B$103,
  desp.m.ik[mes], "&gt;="&amp;P$1,
  desp.m.ik[mes], "&lt;"&amp;EOMONTH(P$1,0)+1
)</f>
        <v>0</v>
      </c>
      <c r="Q107" s="186">
        <f ca="1">-SUMIFS(
  desp.m.ik[valor],
  desp.m.ik[nucleo], $B107,
  desp.m.ik[variavel], $B$103,
  desp.m.ik[mes], "&gt;="&amp;Q$1,
  desp.m.ik[mes], "&lt;"&amp;EOMONTH(Q$1,0)+1
)</f>
        <v>0</v>
      </c>
      <c r="R107" s="186">
        <f ca="1">-SUMIFS(
  desp.m.ik[valor],
  desp.m.ik[nucleo], $B107,
  desp.m.ik[variavel], $B$103,
  desp.m.ik[mes], "&gt;="&amp;R$1,
  desp.m.ik[mes], "&lt;"&amp;EOMONTH(R$1,0)+1
)</f>
        <v>0</v>
      </c>
      <c r="S107" s="186">
        <f ca="1">-SUMIFS(
  desp.m.ik[valor],
  desp.m.ik[nucleo], $B107,
  desp.m.ik[variavel], $B$103,
  desp.m.ik[mes], "&gt;="&amp;S$1,
  desp.m.ik[mes], "&lt;"&amp;EOMONTH(S$1,0)+1
)</f>
        <v>0</v>
      </c>
      <c r="T107" s="186">
        <f ca="1">-SUMIFS(
  desp.m.ik[valor],
  desp.m.ik[nucleo], $B107,
  desp.m.ik[variavel], $B$103,
  desp.m.ik[mes], "&gt;="&amp;T$1,
  desp.m.ik[mes], "&lt;"&amp;EOMONTH(T$1,0)+1
)</f>
        <v>0</v>
      </c>
      <c r="U107" s="186">
        <f ca="1">-SUMIFS(
  desp.m.ik[valor],
  desp.m.ik[nucleo], $B107,
  desp.m.ik[variavel], $B$103,
  desp.m.ik[mes], "&gt;="&amp;U$1,
  desp.m.ik[mes], "&lt;"&amp;EOMONTH(U$1,0)+1
)</f>
        <v>0</v>
      </c>
      <c r="V107" s="186">
        <f ca="1">-SUMIFS(
  desp.m.ik[valor],
  desp.m.ik[nucleo], $B107,
  desp.m.ik[variavel], $B$103,
  desp.m.ik[mes], "&gt;="&amp;V$1,
  desp.m.ik[mes], "&lt;"&amp;EOMONTH(V$1,0)+1
)</f>
        <v>0</v>
      </c>
      <c r="W107" s="186">
        <f ca="1">-SUMIFS(
  desp.m.ik[valor],
  desp.m.ik[nucleo], $B107,
  desp.m.ik[variavel], $B$103,
  desp.m.ik[mes], "&gt;="&amp;W$1,
  desp.m.ik[mes], "&lt;"&amp;EOMONTH(W$1,0)+1
)</f>
        <v>0</v>
      </c>
      <c r="X107" s="186">
        <f ca="1">-SUMIFS(
  desp.m.ik[valor],
  desp.m.ik[nucleo], $B107,
  desp.m.ik[variavel], $B$103,
  desp.m.ik[mes], "&gt;="&amp;X$1,
  desp.m.ik[mes], "&lt;"&amp;EOMONTH(X$1,0)+1
)</f>
        <v>0</v>
      </c>
      <c r="Y107" s="186">
        <f ca="1">-SUMIFS(
  desp.m.ik[valor],
  desp.m.ik[nucleo], $B107,
  desp.m.ik[variavel], $B$103,
  desp.m.ik[mes], "&gt;="&amp;Y$1,
  desp.m.ik[mes], "&lt;"&amp;EOMONTH(Y$1,0)+1
)</f>
        <v>0</v>
      </c>
      <c r="Z107" s="186">
        <f ca="1">-SUMIFS(
  desp.m.ik[valor],
  desp.m.ik[nucleo], $B107,
  desp.m.ik[variavel], $B$103,
  desp.m.ik[mes], "&gt;="&amp;Z$1,
  desp.m.ik[mes], "&lt;"&amp;EOMONTH(Z$1,0)+1
)</f>
        <v>0</v>
      </c>
      <c r="AA107" s="186">
        <f ca="1">-SUMIFS(
  desp.m.ik[valor],
  desp.m.ik[nucleo], $B107,
  desp.m.ik[variavel], $B$103,
  desp.m.ik[mes], "&gt;="&amp;AA$1,
  desp.m.ik[mes], "&lt;"&amp;EOMONTH(AA$1,0)+1
)</f>
        <v>0</v>
      </c>
      <c r="AC107" s="178">
        <f t="shared" ca="1" si="17"/>
        <v>0</v>
      </c>
      <c r="AE107" s="178">
        <f ca="1">SUM(D107:AA107)</f>
        <v>0</v>
      </c>
    </row>
    <row r="108" spans="1:31" hidden="1" outlineLevel="2" x14ac:dyDescent="0.25">
      <c r="A108" s="185" t="s">
        <v>1153</v>
      </c>
      <c r="B108" s="185" t="s">
        <v>537</v>
      </c>
      <c r="C108" s="138" t="s">
        <v>514</v>
      </c>
      <c r="D108" s="186">
        <f ca="1">-SUMIFS(
  desp.m.ik[valor],
  desp.m.ik[nucleo], $B108,
  desp.m.ik[variavel], $B$103,
  desp.m.ik[mes], "&gt;="&amp;D$1,
  desp.m.ik[mes], "&lt;"&amp;EOMONTH(D$1,0)+1
)</f>
        <v>0</v>
      </c>
      <c r="E108" s="186">
        <f ca="1">-SUMIFS(
  desp.m.ik[valor],
  desp.m.ik[nucleo], $B108,
  desp.m.ik[variavel], $B$103,
  desp.m.ik[mes], "&gt;="&amp;E$1,
  desp.m.ik[mes], "&lt;"&amp;EOMONTH(E$1,0)+1
)</f>
        <v>0</v>
      </c>
      <c r="F108" s="186">
        <f ca="1">-SUMIFS(
  desp.m.ik[valor],
  desp.m.ik[nucleo], $B108,
  desp.m.ik[variavel], $B$103,
  desp.m.ik[mes], "&gt;="&amp;F$1,
  desp.m.ik[mes], "&lt;"&amp;EOMONTH(F$1,0)+1
)</f>
        <v>0</v>
      </c>
      <c r="G108" s="186">
        <f ca="1">-SUMIFS(
  desp.m.ik[valor],
  desp.m.ik[nucleo], $B108,
  desp.m.ik[variavel], $B$103,
  desp.m.ik[mes], "&gt;="&amp;G$1,
  desp.m.ik[mes], "&lt;"&amp;EOMONTH(G$1,0)+1
)</f>
        <v>0</v>
      </c>
      <c r="H108" s="186">
        <f ca="1">-SUMIFS(
  desp.m.ik[valor],
  desp.m.ik[nucleo], $B108,
  desp.m.ik[variavel], $B$103,
  desp.m.ik[mes], "&gt;="&amp;H$1,
  desp.m.ik[mes], "&lt;"&amp;EOMONTH(H$1,0)+1
)</f>
        <v>0</v>
      </c>
      <c r="I108" s="186">
        <f ca="1">-SUMIFS(
  desp.m.ik[valor],
  desp.m.ik[nucleo], $B108,
  desp.m.ik[variavel], $B$103,
  desp.m.ik[mes], "&gt;="&amp;I$1,
  desp.m.ik[mes], "&lt;"&amp;EOMONTH(I$1,0)+1
)</f>
        <v>0</v>
      </c>
      <c r="J108" s="186">
        <f ca="1">-SUMIFS(
  desp.m.ik[valor],
  desp.m.ik[nucleo], $B108,
  desp.m.ik[variavel], $B$103,
  desp.m.ik[mes], "&gt;="&amp;J$1,
  desp.m.ik[mes], "&lt;"&amp;EOMONTH(J$1,0)+1
)</f>
        <v>0</v>
      </c>
      <c r="K108" s="186">
        <f ca="1">-SUMIFS(
  desp.m.ik[valor],
  desp.m.ik[nucleo], $B108,
  desp.m.ik[variavel], $B$103,
  desp.m.ik[mes], "&gt;="&amp;K$1,
  desp.m.ik[mes], "&lt;"&amp;EOMONTH(K$1,0)+1
)</f>
        <v>0</v>
      </c>
      <c r="L108" s="186">
        <f ca="1">-SUMIFS(
  desp.m.ik[valor],
  desp.m.ik[nucleo], $B108,
  desp.m.ik[variavel], $B$103,
  desp.m.ik[mes], "&gt;="&amp;L$1,
  desp.m.ik[mes], "&lt;"&amp;EOMONTH(L$1,0)+1
)</f>
        <v>0</v>
      </c>
      <c r="M108" s="186">
        <f ca="1">-SUMIFS(
  desp.m.ik[valor],
  desp.m.ik[nucleo], $B108,
  desp.m.ik[variavel], $B$103,
  desp.m.ik[mes], "&gt;="&amp;M$1,
  desp.m.ik[mes], "&lt;"&amp;EOMONTH(M$1,0)+1
)</f>
        <v>0</v>
      </c>
      <c r="N108" s="186">
        <f ca="1">-SUMIFS(
  desp.m.ik[valor],
  desp.m.ik[nucleo], $B108,
  desp.m.ik[variavel], $B$103,
  desp.m.ik[mes], "&gt;="&amp;N$1,
  desp.m.ik[mes], "&lt;"&amp;EOMONTH(N$1,0)+1
)</f>
        <v>0</v>
      </c>
      <c r="O108" s="186">
        <f ca="1">-SUMIFS(
  desp.m.ik[valor],
  desp.m.ik[nucleo], $B108,
  desp.m.ik[variavel], $B$103,
  desp.m.ik[mes], "&gt;="&amp;O$1,
  desp.m.ik[mes], "&lt;"&amp;EOMONTH(O$1,0)+1
)</f>
        <v>0</v>
      </c>
      <c r="P108" s="186">
        <f ca="1">-SUMIFS(
  desp.m.ik[valor],
  desp.m.ik[nucleo], $B108,
  desp.m.ik[variavel], $B$103,
  desp.m.ik[mes], "&gt;="&amp;P$1,
  desp.m.ik[mes], "&lt;"&amp;EOMONTH(P$1,0)+1
)</f>
        <v>0</v>
      </c>
      <c r="Q108" s="186">
        <f ca="1">-SUMIFS(
  desp.m.ik[valor],
  desp.m.ik[nucleo], $B108,
  desp.m.ik[variavel], $B$103,
  desp.m.ik[mes], "&gt;="&amp;Q$1,
  desp.m.ik[mes], "&lt;"&amp;EOMONTH(Q$1,0)+1
)</f>
        <v>0</v>
      </c>
      <c r="R108" s="186">
        <f ca="1">-SUMIFS(
  desp.m.ik[valor],
  desp.m.ik[nucleo], $B108,
  desp.m.ik[variavel], $B$103,
  desp.m.ik[mes], "&gt;="&amp;R$1,
  desp.m.ik[mes], "&lt;"&amp;EOMONTH(R$1,0)+1
)</f>
        <v>0</v>
      </c>
      <c r="S108" s="186">
        <f ca="1">-SUMIFS(
  desp.m.ik[valor],
  desp.m.ik[nucleo], $B108,
  desp.m.ik[variavel], $B$103,
  desp.m.ik[mes], "&gt;="&amp;S$1,
  desp.m.ik[mes], "&lt;"&amp;EOMONTH(S$1,0)+1
)</f>
        <v>0</v>
      </c>
      <c r="T108" s="186">
        <f ca="1">-SUMIFS(
  desp.m.ik[valor],
  desp.m.ik[nucleo], $B108,
  desp.m.ik[variavel], $B$103,
  desp.m.ik[mes], "&gt;="&amp;T$1,
  desp.m.ik[mes], "&lt;"&amp;EOMONTH(T$1,0)+1
)</f>
        <v>0</v>
      </c>
      <c r="U108" s="186">
        <f ca="1">-SUMIFS(
  desp.m.ik[valor],
  desp.m.ik[nucleo], $B108,
  desp.m.ik[variavel], $B$103,
  desp.m.ik[mes], "&gt;="&amp;U$1,
  desp.m.ik[mes], "&lt;"&amp;EOMONTH(U$1,0)+1
)</f>
        <v>0</v>
      </c>
      <c r="V108" s="186">
        <f ca="1">-SUMIFS(
  desp.m.ik[valor],
  desp.m.ik[nucleo], $B108,
  desp.m.ik[variavel], $B$103,
  desp.m.ik[mes], "&gt;="&amp;V$1,
  desp.m.ik[mes], "&lt;"&amp;EOMONTH(V$1,0)+1
)</f>
        <v>0</v>
      </c>
      <c r="W108" s="186">
        <f ca="1">-SUMIFS(
  desp.m.ik[valor],
  desp.m.ik[nucleo], $B108,
  desp.m.ik[variavel], $B$103,
  desp.m.ik[mes], "&gt;="&amp;W$1,
  desp.m.ik[mes], "&lt;"&amp;EOMONTH(W$1,0)+1
)</f>
        <v>0</v>
      </c>
      <c r="X108" s="186">
        <f ca="1">-SUMIFS(
  desp.m.ik[valor],
  desp.m.ik[nucleo], $B108,
  desp.m.ik[variavel], $B$103,
  desp.m.ik[mes], "&gt;="&amp;X$1,
  desp.m.ik[mes], "&lt;"&amp;EOMONTH(X$1,0)+1
)</f>
        <v>0</v>
      </c>
      <c r="Y108" s="186">
        <f ca="1">-SUMIFS(
  desp.m.ik[valor],
  desp.m.ik[nucleo], $B108,
  desp.m.ik[variavel], $B$103,
  desp.m.ik[mes], "&gt;="&amp;Y$1,
  desp.m.ik[mes], "&lt;"&amp;EOMONTH(Y$1,0)+1
)</f>
        <v>0</v>
      </c>
      <c r="Z108" s="186">
        <f ca="1">-SUMIFS(
  desp.m.ik[valor],
  desp.m.ik[nucleo], $B108,
  desp.m.ik[variavel], $B$103,
  desp.m.ik[mes], "&gt;="&amp;Z$1,
  desp.m.ik[mes], "&lt;"&amp;EOMONTH(Z$1,0)+1
)</f>
        <v>0</v>
      </c>
      <c r="AA108" s="186">
        <f ca="1">-SUMIFS(
  desp.m.ik[valor],
  desp.m.ik[nucleo], $B108,
  desp.m.ik[variavel], $B$103,
  desp.m.ik[mes], "&gt;="&amp;AA$1,
  desp.m.ik[mes], "&lt;"&amp;EOMONTH(AA$1,0)+1
)</f>
        <v>0</v>
      </c>
      <c r="AC108" s="178">
        <f t="shared" ca="1" si="17"/>
        <v>0</v>
      </c>
      <c r="AE108" s="178">
        <f t="shared" ca="1" si="19"/>
        <v>0</v>
      </c>
    </row>
    <row r="109" spans="1:31" hidden="1" outlineLevel="2" x14ac:dyDescent="0.25">
      <c r="A109" s="185" t="s">
        <v>1203</v>
      </c>
      <c r="B109" s="185" t="s">
        <v>494</v>
      </c>
      <c r="C109" s="138" t="s">
        <v>514</v>
      </c>
      <c r="D109" s="186">
        <f ca="1">-SUMIFS(
  desp.m.ik[valor],
  desp.m.ik[nucleo], $B109,
  desp.m.ik[variavel], $B$103,
  desp.m.ik[mes], "&gt;="&amp;D$1,
  desp.m.ik[mes], "&lt;"&amp;EOMONTH(D$1,0)+1
)</f>
        <v>0</v>
      </c>
      <c r="E109" s="186">
        <f ca="1">-SUMIFS(
  desp.m.ik[valor],
  desp.m.ik[nucleo], $B109,
  desp.m.ik[variavel], $B$103,
  desp.m.ik[mes], "&gt;="&amp;E$1,
  desp.m.ik[mes], "&lt;"&amp;EOMONTH(E$1,0)+1
)</f>
        <v>0</v>
      </c>
      <c r="F109" s="186">
        <f ca="1">-SUMIFS(
  desp.m.ik[valor],
  desp.m.ik[nucleo], $B109,
  desp.m.ik[variavel], $B$103,
  desp.m.ik[mes], "&gt;="&amp;F$1,
  desp.m.ik[mes], "&lt;"&amp;EOMONTH(F$1,0)+1
)</f>
        <v>0</v>
      </c>
      <c r="G109" s="186">
        <f ca="1">-SUMIFS(
  desp.m.ik[valor],
  desp.m.ik[nucleo], $B109,
  desp.m.ik[variavel], $B$103,
  desp.m.ik[mes], "&gt;="&amp;G$1,
  desp.m.ik[mes], "&lt;"&amp;EOMONTH(G$1,0)+1
)</f>
        <v>0</v>
      </c>
      <c r="H109" s="186">
        <f ca="1">-SUMIFS(
  desp.m.ik[valor],
  desp.m.ik[nucleo], $B109,
  desp.m.ik[variavel], $B$103,
  desp.m.ik[mes], "&gt;="&amp;H$1,
  desp.m.ik[mes], "&lt;"&amp;EOMONTH(H$1,0)+1
)</f>
        <v>0</v>
      </c>
      <c r="I109" s="186">
        <f ca="1">-SUMIFS(
  desp.m.ik[valor],
  desp.m.ik[nucleo], $B109,
  desp.m.ik[variavel], $B$103,
  desp.m.ik[mes], "&gt;="&amp;I$1,
  desp.m.ik[mes], "&lt;"&amp;EOMONTH(I$1,0)+1
)</f>
        <v>0</v>
      </c>
      <c r="J109" s="186">
        <f ca="1">-SUMIFS(
  desp.m.ik[valor],
  desp.m.ik[nucleo], $B109,
  desp.m.ik[variavel], $B$103,
  desp.m.ik[mes], "&gt;="&amp;J$1,
  desp.m.ik[mes], "&lt;"&amp;EOMONTH(J$1,0)+1
)</f>
        <v>0</v>
      </c>
      <c r="K109" s="186">
        <f ca="1">-SUMIFS(
  desp.m.ik[valor],
  desp.m.ik[nucleo], $B109,
  desp.m.ik[variavel], $B$103,
  desp.m.ik[mes], "&gt;="&amp;K$1,
  desp.m.ik[mes], "&lt;"&amp;EOMONTH(K$1,0)+1
)</f>
        <v>0</v>
      </c>
      <c r="L109" s="186">
        <f ca="1">-SUMIFS(
  desp.m.ik[valor],
  desp.m.ik[nucleo], $B109,
  desp.m.ik[variavel], $B$103,
  desp.m.ik[mes], "&gt;="&amp;L$1,
  desp.m.ik[mes], "&lt;"&amp;EOMONTH(L$1,0)+1
)</f>
        <v>0</v>
      </c>
      <c r="M109" s="186">
        <f ca="1">-SUMIFS(
  desp.m.ik[valor],
  desp.m.ik[nucleo], $B109,
  desp.m.ik[variavel], $B$103,
  desp.m.ik[mes], "&gt;="&amp;M$1,
  desp.m.ik[mes], "&lt;"&amp;EOMONTH(M$1,0)+1
)</f>
        <v>0</v>
      </c>
      <c r="N109" s="186">
        <f ca="1">-SUMIFS(
  desp.m.ik[valor],
  desp.m.ik[nucleo], $B109,
  desp.m.ik[variavel], $B$103,
  desp.m.ik[mes], "&gt;="&amp;N$1,
  desp.m.ik[mes], "&lt;"&amp;EOMONTH(N$1,0)+1
)</f>
        <v>0</v>
      </c>
      <c r="O109" s="186">
        <f ca="1">-SUMIFS(
  desp.m.ik[valor],
  desp.m.ik[nucleo], $B109,
  desp.m.ik[variavel], $B$103,
  desp.m.ik[mes], "&gt;="&amp;O$1,
  desp.m.ik[mes], "&lt;"&amp;EOMONTH(O$1,0)+1
)</f>
        <v>0</v>
      </c>
      <c r="P109" s="186">
        <f ca="1">-SUMIFS(
  desp.m.ik[valor],
  desp.m.ik[nucleo], $B109,
  desp.m.ik[variavel], $B$103,
  desp.m.ik[mes], "&gt;="&amp;P$1,
  desp.m.ik[mes], "&lt;"&amp;EOMONTH(P$1,0)+1
)</f>
        <v>0</v>
      </c>
      <c r="Q109" s="186">
        <f ca="1">-SUMIFS(
  desp.m.ik[valor],
  desp.m.ik[nucleo], $B109,
  desp.m.ik[variavel], $B$103,
  desp.m.ik[mes], "&gt;="&amp;Q$1,
  desp.m.ik[mes], "&lt;"&amp;EOMONTH(Q$1,0)+1
)</f>
        <v>0</v>
      </c>
      <c r="R109" s="186">
        <f ca="1">-SUMIFS(
  desp.m.ik[valor],
  desp.m.ik[nucleo], $B109,
  desp.m.ik[variavel], $B$103,
  desp.m.ik[mes], "&gt;="&amp;R$1,
  desp.m.ik[mes], "&lt;"&amp;EOMONTH(R$1,0)+1
)</f>
        <v>0</v>
      </c>
      <c r="S109" s="186">
        <f ca="1">-SUMIFS(
  desp.m.ik[valor],
  desp.m.ik[nucleo], $B109,
  desp.m.ik[variavel], $B$103,
  desp.m.ik[mes], "&gt;="&amp;S$1,
  desp.m.ik[mes], "&lt;"&amp;EOMONTH(S$1,0)+1
)</f>
        <v>0</v>
      </c>
      <c r="T109" s="186">
        <f ca="1">-SUMIFS(
  desp.m.ik[valor],
  desp.m.ik[nucleo], $B109,
  desp.m.ik[variavel], $B$103,
  desp.m.ik[mes], "&gt;="&amp;T$1,
  desp.m.ik[mes], "&lt;"&amp;EOMONTH(T$1,0)+1
)</f>
        <v>0</v>
      </c>
      <c r="U109" s="186">
        <f ca="1">-SUMIFS(
  desp.m.ik[valor],
  desp.m.ik[nucleo], $B109,
  desp.m.ik[variavel], $B$103,
  desp.m.ik[mes], "&gt;="&amp;U$1,
  desp.m.ik[mes], "&lt;"&amp;EOMONTH(U$1,0)+1
)</f>
        <v>0</v>
      </c>
      <c r="V109" s="186">
        <f ca="1">-SUMIFS(
  desp.m.ik[valor],
  desp.m.ik[nucleo], $B109,
  desp.m.ik[variavel], $B$103,
  desp.m.ik[mes], "&gt;="&amp;V$1,
  desp.m.ik[mes], "&lt;"&amp;EOMONTH(V$1,0)+1
)</f>
        <v>0</v>
      </c>
      <c r="W109" s="186">
        <f ca="1">-SUMIFS(
  desp.m.ik[valor],
  desp.m.ik[nucleo], $B109,
  desp.m.ik[variavel], $B$103,
  desp.m.ik[mes], "&gt;="&amp;W$1,
  desp.m.ik[mes], "&lt;"&amp;EOMONTH(W$1,0)+1
)</f>
        <v>0</v>
      </c>
      <c r="X109" s="186">
        <f ca="1">-SUMIFS(
  desp.m.ik[valor],
  desp.m.ik[nucleo], $B109,
  desp.m.ik[variavel], $B$103,
  desp.m.ik[mes], "&gt;="&amp;X$1,
  desp.m.ik[mes], "&lt;"&amp;EOMONTH(X$1,0)+1
)</f>
        <v>0</v>
      </c>
      <c r="Y109" s="186">
        <f ca="1">-SUMIFS(
  desp.m.ik[valor],
  desp.m.ik[nucleo], $B109,
  desp.m.ik[variavel], $B$103,
  desp.m.ik[mes], "&gt;="&amp;Y$1,
  desp.m.ik[mes], "&lt;"&amp;EOMONTH(Y$1,0)+1
)</f>
        <v>0</v>
      </c>
      <c r="Z109" s="186">
        <f ca="1">-SUMIFS(
  desp.m.ik[valor],
  desp.m.ik[nucleo], $B109,
  desp.m.ik[variavel], $B$103,
  desp.m.ik[mes], "&gt;="&amp;Z$1,
  desp.m.ik[mes], "&lt;"&amp;EOMONTH(Z$1,0)+1
)</f>
        <v>0</v>
      </c>
      <c r="AA109" s="186">
        <f ca="1">-SUMIFS(
  desp.m.ik[valor],
  desp.m.ik[nucleo], $B109,
  desp.m.ik[variavel], $B$103,
  desp.m.ik[mes], "&gt;="&amp;AA$1,
  desp.m.ik[mes], "&lt;"&amp;EOMONTH(AA$1,0)+1
)</f>
        <v>0</v>
      </c>
      <c r="AC109" s="178">
        <f t="shared" ca="1" si="17"/>
        <v>0</v>
      </c>
      <c r="AE109" s="178">
        <f t="shared" ca="1" si="19"/>
        <v>0</v>
      </c>
    </row>
    <row r="110" spans="1:31" hidden="1" outlineLevel="2" x14ac:dyDescent="0.25">
      <c r="A110" s="185" t="s">
        <v>1147</v>
      </c>
      <c r="B110" s="185" t="s">
        <v>704</v>
      </c>
      <c r="C110" s="138" t="s">
        <v>514</v>
      </c>
      <c r="D110" s="186">
        <f ca="1">-SUMIFS(
  desp.m.ik[valor],
  desp.m.ik[nucleo], $B110,
  desp.m.ik[variavel], $B$103,
  desp.m.ik[mes], "&gt;="&amp;D$1,
  desp.m.ik[mes], "&lt;"&amp;EOMONTH(D$1,0)+1
)</f>
        <v>0</v>
      </c>
      <c r="E110" s="186">
        <f ca="1">-SUMIFS(
  desp.m.ik[valor],
  desp.m.ik[nucleo], $B110,
  desp.m.ik[variavel], $B$103,
  desp.m.ik[mes], "&gt;="&amp;E$1,
  desp.m.ik[mes], "&lt;"&amp;EOMONTH(E$1,0)+1
)</f>
        <v>0</v>
      </c>
      <c r="F110" s="186">
        <f ca="1">-SUMIFS(
  desp.m.ik[valor],
  desp.m.ik[nucleo], $B110,
  desp.m.ik[variavel], $B$103,
  desp.m.ik[mes], "&gt;="&amp;F$1,
  desp.m.ik[mes], "&lt;"&amp;EOMONTH(F$1,0)+1
)</f>
        <v>0</v>
      </c>
      <c r="G110" s="186">
        <f ca="1">-SUMIFS(
  desp.m.ik[valor],
  desp.m.ik[nucleo], $B110,
  desp.m.ik[variavel], $B$103,
  desp.m.ik[mes], "&gt;="&amp;G$1,
  desp.m.ik[mes], "&lt;"&amp;EOMONTH(G$1,0)+1
)</f>
        <v>0</v>
      </c>
      <c r="H110" s="186">
        <f ca="1">-SUMIFS(
  desp.m.ik[valor],
  desp.m.ik[nucleo], $B110,
  desp.m.ik[variavel], $B$103,
  desp.m.ik[mes], "&gt;="&amp;H$1,
  desp.m.ik[mes], "&lt;"&amp;EOMONTH(H$1,0)+1
)</f>
        <v>0</v>
      </c>
      <c r="I110" s="186">
        <f ca="1">-SUMIFS(
  desp.m.ik[valor],
  desp.m.ik[nucleo], $B110,
  desp.m.ik[variavel], $B$103,
  desp.m.ik[mes], "&gt;="&amp;I$1,
  desp.m.ik[mes], "&lt;"&amp;EOMONTH(I$1,0)+1
)</f>
        <v>0</v>
      </c>
      <c r="J110" s="186">
        <f ca="1">-SUMIFS(
  desp.m.ik[valor],
  desp.m.ik[nucleo], $B110,
  desp.m.ik[variavel], $B$103,
  desp.m.ik[mes], "&gt;="&amp;J$1,
  desp.m.ik[mes], "&lt;"&amp;EOMONTH(J$1,0)+1
)</f>
        <v>0</v>
      </c>
      <c r="K110" s="186">
        <f ca="1">-SUMIFS(
  desp.m.ik[valor],
  desp.m.ik[nucleo], $B110,
  desp.m.ik[variavel], $B$103,
  desp.m.ik[mes], "&gt;="&amp;K$1,
  desp.m.ik[mes], "&lt;"&amp;EOMONTH(K$1,0)+1
)</f>
        <v>0</v>
      </c>
      <c r="L110" s="186">
        <f ca="1">-SUMIFS(
  desp.m.ik[valor],
  desp.m.ik[nucleo], $B110,
  desp.m.ik[variavel], $B$103,
  desp.m.ik[mes], "&gt;="&amp;L$1,
  desp.m.ik[mes], "&lt;"&amp;EOMONTH(L$1,0)+1
)</f>
        <v>0</v>
      </c>
      <c r="M110" s="186">
        <f ca="1">-SUMIFS(
  desp.m.ik[valor],
  desp.m.ik[nucleo], $B110,
  desp.m.ik[variavel], $B$103,
  desp.m.ik[mes], "&gt;="&amp;M$1,
  desp.m.ik[mes], "&lt;"&amp;EOMONTH(M$1,0)+1
)</f>
        <v>0</v>
      </c>
      <c r="N110" s="186">
        <f ca="1">-SUMIFS(
  desp.m.ik[valor],
  desp.m.ik[nucleo], $B110,
  desp.m.ik[variavel], $B$103,
  desp.m.ik[mes], "&gt;="&amp;N$1,
  desp.m.ik[mes], "&lt;"&amp;EOMONTH(N$1,0)+1
)</f>
        <v>0</v>
      </c>
      <c r="O110" s="186">
        <f ca="1">-SUMIFS(
  desp.m.ik[valor],
  desp.m.ik[nucleo], $B110,
  desp.m.ik[variavel], $B$103,
  desp.m.ik[mes], "&gt;="&amp;O$1,
  desp.m.ik[mes], "&lt;"&amp;EOMONTH(O$1,0)+1
)</f>
        <v>0</v>
      </c>
      <c r="P110" s="186">
        <f ca="1">-SUMIFS(
  desp.m.ik[valor],
  desp.m.ik[nucleo], $B110,
  desp.m.ik[variavel], $B$103,
  desp.m.ik[mes], "&gt;="&amp;P$1,
  desp.m.ik[mes], "&lt;"&amp;EOMONTH(P$1,0)+1
)</f>
        <v>0</v>
      </c>
      <c r="Q110" s="186">
        <f ca="1">-SUMIFS(
  desp.m.ik[valor],
  desp.m.ik[nucleo], $B110,
  desp.m.ik[variavel], $B$103,
  desp.m.ik[mes], "&gt;="&amp;Q$1,
  desp.m.ik[mes], "&lt;"&amp;EOMONTH(Q$1,0)+1
)</f>
        <v>0</v>
      </c>
      <c r="R110" s="186">
        <f ca="1">-SUMIFS(
  desp.m.ik[valor],
  desp.m.ik[nucleo], $B110,
  desp.m.ik[variavel], $B$103,
  desp.m.ik[mes], "&gt;="&amp;R$1,
  desp.m.ik[mes], "&lt;"&amp;EOMONTH(R$1,0)+1
)</f>
        <v>0</v>
      </c>
      <c r="S110" s="186">
        <f ca="1">-SUMIFS(
  desp.m.ik[valor],
  desp.m.ik[nucleo], $B110,
  desp.m.ik[variavel], $B$103,
  desp.m.ik[mes], "&gt;="&amp;S$1,
  desp.m.ik[mes], "&lt;"&amp;EOMONTH(S$1,0)+1
)</f>
        <v>0</v>
      </c>
      <c r="T110" s="186">
        <f ca="1">-SUMIFS(
  desp.m.ik[valor],
  desp.m.ik[nucleo], $B110,
  desp.m.ik[variavel], $B$103,
  desp.m.ik[mes], "&gt;="&amp;T$1,
  desp.m.ik[mes], "&lt;"&amp;EOMONTH(T$1,0)+1
)</f>
        <v>0</v>
      </c>
      <c r="U110" s="186">
        <f ca="1">-SUMIFS(
  desp.m.ik[valor],
  desp.m.ik[nucleo], $B110,
  desp.m.ik[variavel], $B$103,
  desp.m.ik[mes], "&gt;="&amp;U$1,
  desp.m.ik[mes], "&lt;"&amp;EOMONTH(U$1,0)+1
)</f>
        <v>0</v>
      </c>
      <c r="V110" s="186">
        <f ca="1">-SUMIFS(
  desp.m.ik[valor],
  desp.m.ik[nucleo], $B110,
  desp.m.ik[variavel], $B$103,
  desp.m.ik[mes], "&gt;="&amp;V$1,
  desp.m.ik[mes], "&lt;"&amp;EOMONTH(V$1,0)+1
)</f>
        <v>0</v>
      </c>
      <c r="W110" s="186">
        <f ca="1">-SUMIFS(
  desp.m.ik[valor],
  desp.m.ik[nucleo], $B110,
  desp.m.ik[variavel], $B$103,
  desp.m.ik[mes], "&gt;="&amp;W$1,
  desp.m.ik[mes], "&lt;"&amp;EOMONTH(W$1,0)+1
)</f>
        <v>0</v>
      </c>
      <c r="X110" s="186">
        <f ca="1">-SUMIFS(
  desp.m.ik[valor],
  desp.m.ik[nucleo], $B110,
  desp.m.ik[variavel], $B$103,
  desp.m.ik[mes], "&gt;="&amp;X$1,
  desp.m.ik[mes], "&lt;"&amp;EOMONTH(X$1,0)+1
)</f>
        <v>0</v>
      </c>
      <c r="Y110" s="186">
        <f ca="1">-SUMIFS(
  desp.m.ik[valor],
  desp.m.ik[nucleo], $B110,
  desp.m.ik[variavel], $B$103,
  desp.m.ik[mes], "&gt;="&amp;Y$1,
  desp.m.ik[mes], "&lt;"&amp;EOMONTH(Y$1,0)+1
)</f>
        <v>0</v>
      </c>
      <c r="Z110" s="186">
        <f ca="1">-SUMIFS(
  desp.m.ik[valor],
  desp.m.ik[nucleo], $B110,
  desp.m.ik[variavel], $B$103,
  desp.m.ik[mes], "&gt;="&amp;Z$1,
  desp.m.ik[mes], "&lt;"&amp;EOMONTH(Z$1,0)+1
)</f>
        <v>0</v>
      </c>
      <c r="AA110" s="186">
        <f ca="1">-SUMIFS(
  desp.m.ik[valor],
  desp.m.ik[nucleo], $B110,
  desp.m.ik[variavel], $B$103,
  desp.m.ik[mes], "&gt;="&amp;AA$1,
  desp.m.ik[mes], "&lt;"&amp;EOMONTH(AA$1,0)+1
)</f>
        <v>0</v>
      </c>
      <c r="AC110" s="178">
        <f t="shared" ca="1" si="17"/>
        <v>0</v>
      </c>
      <c r="AE110" s="178">
        <f ca="1">SUM(D110:AA110)</f>
        <v>0</v>
      </c>
    </row>
    <row r="111" spans="1:31" hidden="1" outlineLevel="2" x14ac:dyDescent="0.25">
      <c r="A111" s="185" t="s">
        <v>1152</v>
      </c>
      <c r="B111" s="185" t="s">
        <v>531</v>
      </c>
      <c r="C111" s="138" t="s">
        <v>514</v>
      </c>
      <c r="D111" s="186">
        <f ca="1">-SUMIFS(
  desp.m.ik[valor],
  desp.m.ik[nucleo], $B111,
  desp.m.ik[variavel], $B$103,
  desp.m.ik[mes], "&gt;="&amp;D$1,
  desp.m.ik[mes], "&lt;"&amp;EOMONTH(D$1,0)+1
)</f>
        <v>0</v>
      </c>
      <c r="E111" s="186">
        <f ca="1">-SUMIFS(
  desp.m.ik[valor],
  desp.m.ik[nucleo], $B111,
  desp.m.ik[variavel], $B$103,
  desp.m.ik[mes], "&gt;="&amp;E$1,
  desp.m.ik[mes], "&lt;"&amp;EOMONTH(E$1,0)+1
)</f>
        <v>0</v>
      </c>
      <c r="F111" s="186">
        <f ca="1">-SUMIFS(
  desp.m.ik[valor],
  desp.m.ik[nucleo], $B111,
  desp.m.ik[variavel], $B$103,
  desp.m.ik[mes], "&gt;="&amp;F$1,
  desp.m.ik[mes], "&lt;"&amp;EOMONTH(F$1,0)+1
)</f>
        <v>0</v>
      </c>
      <c r="G111" s="186">
        <f ca="1">-SUMIFS(
  desp.m.ik[valor],
  desp.m.ik[nucleo], $B111,
  desp.m.ik[variavel], $B$103,
  desp.m.ik[mes], "&gt;="&amp;G$1,
  desp.m.ik[mes], "&lt;"&amp;EOMONTH(G$1,0)+1
)</f>
        <v>0</v>
      </c>
      <c r="H111" s="186">
        <f ca="1">-SUMIFS(
  desp.m.ik[valor],
  desp.m.ik[nucleo], $B111,
  desp.m.ik[variavel], $B$103,
  desp.m.ik[mes], "&gt;="&amp;H$1,
  desp.m.ik[mes], "&lt;"&amp;EOMONTH(H$1,0)+1
)</f>
        <v>0</v>
      </c>
      <c r="I111" s="186">
        <f ca="1">-SUMIFS(
  desp.m.ik[valor],
  desp.m.ik[nucleo], $B111,
  desp.m.ik[variavel], $B$103,
  desp.m.ik[mes], "&gt;="&amp;I$1,
  desp.m.ik[mes], "&lt;"&amp;EOMONTH(I$1,0)+1
)</f>
        <v>0</v>
      </c>
      <c r="J111" s="186">
        <f ca="1">-SUMIFS(
  desp.m.ik[valor],
  desp.m.ik[nucleo], $B111,
  desp.m.ik[variavel], $B$103,
  desp.m.ik[mes], "&gt;="&amp;J$1,
  desp.m.ik[mes], "&lt;"&amp;EOMONTH(J$1,0)+1
)</f>
        <v>0</v>
      </c>
      <c r="K111" s="186">
        <f ca="1">-SUMIFS(
  desp.m.ik[valor],
  desp.m.ik[nucleo], $B111,
  desp.m.ik[variavel], $B$103,
  desp.m.ik[mes], "&gt;="&amp;K$1,
  desp.m.ik[mes], "&lt;"&amp;EOMONTH(K$1,0)+1
)</f>
        <v>0</v>
      </c>
      <c r="L111" s="186">
        <f ca="1">-SUMIFS(
  desp.m.ik[valor],
  desp.m.ik[nucleo], $B111,
  desp.m.ik[variavel], $B$103,
  desp.m.ik[mes], "&gt;="&amp;L$1,
  desp.m.ik[mes], "&lt;"&amp;EOMONTH(L$1,0)+1
)</f>
        <v>0</v>
      </c>
      <c r="M111" s="186">
        <f ca="1">-SUMIFS(
  desp.m.ik[valor],
  desp.m.ik[nucleo], $B111,
  desp.m.ik[variavel], $B$103,
  desp.m.ik[mes], "&gt;="&amp;M$1,
  desp.m.ik[mes], "&lt;"&amp;EOMONTH(M$1,0)+1
)</f>
        <v>0</v>
      </c>
      <c r="N111" s="186">
        <f ca="1">-SUMIFS(
  desp.m.ik[valor],
  desp.m.ik[nucleo], $B111,
  desp.m.ik[variavel], $B$103,
  desp.m.ik[mes], "&gt;="&amp;N$1,
  desp.m.ik[mes], "&lt;"&amp;EOMONTH(N$1,0)+1
)</f>
        <v>0</v>
      </c>
      <c r="O111" s="186">
        <f ca="1">-SUMIFS(
  desp.m.ik[valor],
  desp.m.ik[nucleo], $B111,
  desp.m.ik[variavel], $B$103,
  desp.m.ik[mes], "&gt;="&amp;O$1,
  desp.m.ik[mes], "&lt;"&amp;EOMONTH(O$1,0)+1
)</f>
        <v>0</v>
      </c>
      <c r="P111" s="186">
        <f ca="1">-SUMIFS(
  desp.m.ik[valor],
  desp.m.ik[nucleo], $B111,
  desp.m.ik[variavel], $B$103,
  desp.m.ik[mes], "&gt;="&amp;P$1,
  desp.m.ik[mes], "&lt;"&amp;EOMONTH(P$1,0)+1
)</f>
        <v>0</v>
      </c>
      <c r="Q111" s="186">
        <f ca="1">-SUMIFS(
  desp.m.ik[valor],
  desp.m.ik[nucleo], $B111,
  desp.m.ik[variavel], $B$103,
  desp.m.ik[mes], "&gt;="&amp;Q$1,
  desp.m.ik[mes], "&lt;"&amp;EOMONTH(Q$1,0)+1
)</f>
        <v>0</v>
      </c>
      <c r="R111" s="186">
        <f ca="1">-SUMIFS(
  desp.m.ik[valor],
  desp.m.ik[nucleo], $B111,
  desp.m.ik[variavel], $B$103,
  desp.m.ik[mes], "&gt;="&amp;R$1,
  desp.m.ik[mes], "&lt;"&amp;EOMONTH(R$1,0)+1
)</f>
        <v>0</v>
      </c>
      <c r="S111" s="186">
        <f ca="1">-SUMIFS(
  desp.m.ik[valor],
  desp.m.ik[nucleo], $B111,
  desp.m.ik[variavel], $B$103,
  desp.m.ik[mes], "&gt;="&amp;S$1,
  desp.m.ik[mes], "&lt;"&amp;EOMONTH(S$1,0)+1
)</f>
        <v>0</v>
      </c>
      <c r="T111" s="186">
        <f ca="1">-SUMIFS(
  desp.m.ik[valor],
  desp.m.ik[nucleo], $B111,
  desp.m.ik[variavel], $B$103,
  desp.m.ik[mes], "&gt;="&amp;T$1,
  desp.m.ik[mes], "&lt;"&amp;EOMONTH(T$1,0)+1
)</f>
        <v>0</v>
      </c>
      <c r="U111" s="186">
        <f ca="1">-SUMIFS(
  desp.m.ik[valor],
  desp.m.ik[nucleo], $B111,
  desp.m.ik[variavel], $B$103,
  desp.m.ik[mes], "&gt;="&amp;U$1,
  desp.m.ik[mes], "&lt;"&amp;EOMONTH(U$1,0)+1
)</f>
        <v>0</v>
      </c>
      <c r="V111" s="186">
        <f ca="1">-SUMIFS(
  desp.m.ik[valor],
  desp.m.ik[nucleo], $B111,
  desp.m.ik[variavel], $B$103,
  desp.m.ik[mes], "&gt;="&amp;V$1,
  desp.m.ik[mes], "&lt;"&amp;EOMONTH(V$1,0)+1
)</f>
        <v>0</v>
      </c>
      <c r="W111" s="186">
        <f ca="1">-SUMIFS(
  desp.m.ik[valor],
  desp.m.ik[nucleo], $B111,
  desp.m.ik[variavel], $B$103,
  desp.m.ik[mes], "&gt;="&amp;W$1,
  desp.m.ik[mes], "&lt;"&amp;EOMONTH(W$1,0)+1
)</f>
        <v>0</v>
      </c>
      <c r="X111" s="186">
        <f ca="1">-SUMIFS(
  desp.m.ik[valor],
  desp.m.ik[nucleo], $B111,
  desp.m.ik[variavel], $B$103,
  desp.m.ik[mes], "&gt;="&amp;X$1,
  desp.m.ik[mes], "&lt;"&amp;EOMONTH(X$1,0)+1
)</f>
        <v>0</v>
      </c>
      <c r="Y111" s="186">
        <f ca="1">-SUMIFS(
  desp.m.ik[valor],
  desp.m.ik[nucleo], $B111,
  desp.m.ik[variavel], $B$103,
  desp.m.ik[mes], "&gt;="&amp;Y$1,
  desp.m.ik[mes], "&lt;"&amp;EOMONTH(Y$1,0)+1
)</f>
        <v>0</v>
      </c>
      <c r="Z111" s="186">
        <f ca="1">-SUMIFS(
  desp.m.ik[valor],
  desp.m.ik[nucleo], $B111,
  desp.m.ik[variavel], $B$103,
  desp.m.ik[mes], "&gt;="&amp;Z$1,
  desp.m.ik[mes], "&lt;"&amp;EOMONTH(Z$1,0)+1
)</f>
        <v>0</v>
      </c>
      <c r="AA111" s="186">
        <f ca="1">-SUMIFS(
  desp.m.ik[valor],
  desp.m.ik[nucleo], $B111,
  desp.m.ik[variavel], $B$103,
  desp.m.ik[mes], "&gt;="&amp;AA$1,
  desp.m.ik[mes], "&lt;"&amp;EOMONTH(AA$1,0)+1
)</f>
        <v>0</v>
      </c>
      <c r="AC111" s="178">
        <f t="shared" ca="1" si="17"/>
        <v>0</v>
      </c>
      <c r="AE111" s="178">
        <f t="shared" ca="1" si="19"/>
        <v>0</v>
      </c>
    </row>
    <row r="112" spans="1:31" hidden="1" outlineLevel="2" x14ac:dyDescent="0.25">
      <c r="A112" s="185" t="s">
        <v>1155</v>
      </c>
      <c r="B112" s="185" t="s">
        <v>535</v>
      </c>
      <c r="C112" s="138" t="s">
        <v>514</v>
      </c>
      <c r="D112" s="186">
        <f ca="1">-SUMIFS(
  desp.m.ik[valor],
  desp.m.ik[nucleo], $B112,
  desp.m.ik[variavel], $B$103,
  desp.m.ik[mes], "&gt;="&amp;D$1,
  desp.m.ik[mes], "&lt;"&amp;EOMONTH(D$1,0)+1
)</f>
        <v>0</v>
      </c>
      <c r="E112" s="186">
        <f ca="1">-SUMIFS(
  desp.m.ik[valor],
  desp.m.ik[nucleo], $B112,
  desp.m.ik[variavel], $B$103,
  desp.m.ik[mes], "&gt;="&amp;E$1,
  desp.m.ik[mes], "&lt;"&amp;EOMONTH(E$1,0)+1
)</f>
        <v>0</v>
      </c>
      <c r="F112" s="186">
        <f ca="1">-SUMIFS(
  desp.m.ik[valor],
  desp.m.ik[nucleo], $B112,
  desp.m.ik[variavel], $B$103,
  desp.m.ik[mes], "&gt;="&amp;F$1,
  desp.m.ik[mes], "&lt;"&amp;EOMONTH(F$1,0)+1
)</f>
        <v>0</v>
      </c>
      <c r="G112" s="186">
        <f ca="1">-SUMIFS(
  desp.m.ik[valor],
  desp.m.ik[nucleo], $B112,
  desp.m.ik[variavel], $B$103,
  desp.m.ik[mes], "&gt;="&amp;G$1,
  desp.m.ik[mes], "&lt;"&amp;EOMONTH(G$1,0)+1
)</f>
        <v>0</v>
      </c>
      <c r="H112" s="186">
        <f ca="1">-SUMIFS(
  desp.m.ik[valor],
  desp.m.ik[nucleo], $B112,
  desp.m.ik[variavel], $B$103,
  desp.m.ik[mes], "&gt;="&amp;H$1,
  desp.m.ik[mes], "&lt;"&amp;EOMONTH(H$1,0)+1
)</f>
        <v>0</v>
      </c>
      <c r="I112" s="186">
        <f ca="1">-SUMIFS(
  desp.m.ik[valor],
  desp.m.ik[nucleo], $B112,
  desp.m.ik[variavel], $B$103,
  desp.m.ik[mes], "&gt;="&amp;I$1,
  desp.m.ik[mes], "&lt;"&amp;EOMONTH(I$1,0)+1
)</f>
        <v>0</v>
      </c>
      <c r="J112" s="186">
        <f ca="1">-SUMIFS(
  desp.m.ik[valor],
  desp.m.ik[nucleo], $B112,
  desp.m.ik[variavel], $B$103,
  desp.m.ik[mes], "&gt;="&amp;J$1,
  desp.m.ik[mes], "&lt;"&amp;EOMONTH(J$1,0)+1
)</f>
        <v>0</v>
      </c>
      <c r="K112" s="186">
        <f ca="1">-SUMIFS(
  desp.m.ik[valor],
  desp.m.ik[nucleo], $B112,
  desp.m.ik[variavel], $B$103,
  desp.m.ik[mes], "&gt;="&amp;K$1,
  desp.m.ik[mes], "&lt;"&amp;EOMONTH(K$1,0)+1
)</f>
        <v>0</v>
      </c>
      <c r="L112" s="186">
        <f ca="1">-SUMIFS(
  desp.m.ik[valor],
  desp.m.ik[nucleo], $B112,
  desp.m.ik[variavel], $B$103,
  desp.m.ik[mes], "&gt;="&amp;L$1,
  desp.m.ik[mes], "&lt;"&amp;EOMONTH(L$1,0)+1
)</f>
        <v>0</v>
      </c>
      <c r="M112" s="186">
        <f ca="1">-SUMIFS(
  desp.m.ik[valor],
  desp.m.ik[nucleo], $B112,
  desp.m.ik[variavel], $B$103,
  desp.m.ik[mes], "&gt;="&amp;M$1,
  desp.m.ik[mes], "&lt;"&amp;EOMONTH(M$1,0)+1
)</f>
        <v>0</v>
      </c>
      <c r="N112" s="186">
        <f ca="1">-SUMIFS(
  desp.m.ik[valor],
  desp.m.ik[nucleo], $B112,
  desp.m.ik[variavel], $B$103,
  desp.m.ik[mes], "&gt;="&amp;N$1,
  desp.m.ik[mes], "&lt;"&amp;EOMONTH(N$1,0)+1
)</f>
        <v>0</v>
      </c>
      <c r="O112" s="186">
        <f ca="1">-SUMIFS(
  desp.m.ik[valor],
  desp.m.ik[nucleo], $B112,
  desp.m.ik[variavel], $B$103,
  desp.m.ik[mes], "&gt;="&amp;O$1,
  desp.m.ik[mes], "&lt;"&amp;EOMONTH(O$1,0)+1
)</f>
        <v>0</v>
      </c>
      <c r="P112" s="186">
        <f ca="1">-SUMIFS(
  desp.m.ik[valor],
  desp.m.ik[nucleo], $B112,
  desp.m.ik[variavel], $B$103,
  desp.m.ik[mes], "&gt;="&amp;P$1,
  desp.m.ik[mes], "&lt;"&amp;EOMONTH(P$1,0)+1
)</f>
        <v>0</v>
      </c>
      <c r="Q112" s="186">
        <f ca="1">-SUMIFS(
  desp.m.ik[valor],
  desp.m.ik[nucleo], $B112,
  desp.m.ik[variavel], $B$103,
  desp.m.ik[mes], "&gt;="&amp;Q$1,
  desp.m.ik[mes], "&lt;"&amp;EOMONTH(Q$1,0)+1
)</f>
        <v>0</v>
      </c>
      <c r="R112" s="186">
        <f ca="1">-SUMIFS(
  desp.m.ik[valor],
  desp.m.ik[nucleo], $B112,
  desp.m.ik[variavel], $B$103,
  desp.m.ik[mes], "&gt;="&amp;R$1,
  desp.m.ik[mes], "&lt;"&amp;EOMONTH(R$1,0)+1
)</f>
        <v>0</v>
      </c>
      <c r="S112" s="186">
        <f ca="1">-SUMIFS(
  desp.m.ik[valor],
  desp.m.ik[nucleo], $B112,
  desp.m.ik[variavel], $B$103,
  desp.m.ik[mes], "&gt;="&amp;S$1,
  desp.m.ik[mes], "&lt;"&amp;EOMONTH(S$1,0)+1
)</f>
        <v>0</v>
      </c>
      <c r="T112" s="186">
        <f ca="1">-SUMIFS(
  desp.m.ik[valor],
  desp.m.ik[nucleo], $B112,
  desp.m.ik[variavel], $B$103,
  desp.m.ik[mes], "&gt;="&amp;T$1,
  desp.m.ik[mes], "&lt;"&amp;EOMONTH(T$1,0)+1
)</f>
        <v>0</v>
      </c>
      <c r="U112" s="186">
        <f ca="1">-SUMIFS(
  desp.m.ik[valor],
  desp.m.ik[nucleo], $B112,
  desp.m.ik[variavel], $B$103,
  desp.m.ik[mes], "&gt;="&amp;U$1,
  desp.m.ik[mes], "&lt;"&amp;EOMONTH(U$1,0)+1
)</f>
        <v>0</v>
      </c>
      <c r="V112" s="186">
        <f ca="1">-SUMIFS(
  desp.m.ik[valor],
  desp.m.ik[nucleo], $B112,
  desp.m.ik[variavel], $B$103,
  desp.m.ik[mes], "&gt;="&amp;V$1,
  desp.m.ik[mes], "&lt;"&amp;EOMONTH(V$1,0)+1
)</f>
        <v>0</v>
      </c>
      <c r="W112" s="186">
        <f ca="1">-SUMIFS(
  desp.m.ik[valor],
  desp.m.ik[nucleo], $B112,
  desp.m.ik[variavel], $B$103,
  desp.m.ik[mes], "&gt;="&amp;W$1,
  desp.m.ik[mes], "&lt;"&amp;EOMONTH(W$1,0)+1
)</f>
        <v>0</v>
      </c>
      <c r="X112" s="186">
        <f ca="1">-SUMIFS(
  desp.m.ik[valor],
  desp.m.ik[nucleo], $B112,
  desp.m.ik[variavel], $B$103,
  desp.m.ik[mes], "&gt;="&amp;X$1,
  desp.m.ik[mes], "&lt;"&amp;EOMONTH(X$1,0)+1
)</f>
        <v>0</v>
      </c>
      <c r="Y112" s="186">
        <f ca="1">-SUMIFS(
  desp.m.ik[valor],
  desp.m.ik[nucleo], $B112,
  desp.m.ik[variavel], $B$103,
  desp.m.ik[mes], "&gt;="&amp;Y$1,
  desp.m.ik[mes], "&lt;"&amp;EOMONTH(Y$1,0)+1
)</f>
        <v>0</v>
      </c>
      <c r="Z112" s="186">
        <f ca="1">-SUMIFS(
  desp.m.ik[valor],
  desp.m.ik[nucleo], $B112,
  desp.m.ik[variavel], $B$103,
  desp.m.ik[mes], "&gt;="&amp;Z$1,
  desp.m.ik[mes], "&lt;"&amp;EOMONTH(Z$1,0)+1
)</f>
        <v>0</v>
      </c>
      <c r="AA112" s="186">
        <f ca="1">-SUMIFS(
  desp.m.ik[valor],
  desp.m.ik[nucleo], $B112,
  desp.m.ik[variavel], $B$103,
  desp.m.ik[mes], "&gt;="&amp;AA$1,
  desp.m.ik[mes], "&lt;"&amp;EOMONTH(AA$1,0)+1
)</f>
        <v>0</v>
      </c>
      <c r="AC112" s="178">
        <f t="shared" ca="1" si="17"/>
        <v>0</v>
      </c>
      <c r="AE112" s="178">
        <f t="shared" ca="1" si="19"/>
        <v>0</v>
      </c>
    </row>
    <row r="113" spans="1:31" hidden="1" outlineLevel="2" x14ac:dyDescent="0.25">
      <c r="A113" s="185" t="s">
        <v>721</v>
      </c>
      <c r="B113" s="185" t="s">
        <v>533</v>
      </c>
      <c r="C113" s="138" t="s">
        <v>514</v>
      </c>
      <c r="D113" s="186">
        <f ca="1">-SUMIFS(
  desp.m.ik[valor],
  desp.m.ik[nucleo], $B113,
  desp.m.ik[variavel], $B$103,
  desp.m.ik[mes], "&gt;="&amp;D$1,
  desp.m.ik[mes], "&lt;"&amp;EOMONTH(D$1,0)+1
)</f>
        <v>0</v>
      </c>
      <c r="E113" s="186">
        <f ca="1">-SUMIFS(
  desp.m.ik[valor],
  desp.m.ik[nucleo], $B113,
  desp.m.ik[variavel], $B$103,
  desp.m.ik[mes], "&gt;="&amp;E$1,
  desp.m.ik[mes], "&lt;"&amp;EOMONTH(E$1,0)+1
)</f>
        <v>0</v>
      </c>
      <c r="F113" s="186">
        <f ca="1">-SUMIFS(
  desp.m.ik[valor],
  desp.m.ik[nucleo], $B113,
  desp.m.ik[variavel], $B$103,
  desp.m.ik[mes], "&gt;="&amp;F$1,
  desp.m.ik[mes], "&lt;"&amp;EOMONTH(F$1,0)+1
)</f>
        <v>0</v>
      </c>
      <c r="G113" s="186">
        <f ca="1">-SUMIFS(
  desp.m.ik[valor],
  desp.m.ik[nucleo], $B113,
  desp.m.ik[variavel], $B$103,
  desp.m.ik[mes], "&gt;="&amp;G$1,
  desp.m.ik[mes], "&lt;"&amp;EOMONTH(G$1,0)+1
)</f>
        <v>0</v>
      </c>
      <c r="H113" s="186">
        <f ca="1">-SUMIFS(
  desp.m.ik[valor],
  desp.m.ik[nucleo], $B113,
  desp.m.ik[variavel], $B$103,
  desp.m.ik[mes], "&gt;="&amp;H$1,
  desp.m.ik[mes], "&lt;"&amp;EOMONTH(H$1,0)+1
)</f>
        <v>0</v>
      </c>
      <c r="I113" s="186">
        <f ca="1">-SUMIFS(
  desp.m.ik[valor],
  desp.m.ik[nucleo], $B113,
  desp.m.ik[variavel], $B$103,
  desp.m.ik[mes], "&gt;="&amp;I$1,
  desp.m.ik[mes], "&lt;"&amp;EOMONTH(I$1,0)+1
)</f>
        <v>0</v>
      </c>
      <c r="J113" s="186">
        <f ca="1">-SUMIFS(
  desp.m.ik[valor],
  desp.m.ik[nucleo], $B113,
  desp.m.ik[variavel], $B$103,
  desp.m.ik[mes], "&gt;="&amp;J$1,
  desp.m.ik[mes], "&lt;"&amp;EOMONTH(J$1,0)+1
)</f>
        <v>0</v>
      </c>
      <c r="K113" s="186">
        <f ca="1">-SUMIFS(
  desp.m.ik[valor],
  desp.m.ik[nucleo], $B113,
  desp.m.ik[variavel], $B$103,
  desp.m.ik[mes], "&gt;="&amp;K$1,
  desp.m.ik[mes], "&lt;"&amp;EOMONTH(K$1,0)+1
)</f>
        <v>0</v>
      </c>
      <c r="L113" s="186">
        <f ca="1">-SUMIFS(
  desp.m.ik[valor],
  desp.m.ik[nucleo], $B113,
  desp.m.ik[variavel], $B$103,
  desp.m.ik[mes], "&gt;="&amp;L$1,
  desp.m.ik[mes], "&lt;"&amp;EOMONTH(L$1,0)+1
)</f>
        <v>0</v>
      </c>
      <c r="M113" s="186">
        <f ca="1">-SUMIFS(
  desp.m.ik[valor],
  desp.m.ik[nucleo], $B113,
  desp.m.ik[variavel], $B$103,
  desp.m.ik[mes], "&gt;="&amp;M$1,
  desp.m.ik[mes], "&lt;"&amp;EOMONTH(M$1,0)+1
)</f>
        <v>0</v>
      </c>
      <c r="N113" s="186">
        <f ca="1">-SUMIFS(
  desp.m.ik[valor],
  desp.m.ik[nucleo], $B113,
  desp.m.ik[variavel], $B$103,
  desp.m.ik[mes], "&gt;="&amp;N$1,
  desp.m.ik[mes], "&lt;"&amp;EOMONTH(N$1,0)+1
)</f>
        <v>0</v>
      </c>
      <c r="O113" s="186">
        <f ca="1">-SUMIFS(
  desp.m.ik[valor],
  desp.m.ik[nucleo], $B113,
  desp.m.ik[variavel], $B$103,
  desp.m.ik[mes], "&gt;="&amp;O$1,
  desp.m.ik[mes], "&lt;"&amp;EOMONTH(O$1,0)+1
)</f>
        <v>0</v>
      </c>
      <c r="P113" s="186">
        <f ca="1">-SUMIFS(
  desp.m.ik[valor],
  desp.m.ik[nucleo], $B113,
  desp.m.ik[variavel], $B$103,
  desp.m.ik[mes], "&gt;="&amp;P$1,
  desp.m.ik[mes], "&lt;"&amp;EOMONTH(P$1,0)+1
)</f>
        <v>0</v>
      </c>
      <c r="Q113" s="186">
        <f ca="1">-SUMIFS(
  desp.m.ik[valor],
  desp.m.ik[nucleo], $B113,
  desp.m.ik[variavel], $B$103,
  desp.m.ik[mes], "&gt;="&amp;Q$1,
  desp.m.ik[mes], "&lt;"&amp;EOMONTH(Q$1,0)+1
)</f>
        <v>0</v>
      </c>
      <c r="R113" s="186">
        <f ca="1">-SUMIFS(
  desp.m.ik[valor],
  desp.m.ik[nucleo], $B113,
  desp.m.ik[variavel], $B$103,
  desp.m.ik[mes], "&gt;="&amp;R$1,
  desp.m.ik[mes], "&lt;"&amp;EOMONTH(R$1,0)+1
)</f>
        <v>0</v>
      </c>
      <c r="S113" s="186">
        <f ca="1">-SUMIFS(
  desp.m.ik[valor],
  desp.m.ik[nucleo], $B113,
  desp.m.ik[variavel], $B$103,
  desp.m.ik[mes], "&gt;="&amp;S$1,
  desp.m.ik[mes], "&lt;"&amp;EOMONTH(S$1,0)+1
)</f>
        <v>0</v>
      </c>
      <c r="T113" s="186">
        <f ca="1">-SUMIFS(
  desp.m.ik[valor],
  desp.m.ik[nucleo], $B113,
  desp.m.ik[variavel], $B$103,
  desp.m.ik[mes], "&gt;="&amp;T$1,
  desp.m.ik[mes], "&lt;"&amp;EOMONTH(T$1,0)+1
)</f>
        <v>0</v>
      </c>
      <c r="U113" s="186">
        <f ca="1">-SUMIFS(
  desp.m.ik[valor],
  desp.m.ik[nucleo], $B113,
  desp.m.ik[variavel], $B$103,
  desp.m.ik[mes], "&gt;="&amp;U$1,
  desp.m.ik[mes], "&lt;"&amp;EOMONTH(U$1,0)+1
)</f>
        <v>0</v>
      </c>
      <c r="V113" s="186">
        <f ca="1">-SUMIFS(
  desp.m.ik[valor],
  desp.m.ik[nucleo], $B113,
  desp.m.ik[variavel], $B$103,
  desp.m.ik[mes], "&gt;="&amp;V$1,
  desp.m.ik[mes], "&lt;"&amp;EOMONTH(V$1,0)+1
)</f>
        <v>0</v>
      </c>
      <c r="W113" s="186">
        <f ca="1">-SUMIFS(
  desp.m.ik[valor],
  desp.m.ik[nucleo], $B113,
  desp.m.ik[variavel], $B$103,
  desp.m.ik[mes], "&gt;="&amp;W$1,
  desp.m.ik[mes], "&lt;"&amp;EOMONTH(W$1,0)+1
)</f>
        <v>0</v>
      </c>
      <c r="X113" s="186">
        <f ca="1">-SUMIFS(
  desp.m.ik[valor],
  desp.m.ik[nucleo], $B113,
  desp.m.ik[variavel], $B$103,
  desp.m.ik[mes], "&gt;="&amp;X$1,
  desp.m.ik[mes], "&lt;"&amp;EOMONTH(X$1,0)+1
)</f>
        <v>0</v>
      </c>
      <c r="Y113" s="186">
        <f ca="1">-SUMIFS(
  desp.m.ik[valor],
  desp.m.ik[nucleo], $B113,
  desp.m.ik[variavel], $B$103,
  desp.m.ik[mes], "&gt;="&amp;Y$1,
  desp.m.ik[mes], "&lt;"&amp;EOMONTH(Y$1,0)+1
)</f>
        <v>0</v>
      </c>
      <c r="Z113" s="186">
        <f ca="1">-SUMIFS(
  desp.m.ik[valor],
  desp.m.ik[nucleo], $B113,
  desp.m.ik[variavel], $B$103,
  desp.m.ik[mes], "&gt;="&amp;Z$1,
  desp.m.ik[mes], "&lt;"&amp;EOMONTH(Z$1,0)+1
)</f>
        <v>0</v>
      </c>
      <c r="AA113" s="186">
        <f ca="1">-SUMIFS(
  desp.m.ik[valor],
  desp.m.ik[nucleo], $B113,
  desp.m.ik[variavel], $B$103,
  desp.m.ik[mes], "&gt;="&amp;AA$1,
  desp.m.ik[mes], "&lt;"&amp;EOMONTH(AA$1,0)+1
)</f>
        <v>0</v>
      </c>
      <c r="AC113" s="178">
        <f t="shared" ca="1" si="17"/>
        <v>0</v>
      </c>
      <c r="AE113" s="178">
        <f ca="1">SUM(D113:AA113)</f>
        <v>0</v>
      </c>
    </row>
    <row r="114" spans="1:31" hidden="1" outlineLevel="2" x14ac:dyDescent="0.25">
      <c r="A114" s="185" t="s">
        <v>1148</v>
      </c>
      <c r="B114" s="185" t="s">
        <v>539</v>
      </c>
      <c r="C114" s="138" t="s">
        <v>514</v>
      </c>
      <c r="D114" s="186">
        <f ca="1">-SUMIFS(
  desp.m.ik[valor],
  desp.m.ik[nucleo], $B114,
  desp.m.ik[variavel], $B$103,
  desp.m.ik[mes], "&gt;="&amp;D$1,
  desp.m.ik[mes], "&lt;"&amp;EOMONTH(D$1,0)+1
)</f>
        <v>0</v>
      </c>
      <c r="E114" s="186">
        <f ca="1">-SUMIFS(
  desp.m.ik[valor],
  desp.m.ik[nucleo], $B114,
  desp.m.ik[variavel], $B$103,
  desp.m.ik[mes], "&gt;="&amp;E$1,
  desp.m.ik[mes], "&lt;"&amp;EOMONTH(E$1,0)+1
)</f>
        <v>0</v>
      </c>
      <c r="F114" s="186">
        <f ca="1">-SUMIFS(
  desp.m.ik[valor],
  desp.m.ik[nucleo], $B114,
  desp.m.ik[variavel], $B$103,
  desp.m.ik[mes], "&gt;="&amp;F$1,
  desp.m.ik[mes], "&lt;"&amp;EOMONTH(F$1,0)+1
)</f>
        <v>0</v>
      </c>
      <c r="G114" s="186">
        <f ca="1">-SUMIFS(
  desp.m.ik[valor],
  desp.m.ik[nucleo], $B114,
  desp.m.ik[variavel], $B$103,
  desp.m.ik[mes], "&gt;="&amp;G$1,
  desp.m.ik[mes], "&lt;"&amp;EOMONTH(G$1,0)+1
)</f>
        <v>0</v>
      </c>
      <c r="H114" s="186">
        <f ca="1">-SUMIFS(
  desp.m.ik[valor],
  desp.m.ik[nucleo], $B114,
  desp.m.ik[variavel], $B$103,
  desp.m.ik[mes], "&gt;="&amp;H$1,
  desp.m.ik[mes], "&lt;"&amp;EOMONTH(H$1,0)+1
)</f>
        <v>0</v>
      </c>
      <c r="I114" s="186">
        <f ca="1">-SUMIFS(
  desp.m.ik[valor],
  desp.m.ik[nucleo], $B114,
  desp.m.ik[variavel], $B$103,
  desp.m.ik[mes], "&gt;="&amp;I$1,
  desp.m.ik[mes], "&lt;"&amp;EOMONTH(I$1,0)+1
)</f>
        <v>0</v>
      </c>
      <c r="J114" s="186">
        <f ca="1">-SUMIFS(
  desp.m.ik[valor],
  desp.m.ik[nucleo], $B114,
  desp.m.ik[variavel], $B$103,
  desp.m.ik[mes], "&gt;="&amp;J$1,
  desp.m.ik[mes], "&lt;"&amp;EOMONTH(J$1,0)+1
)</f>
        <v>0</v>
      </c>
      <c r="K114" s="186">
        <f ca="1">-SUMIFS(
  desp.m.ik[valor],
  desp.m.ik[nucleo], $B114,
  desp.m.ik[variavel], $B$103,
  desp.m.ik[mes], "&gt;="&amp;K$1,
  desp.m.ik[mes], "&lt;"&amp;EOMONTH(K$1,0)+1
)</f>
        <v>0</v>
      </c>
      <c r="L114" s="186">
        <f ca="1">-SUMIFS(
  desp.m.ik[valor],
  desp.m.ik[nucleo], $B114,
  desp.m.ik[variavel], $B$103,
  desp.m.ik[mes], "&gt;="&amp;L$1,
  desp.m.ik[mes], "&lt;"&amp;EOMONTH(L$1,0)+1
)</f>
        <v>0</v>
      </c>
      <c r="M114" s="186">
        <f ca="1">-SUMIFS(
  desp.m.ik[valor],
  desp.m.ik[nucleo], $B114,
  desp.m.ik[variavel], $B$103,
  desp.m.ik[mes], "&gt;="&amp;M$1,
  desp.m.ik[mes], "&lt;"&amp;EOMONTH(M$1,0)+1
)</f>
        <v>0</v>
      </c>
      <c r="N114" s="186">
        <f ca="1">-SUMIFS(
  desp.m.ik[valor],
  desp.m.ik[nucleo], $B114,
  desp.m.ik[variavel], $B$103,
  desp.m.ik[mes], "&gt;="&amp;N$1,
  desp.m.ik[mes], "&lt;"&amp;EOMONTH(N$1,0)+1
)</f>
        <v>0</v>
      </c>
      <c r="O114" s="186">
        <f ca="1">-SUMIFS(
  desp.m.ik[valor],
  desp.m.ik[nucleo], $B114,
  desp.m.ik[variavel], $B$103,
  desp.m.ik[mes], "&gt;="&amp;O$1,
  desp.m.ik[mes], "&lt;"&amp;EOMONTH(O$1,0)+1
)</f>
        <v>0</v>
      </c>
      <c r="P114" s="186">
        <f ca="1">-SUMIFS(
  desp.m.ik[valor],
  desp.m.ik[nucleo], $B114,
  desp.m.ik[variavel], $B$103,
  desp.m.ik[mes], "&gt;="&amp;P$1,
  desp.m.ik[mes], "&lt;"&amp;EOMONTH(P$1,0)+1
)</f>
        <v>0</v>
      </c>
      <c r="Q114" s="186">
        <f ca="1">-SUMIFS(
  desp.m.ik[valor],
  desp.m.ik[nucleo], $B114,
  desp.m.ik[variavel], $B$103,
  desp.m.ik[mes], "&gt;="&amp;Q$1,
  desp.m.ik[mes], "&lt;"&amp;EOMONTH(Q$1,0)+1
)</f>
        <v>0</v>
      </c>
      <c r="R114" s="186">
        <f ca="1">-SUMIFS(
  desp.m.ik[valor],
  desp.m.ik[nucleo], $B114,
  desp.m.ik[variavel], $B$103,
  desp.m.ik[mes], "&gt;="&amp;R$1,
  desp.m.ik[mes], "&lt;"&amp;EOMONTH(R$1,0)+1
)</f>
        <v>0</v>
      </c>
      <c r="S114" s="186">
        <f ca="1">-SUMIFS(
  desp.m.ik[valor],
  desp.m.ik[nucleo], $B114,
  desp.m.ik[variavel], $B$103,
  desp.m.ik[mes], "&gt;="&amp;S$1,
  desp.m.ik[mes], "&lt;"&amp;EOMONTH(S$1,0)+1
)</f>
        <v>0</v>
      </c>
      <c r="T114" s="186">
        <f ca="1">-SUMIFS(
  desp.m.ik[valor],
  desp.m.ik[nucleo], $B114,
  desp.m.ik[variavel], $B$103,
  desp.m.ik[mes], "&gt;="&amp;T$1,
  desp.m.ik[mes], "&lt;"&amp;EOMONTH(T$1,0)+1
)</f>
        <v>0</v>
      </c>
      <c r="U114" s="186">
        <f ca="1">-SUMIFS(
  desp.m.ik[valor],
  desp.m.ik[nucleo], $B114,
  desp.m.ik[variavel], $B$103,
  desp.m.ik[mes], "&gt;="&amp;U$1,
  desp.m.ik[mes], "&lt;"&amp;EOMONTH(U$1,0)+1
)</f>
        <v>0</v>
      </c>
      <c r="V114" s="186">
        <f ca="1">-SUMIFS(
  desp.m.ik[valor],
  desp.m.ik[nucleo], $B114,
  desp.m.ik[variavel], $B$103,
  desp.m.ik[mes], "&gt;="&amp;V$1,
  desp.m.ik[mes], "&lt;"&amp;EOMONTH(V$1,0)+1
)</f>
        <v>0</v>
      </c>
      <c r="W114" s="186">
        <f ca="1">-SUMIFS(
  desp.m.ik[valor],
  desp.m.ik[nucleo], $B114,
  desp.m.ik[variavel], $B$103,
  desp.m.ik[mes], "&gt;="&amp;W$1,
  desp.m.ik[mes], "&lt;"&amp;EOMONTH(W$1,0)+1
)</f>
        <v>0</v>
      </c>
      <c r="X114" s="186">
        <f ca="1">-SUMIFS(
  desp.m.ik[valor],
  desp.m.ik[nucleo], $B114,
  desp.m.ik[variavel], $B$103,
  desp.m.ik[mes], "&gt;="&amp;X$1,
  desp.m.ik[mes], "&lt;"&amp;EOMONTH(X$1,0)+1
)</f>
        <v>0</v>
      </c>
      <c r="Y114" s="186">
        <f ca="1">-SUMIFS(
  desp.m.ik[valor],
  desp.m.ik[nucleo], $B114,
  desp.m.ik[variavel], $B$103,
  desp.m.ik[mes], "&gt;="&amp;Y$1,
  desp.m.ik[mes], "&lt;"&amp;EOMONTH(Y$1,0)+1
)</f>
        <v>0</v>
      </c>
      <c r="Z114" s="186">
        <f ca="1">-SUMIFS(
  desp.m.ik[valor],
  desp.m.ik[nucleo], $B114,
  desp.m.ik[variavel], $B$103,
  desp.m.ik[mes], "&gt;="&amp;Z$1,
  desp.m.ik[mes], "&lt;"&amp;EOMONTH(Z$1,0)+1
)</f>
        <v>0</v>
      </c>
      <c r="AA114" s="186">
        <f ca="1">-SUMIFS(
  desp.m.ik[valor],
  desp.m.ik[nucleo], $B114,
  desp.m.ik[variavel], $B$103,
  desp.m.ik[mes], "&gt;="&amp;AA$1,
  desp.m.ik[mes], "&lt;"&amp;EOMONTH(AA$1,0)+1
)</f>
        <v>0</v>
      </c>
      <c r="AC114" s="178">
        <f t="shared" ca="1" si="17"/>
        <v>0</v>
      </c>
      <c r="AE114" s="178">
        <f t="shared" ca="1" si="19"/>
        <v>0</v>
      </c>
    </row>
    <row r="115" spans="1:31" hidden="1" outlineLevel="2" x14ac:dyDescent="0.25">
      <c r="A115" s="185" t="s">
        <v>1154</v>
      </c>
      <c r="B115" s="185" t="s">
        <v>569</v>
      </c>
      <c r="C115" s="138" t="s">
        <v>514</v>
      </c>
      <c r="D115" s="186">
        <f ca="1">-SUMIFS(
  desp.m.ik[valor],
  desp.m.ik[nucleo], $B115,
  desp.m.ik[variavel], $B$103,
  desp.m.ik[mes], "&gt;="&amp;D$1,
  desp.m.ik[mes], "&lt;"&amp;EOMONTH(D$1,0)+1
)</f>
        <v>0</v>
      </c>
      <c r="E115" s="186">
        <f ca="1">-SUMIFS(
  desp.m.ik[valor],
  desp.m.ik[nucleo], $B115,
  desp.m.ik[variavel], $B$103,
  desp.m.ik[mes], "&gt;="&amp;E$1,
  desp.m.ik[mes], "&lt;"&amp;EOMONTH(E$1,0)+1
)</f>
        <v>0</v>
      </c>
      <c r="F115" s="186">
        <f ca="1">-SUMIFS(
  desp.m.ik[valor],
  desp.m.ik[nucleo], $B115,
  desp.m.ik[variavel], $B$103,
  desp.m.ik[mes], "&gt;="&amp;F$1,
  desp.m.ik[mes], "&lt;"&amp;EOMONTH(F$1,0)+1
)</f>
        <v>0</v>
      </c>
      <c r="G115" s="186">
        <f ca="1">-SUMIFS(
  desp.m.ik[valor],
  desp.m.ik[nucleo], $B115,
  desp.m.ik[variavel], $B$103,
  desp.m.ik[mes], "&gt;="&amp;G$1,
  desp.m.ik[mes], "&lt;"&amp;EOMONTH(G$1,0)+1
)</f>
        <v>0</v>
      </c>
      <c r="H115" s="186">
        <f ca="1">-SUMIFS(
  desp.m.ik[valor],
  desp.m.ik[nucleo], $B115,
  desp.m.ik[variavel], $B$103,
  desp.m.ik[mes], "&gt;="&amp;H$1,
  desp.m.ik[mes], "&lt;"&amp;EOMONTH(H$1,0)+1
)</f>
        <v>0</v>
      </c>
      <c r="I115" s="186">
        <f ca="1">-SUMIFS(
  desp.m.ik[valor],
  desp.m.ik[nucleo], $B115,
  desp.m.ik[variavel], $B$103,
  desp.m.ik[mes], "&gt;="&amp;I$1,
  desp.m.ik[mes], "&lt;"&amp;EOMONTH(I$1,0)+1
)</f>
        <v>0</v>
      </c>
      <c r="J115" s="186">
        <f ca="1">-SUMIFS(
  desp.m.ik[valor],
  desp.m.ik[nucleo], $B115,
  desp.m.ik[variavel], $B$103,
  desp.m.ik[mes], "&gt;="&amp;J$1,
  desp.m.ik[mes], "&lt;"&amp;EOMONTH(J$1,0)+1
)</f>
        <v>0</v>
      </c>
      <c r="K115" s="186">
        <f ca="1">-SUMIFS(
  desp.m.ik[valor],
  desp.m.ik[nucleo], $B115,
  desp.m.ik[variavel], $B$103,
  desp.m.ik[mes], "&gt;="&amp;K$1,
  desp.m.ik[mes], "&lt;"&amp;EOMONTH(K$1,0)+1
)</f>
        <v>0</v>
      </c>
      <c r="L115" s="186">
        <f ca="1">-SUMIFS(
  desp.m.ik[valor],
  desp.m.ik[nucleo], $B115,
  desp.m.ik[variavel], $B$103,
  desp.m.ik[mes], "&gt;="&amp;L$1,
  desp.m.ik[mes], "&lt;"&amp;EOMONTH(L$1,0)+1
)</f>
        <v>0</v>
      </c>
      <c r="M115" s="186">
        <f ca="1">-SUMIFS(
  desp.m.ik[valor],
  desp.m.ik[nucleo], $B115,
  desp.m.ik[variavel], $B$103,
  desp.m.ik[mes], "&gt;="&amp;M$1,
  desp.m.ik[mes], "&lt;"&amp;EOMONTH(M$1,0)+1
)</f>
        <v>0</v>
      </c>
      <c r="N115" s="186">
        <f ca="1">-SUMIFS(
  desp.m.ik[valor],
  desp.m.ik[nucleo], $B115,
  desp.m.ik[variavel], $B$103,
  desp.m.ik[mes], "&gt;="&amp;N$1,
  desp.m.ik[mes], "&lt;"&amp;EOMONTH(N$1,0)+1
)</f>
        <v>0</v>
      </c>
      <c r="O115" s="186">
        <f ca="1">-SUMIFS(
  desp.m.ik[valor],
  desp.m.ik[nucleo], $B115,
  desp.m.ik[variavel], $B$103,
  desp.m.ik[mes], "&gt;="&amp;O$1,
  desp.m.ik[mes], "&lt;"&amp;EOMONTH(O$1,0)+1
)</f>
        <v>0</v>
      </c>
      <c r="P115" s="186">
        <f ca="1">-SUMIFS(
  desp.m.ik[valor],
  desp.m.ik[nucleo], $B115,
  desp.m.ik[variavel], $B$103,
  desp.m.ik[mes], "&gt;="&amp;P$1,
  desp.m.ik[mes], "&lt;"&amp;EOMONTH(P$1,0)+1
)</f>
        <v>0</v>
      </c>
      <c r="Q115" s="186">
        <f ca="1">-SUMIFS(
  desp.m.ik[valor],
  desp.m.ik[nucleo], $B115,
  desp.m.ik[variavel], $B$103,
  desp.m.ik[mes], "&gt;="&amp;Q$1,
  desp.m.ik[mes], "&lt;"&amp;EOMONTH(Q$1,0)+1
)</f>
        <v>0</v>
      </c>
      <c r="R115" s="186">
        <f ca="1">-SUMIFS(
  desp.m.ik[valor],
  desp.m.ik[nucleo], $B115,
  desp.m.ik[variavel], $B$103,
  desp.m.ik[mes], "&gt;="&amp;R$1,
  desp.m.ik[mes], "&lt;"&amp;EOMONTH(R$1,0)+1
)</f>
        <v>0</v>
      </c>
      <c r="S115" s="186">
        <f ca="1">-SUMIFS(
  desp.m.ik[valor],
  desp.m.ik[nucleo], $B115,
  desp.m.ik[variavel], $B$103,
  desp.m.ik[mes], "&gt;="&amp;S$1,
  desp.m.ik[mes], "&lt;"&amp;EOMONTH(S$1,0)+1
)</f>
        <v>0</v>
      </c>
      <c r="T115" s="186">
        <f ca="1">-SUMIFS(
  desp.m.ik[valor],
  desp.m.ik[nucleo], $B115,
  desp.m.ik[variavel], $B$103,
  desp.m.ik[mes], "&gt;="&amp;T$1,
  desp.m.ik[mes], "&lt;"&amp;EOMONTH(T$1,0)+1
)</f>
        <v>0</v>
      </c>
      <c r="U115" s="186">
        <f ca="1">-SUMIFS(
  desp.m.ik[valor],
  desp.m.ik[nucleo], $B115,
  desp.m.ik[variavel], $B$103,
  desp.m.ik[mes], "&gt;="&amp;U$1,
  desp.m.ik[mes], "&lt;"&amp;EOMONTH(U$1,0)+1
)</f>
        <v>0</v>
      </c>
      <c r="V115" s="186">
        <f ca="1">-SUMIFS(
  desp.m.ik[valor],
  desp.m.ik[nucleo], $B115,
  desp.m.ik[variavel], $B$103,
  desp.m.ik[mes], "&gt;="&amp;V$1,
  desp.m.ik[mes], "&lt;"&amp;EOMONTH(V$1,0)+1
)</f>
        <v>0</v>
      </c>
      <c r="W115" s="186">
        <f ca="1">-SUMIFS(
  desp.m.ik[valor],
  desp.m.ik[nucleo], $B115,
  desp.m.ik[variavel], $B$103,
  desp.m.ik[mes], "&gt;="&amp;W$1,
  desp.m.ik[mes], "&lt;"&amp;EOMONTH(W$1,0)+1
)</f>
        <v>0</v>
      </c>
      <c r="X115" s="186">
        <f ca="1">-SUMIFS(
  desp.m.ik[valor],
  desp.m.ik[nucleo], $B115,
  desp.m.ik[variavel], $B$103,
  desp.m.ik[mes], "&gt;="&amp;X$1,
  desp.m.ik[mes], "&lt;"&amp;EOMONTH(X$1,0)+1
)</f>
        <v>0</v>
      </c>
      <c r="Y115" s="186">
        <f ca="1">-SUMIFS(
  desp.m.ik[valor],
  desp.m.ik[nucleo], $B115,
  desp.m.ik[variavel], $B$103,
  desp.m.ik[mes], "&gt;="&amp;Y$1,
  desp.m.ik[mes], "&lt;"&amp;EOMONTH(Y$1,0)+1
)</f>
        <v>0</v>
      </c>
      <c r="Z115" s="186">
        <f ca="1">-SUMIFS(
  desp.m.ik[valor],
  desp.m.ik[nucleo], $B115,
  desp.m.ik[variavel], $B$103,
  desp.m.ik[mes], "&gt;="&amp;Z$1,
  desp.m.ik[mes], "&lt;"&amp;EOMONTH(Z$1,0)+1
)</f>
        <v>0</v>
      </c>
      <c r="AA115" s="186">
        <f ca="1">-SUMIFS(
  desp.m.ik[valor],
  desp.m.ik[nucleo], $B115,
  desp.m.ik[variavel], $B$103,
  desp.m.ik[mes], "&gt;="&amp;AA$1,
  desp.m.ik[mes], "&lt;"&amp;EOMONTH(AA$1,0)+1
)</f>
        <v>0</v>
      </c>
      <c r="AC115" s="178">
        <f t="shared" ca="1" si="17"/>
        <v>0</v>
      </c>
      <c r="AE115" s="178">
        <f t="shared" ca="1" si="19"/>
        <v>0</v>
      </c>
    </row>
    <row r="116" spans="1:31" hidden="1" outlineLevel="1" x14ac:dyDescent="0.25">
      <c r="A116" s="182" t="s">
        <v>566</v>
      </c>
      <c r="B116" s="458" t="s">
        <v>1081</v>
      </c>
      <c r="C116" s="183" t="s">
        <v>514</v>
      </c>
      <c r="D116" s="184">
        <f ca="1">SUM(D$117:D$125)</f>
        <v>0</v>
      </c>
      <c r="E116" s="184">
        <f t="shared" ref="E116:AA116" ca="1" si="26">SUM(E$117:E$125)</f>
        <v>0</v>
      </c>
      <c r="F116" s="184">
        <f t="shared" ca="1" si="26"/>
        <v>0</v>
      </c>
      <c r="G116" s="184">
        <f t="shared" ca="1" si="26"/>
        <v>0</v>
      </c>
      <c r="H116" s="184">
        <f t="shared" ca="1" si="26"/>
        <v>0</v>
      </c>
      <c r="I116" s="184">
        <f t="shared" ca="1" si="26"/>
        <v>0</v>
      </c>
      <c r="J116" s="184">
        <f t="shared" ca="1" si="26"/>
        <v>0</v>
      </c>
      <c r="K116" s="184">
        <f t="shared" ca="1" si="26"/>
        <v>0</v>
      </c>
      <c r="L116" s="184">
        <f t="shared" ca="1" si="26"/>
        <v>0</v>
      </c>
      <c r="M116" s="184">
        <f t="shared" ca="1" si="26"/>
        <v>0</v>
      </c>
      <c r="N116" s="184">
        <f t="shared" ca="1" si="26"/>
        <v>0</v>
      </c>
      <c r="O116" s="184">
        <f t="shared" ca="1" si="26"/>
        <v>0</v>
      </c>
      <c r="P116" s="184">
        <f t="shared" ca="1" si="26"/>
        <v>0</v>
      </c>
      <c r="Q116" s="184">
        <f t="shared" ca="1" si="26"/>
        <v>0</v>
      </c>
      <c r="R116" s="184">
        <f t="shared" ca="1" si="26"/>
        <v>0</v>
      </c>
      <c r="S116" s="184">
        <f t="shared" ca="1" si="26"/>
        <v>0</v>
      </c>
      <c r="T116" s="184">
        <f t="shared" ca="1" si="26"/>
        <v>0</v>
      </c>
      <c r="U116" s="184">
        <f t="shared" ca="1" si="26"/>
        <v>0</v>
      </c>
      <c r="V116" s="184">
        <f t="shared" ca="1" si="26"/>
        <v>0</v>
      </c>
      <c r="W116" s="184">
        <f t="shared" ca="1" si="26"/>
        <v>0</v>
      </c>
      <c r="X116" s="184">
        <f t="shared" ca="1" si="26"/>
        <v>0</v>
      </c>
      <c r="Y116" s="184">
        <f t="shared" ca="1" si="26"/>
        <v>0</v>
      </c>
      <c r="Z116" s="184">
        <f t="shared" ca="1" si="26"/>
        <v>0</v>
      </c>
      <c r="AA116" s="184">
        <f t="shared" ca="1" si="26"/>
        <v>0</v>
      </c>
      <c r="AC116" s="280">
        <f t="shared" ca="1" si="17"/>
        <v>0</v>
      </c>
      <c r="AE116" s="280">
        <f t="shared" ref="AE116:AE120" ca="1" si="27">SUM(D116:AA116)</f>
        <v>0</v>
      </c>
    </row>
    <row r="117" spans="1:31" hidden="1" outlineLevel="2" x14ac:dyDescent="0.25">
      <c r="A117" s="185" t="s">
        <v>1156</v>
      </c>
      <c r="B117" s="196" t="s">
        <v>724</v>
      </c>
      <c r="C117" s="138" t="s">
        <v>514</v>
      </c>
      <c r="D117" s="186">
        <f ca="1">-SUMIFS(
  desp.m.ik[valor],
  desp.m.ik[variavel], $B117,
  desp.m.ik[mes], "&gt;="&amp;D$1,
  desp.m.ik[mes], "&lt;"&amp;EOMONTH(D$1,0)+1
)</f>
        <v>0</v>
      </c>
      <c r="E117" s="186">
        <f ca="1">-SUMIFS(
  desp.m.ik[valor],
  desp.m.ik[variavel], $B117,
  desp.m.ik[mes], "&gt;="&amp;E$1,
  desp.m.ik[mes], "&lt;"&amp;EOMONTH(E$1,0)+1
)</f>
        <v>0</v>
      </c>
      <c r="F117" s="186">
        <f ca="1">-SUMIFS(
  desp.m.ik[valor],
  desp.m.ik[variavel], $B117,
  desp.m.ik[mes], "&gt;="&amp;F$1,
  desp.m.ik[mes], "&lt;"&amp;EOMONTH(F$1,0)+1
)</f>
        <v>0</v>
      </c>
      <c r="G117" s="186">
        <f ca="1">-SUMIFS(
  desp.m.ik[valor],
  desp.m.ik[variavel], $B117,
  desp.m.ik[mes], "&gt;="&amp;G$1,
  desp.m.ik[mes], "&lt;"&amp;EOMONTH(G$1,0)+1
)</f>
        <v>0</v>
      </c>
      <c r="H117" s="186">
        <f ca="1">-SUMIFS(
  desp.m.ik[valor],
  desp.m.ik[variavel], $B117,
  desp.m.ik[mes], "&gt;="&amp;H$1,
  desp.m.ik[mes], "&lt;"&amp;EOMONTH(H$1,0)+1
)</f>
        <v>0</v>
      </c>
      <c r="I117" s="186">
        <f ca="1">-SUMIFS(
  desp.m.ik[valor],
  desp.m.ik[variavel], $B117,
  desp.m.ik[mes], "&gt;="&amp;I$1,
  desp.m.ik[mes], "&lt;"&amp;EOMONTH(I$1,0)+1
)</f>
        <v>0</v>
      </c>
      <c r="J117" s="186">
        <f ca="1">-SUMIFS(
  desp.m.ik[valor],
  desp.m.ik[variavel], $B117,
  desp.m.ik[mes], "&gt;="&amp;J$1,
  desp.m.ik[mes], "&lt;"&amp;EOMONTH(J$1,0)+1
)</f>
        <v>0</v>
      </c>
      <c r="K117" s="186">
        <f ca="1">-SUMIFS(
  desp.m.ik[valor],
  desp.m.ik[variavel], $B117,
  desp.m.ik[mes], "&gt;="&amp;K$1,
  desp.m.ik[mes], "&lt;"&amp;EOMONTH(K$1,0)+1
)</f>
        <v>0</v>
      </c>
      <c r="L117" s="186">
        <f ca="1">-SUMIFS(
  desp.m.ik[valor],
  desp.m.ik[variavel], $B117,
  desp.m.ik[mes], "&gt;="&amp;L$1,
  desp.m.ik[mes], "&lt;"&amp;EOMONTH(L$1,0)+1
)</f>
        <v>0</v>
      </c>
      <c r="M117" s="186">
        <f ca="1">-SUMIFS(
  desp.m.ik[valor],
  desp.m.ik[variavel], $B117,
  desp.m.ik[mes], "&gt;="&amp;M$1,
  desp.m.ik[mes], "&lt;"&amp;EOMONTH(M$1,0)+1
)</f>
        <v>0</v>
      </c>
      <c r="N117" s="186">
        <f ca="1">-SUMIFS(
  desp.m.ik[valor],
  desp.m.ik[variavel], $B117,
  desp.m.ik[mes], "&gt;="&amp;N$1,
  desp.m.ik[mes], "&lt;"&amp;EOMONTH(N$1,0)+1
)</f>
        <v>0</v>
      </c>
      <c r="O117" s="186">
        <f ca="1">-SUMIFS(
  desp.m.ik[valor],
  desp.m.ik[variavel], $B117,
  desp.m.ik[mes], "&gt;="&amp;O$1,
  desp.m.ik[mes], "&lt;"&amp;EOMONTH(O$1,0)+1
)</f>
        <v>0</v>
      </c>
      <c r="P117" s="186">
        <f ca="1">-SUMIFS(
  desp.m.ik[valor],
  desp.m.ik[variavel], $B117,
  desp.m.ik[mes], "&gt;="&amp;P$1,
  desp.m.ik[mes], "&lt;"&amp;EOMONTH(P$1,0)+1
)</f>
        <v>0</v>
      </c>
      <c r="Q117" s="186">
        <f ca="1">-SUMIFS(
  desp.m.ik[valor],
  desp.m.ik[variavel], $B117,
  desp.m.ik[mes], "&gt;="&amp;Q$1,
  desp.m.ik[mes], "&lt;"&amp;EOMONTH(Q$1,0)+1
)</f>
        <v>0</v>
      </c>
      <c r="R117" s="186">
        <f ca="1">-SUMIFS(
  desp.m.ik[valor],
  desp.m.ik[variavel], $B117,
  desp.m.ik[mes], "&gt;="&amp;R$1,
  desp.m.ik[mes], "&lt;"&amp;EOMONTH(R$1,0)+1
)</f>
        <v>0</v>
      </c>
      <c r="S117" s="186">
        <f ca="1">-SUMIFS(
  desp.m.ik[valor],
  desp.m.ik[variavel], $B117,
  desp.m.ik[mes], "&gt;="&amp;S$1,
  desp.m.ik[mes], "&lt;"&amp;EOMONTH(S$1,0)+1
)</f>
        <v>0</v>
      </c>
      <c r="T117" s="186">
        <f ca="1">-SUMIFS(
  desp.m.ik[valor],
  desp.m.ik[variavel], $B117,
  desp.m.ik[mes], "&gt;="&amp;T$1,
  desp.m.ik[mes], "&lt;"&amp;EOMONTH(T$1,0)+1
)</f>
        <v>0</v>
      </c>
      <c r="U117" s="186">
        <f ca="1">-SUMIFS(
  desp.m.ik[valor],
  desp.m.ik[variavel], $B117,
  desp.m.ik[mes], "&gt;="&amp;U$1,
  desp.m.ik[mes], "&lt;"&amp;EOMONTH(U$1,0)+1
)</f>
        <v>0</v>
      </c>
      <c r="V117" s="186">
        <f ca="1">-SUMIFS(
  desp.m.ik[valor],
  desp.m.ik[variavel], $B117,
  desp.m.ik[mes], "&gt;="&amp;V$1,
  desp.m.ik[mes], "&lt;"&amp;EOMONTH(V$1,0)+1
)</f>
        <v>0</v>
      </c>
      <c r="W117" s="186">
        <f ca="1">-SUMIFS(
  desp.m.ik[valor],
  desp.m.ik[variavel], $B117,
  desp.m.ik[mes], "&gt;="&amp;W$1,
  desp.m.ik[mes], "&lt;"&amp;EOMONTH(W$1,0)+1
)</f>
        <v>0</v>
      </c>
      <c r="X117" s="186">
        <f ca="1">-SUMIFS(
  desp.m.ik[valor],
  desp.m.ik[variavel], $B117,
  desp.m.ik[mes], "&gt;="&amp;X$1,
  desp.m.ik[mes], "&lt;"&amp;EOMONTH(X$1,0)+1
)</f>
        <v>0</v>
      </c>
      <c r="Y117" s="186">
        <f ca="1">-SUMIFS(
  desp.m.ik[valor],
  desp.m.ik[variavel], $B117,
  desp.m.ik[mes], "&gt;="&amp;Y$1,
  desp.m.ik[mes], "&lt;"&amp;EOMONTH(Y$1,0)+1
)</f>
        <v>0</v>
      </c>
      <c r="Z117" s="186">
        <f ca="1">-SUMIFS(
  desp.m.ik[valor],
  desp.m.ik[variavel], $B117,
  desp.m.ik[mes], "&gt;="&amp;Z$1,
  desp.m.ik[mes], "&lt;"&amp;EOMONTH(Z$1,0)+1
)</f>
        <v>0</v>
      </c>
      <c r="AA117" s="186">
        <f ca="1">-SUMIFS(
  desp.m.ik[valor],
  desp.m.ik[variavel], $B117,
  desp.m.ik[mes], "&gt;="&amp;AA$1,
  desp.m.ik[mes], "&lt;"&amp;EOMONTH(AA$1,0)+1
)</f>
        <v>0</v>
      </c>
      <c r="AC117" s="178">
        <f t="shared" ca="1" si="17"/>
        <v>0</v>
      </c>
      <c r="AE117" s="178">
        <f ca="1">SUM(D117:AA117)</f>
        <v>0</v>
      </c>
    </row>
    <row r="118" spans="1:31" hidden="1" outlineLevel="2" x14ac:dyDescent="0.25">
      <c r="A118" s="185" t="s">
        <v>1156</v>
      </c>
      <c r="B118" s="196" t="s">
        <v>378</v>
      </c>
      <c r="C118" s="138" t="s">
        <v>514</v>
      </c>
      <c r="D118" s="186">
        <f ca="1">-SUMIFS(
  desp.m.ik[valor],
  desp.m.ik[variavel], $B118,
  desp.m.ik[mes], "&gt;="&amp;D$1,
  desp.m.ik[mes], "&lt;"&amp;EOMONTH(D$1,0)+1
)</f>
        <v>0</v>
      </c>
      <c r="E118" s="186">
        <f ca="1">-SUMIFS(
  desp.m.ik[valor],
  desp.m.ik[variavel], $B118,
  desp.m.ik[mes], "&gt;="&amp;E$1,
  desp.m.ik[mes], "&lt;"&amp;EOMONTH(E$1,0)+1
)</f>
        <v>0</v>
      </c>
      <c r="F118" s="186">
        <f ca="1">-SUMIFS(
  desp.m.ik[valor],
  desp.m.ik[variavel], $B118,
  desp.m.ik[mes], "&gt;="&amp;F$1,
  desp.m.ik[mes], "&lt;"&amp;EOMONTH(F$1,0)+1
)</f>
        <v>0</v>
      </c>
      <c r="G118" s="186">
        <f ca="1">-SUMIFS(
  desp.m.ik[valor],
  desp.m.ik[variavel], $B118,
  desp.m.ik[mes], "&gt;="&amp;G$1,
  desp.m.ik[mes], "&lt;"&amp;EOMONTH(G$1,0)+1
)</f>
        <v>0</v>
      </c>
      <c r="H118" s="186">
        <f ca="1">-SUMIFS(
  desp.m.ik[valor],
  desp.m.ik[variavel], $B118,
  desp.m.ik[mes], "&gt;="&amp;H$1,
  desp.m.ik[mes], "&lt;"&amp;EOMONTH(H$1,0)+1
)</f>
        <v>0</v>
      </c>
      <c r="I118" s="186">
        <f ca="1">-SUMIFS(
  desp.m.ik[valor],
  desp.m.ik[variavel], $B118,
  desp.m.ik[mes], "&gt;="&amp;I$1,
  desp.m.ik[mes], "&lt;"&amp;EOMONTH(I$1,0)+1
)</f>
        <v>0</v>
      </c>
      <c r="J118" s="186">
        <f ca="1">-SUMIFS(
  desp.m.ik[valor],
  desp.m.ik[variavel], $B118,
  desp.m.ik[mes], "&gt;="&amp;J$1,
  desp.m.ik[mes], "&lt;"&amp;EOMONTH(J$1,0)+1
)</f>
        <v>0</v>
      </c>
      <c r="K118" s="186">
        <f ca="1">-SUMIFS(
  desp.m.ik[valor],
  desp.m.ik[variavel], $B118,
  desp.m.ik[mes], "&gt;="&amp;K$1,
  desp.m.ik[mes], "&lt;"&amp;EOMONTH(K$1,0)+1
)</f>
        <v>0</v>
      </c>
      <c r="L118" s="186">
        <f ca="1">-SUMIFS(
  desp.m.ik[valor],
  desp.m.ik[variavel], $B118,
  desp.m.ik[mes], "&gt;="&amp;L$1,
  desp.m.ik[mes], "&lt;"&amp;EOMONTH(L$1,0)+1
)</f>
        <v>0</v>
      </c>
      <c r="M118" s="186">
        <f ca="1">-SUMIFS(
  desp.m.ik[valor],
  desp.m.ik[variavel], $B118,
  desp.m.ik[mes], "&gt;="&amp;M$1,
  desp.m.ik[mes], "&lt;"&amp;EOMONTH(M$1,0)+1
)</f>
        <v>0</v>
      </c>
      <c r="N118" s="186">
        <f ca="1">-SUMIFS(
  desp.m.ik[valor],
  desp.m.ik[variavel], $B118,
  desp.m.ik[mes], "&gt;="&amp;N$1,
  desp.m.ik[mes], "&lt;"&amp;EOMONTH(N$1,0)+1
)</f>
        <v>0</v>
      </c>
      <c r="O118" s="186">
        <f ca="1">-SUMIFS(
  desp.m.ik[valor],
  desp.m.ik[variavel], $B118,
  desp.m.ik[mes], "&gt;="&amp;O$1,
  desp.m.ik[mes], "&lt;"&amp;EOMONTH(O$1,0)+1
)</f>
        <v>0</v>
      </c>
      <c r="P118" s="186">
        <f ca="1">-SUMIFS(
  desp.m.ik[valor],
  desp.m.ik[variavel], $B118,
  desp.m.ik[mes], "&gt;="&amp;P$1,
  desp.m.ik[mes], "&lt;"&amp;EOMONTH(P$1,0)+1
)</f>
        <v>0</v>
      </c>
      <c r="Q118" s="186">
        <f ca="1">-SUMIFS(
  desp.m.ik[valor],
  desp.m.ik[variavel], $B118,
  desp.m.ik[mes], "&gt;="&amp;Q$1,
  desp.m.ik[mes], "&lt;"&amp;EOMONTH(Q$1,0)+1
)</f>
        <v>0</v>
      </c>
      <c r="R118" s="186">
        <f ca="1">-SUMIFS(
  desp.m.ik[valor],
  desp.m.ik[variavel], $B118,
  desp.m.ik[mes], "&gt;="&amp;R$1,
  desp.m.ik[mes], "&lt;"&amp;EOMONTH(R$1,0)+1
)</f>
        <v>0</v>
      </c>
      <c r="S118" s="186">
        <f ca="1">-SUMIFS(
  desp.m.ik[valor],
  desp.m.ik[variavel], $B118,
  desp.m.ik[mes], "&gt;="&amp;S$1,
  desp.m.ik[mes], "&lt;"&amp;EOMONTH(S$1,0)+1
)</f>
        <v>0</v>
      </c>
      <c r="T118" s="186">
        <f ca="1">-SUMIFS(
  desp.m.ik[valor],
  desp.m.ik[variavel], $B118,
  desp.m.ik[mes], "&gt;="&amp;T$1,
  desp.m.ik[mes], "&lt;"&amp;EOMONTH(T$1,0)+1
)</f>
        <v>0</v>
      </c>
      <c r="U118" s="186">
        <f ca="1">-SUMIFS(
  desp.m.ik[valor],
  desp.m.ik[variavel], $B118,
  desp.m.ik[mes], "&gt;="&amp;U$1,
  desp.m.ik[mes], "&lt;"&amp;EOMONTH(U$1,0)+1
)</f>
        <v>0</v>
      </c>
      <c r="V118" s="186">
        <f ca="1">-SUMIFS(
  desp.m.ik[valor],
  desp.m.ik[variavel], $B118,
  desp.m.ik[mes], "&gt;="&amp;V$1,
  desp.m.ik[mes], "&lt;"&amp;EOMONTH(V$1,0)+1
)</f>
        <v>0</v>
      </c>
      <c r="W118" s="186">
        <f ca="1">-SUMIFS(
  desp.m.ik[valor],
  desp.m.ik[variavel], $B118,
  desp.m.ik[mes], "&gt;="&amp;W$1,
  desp.m.ik[mes], "&lt;"&amp;EOMONTH(W$1,0)+1
)</f>
        <v>0</v>
      </c>
      <c r="X118" s="186">
        <f ca="1">-SUMIFS(
  desp.m.ik[valor],
  desp.m.ik[variavel], $B118,
  desp.m.ik[mes], "&gt;="&amp;X$1,
  desp.m.ik[mes], "&lt;"&amp;EOMONTH(X$1,0)+1
)</f>
        <v>0</v>
      </c>
      <c r="Y118" s="186">
        <f ca="1">-SUMIFS(
  desp.m.ik[valor],
  desp.m.ik[variavel], $B118,
  desp.m.ik[mes], "&gt;="&amp;Y$1,
  desp.m.ik[mes], "&lt;"&amp;EOMONTH(Y$1,0)+1
)</f>
        <v>0</v>
      </c>
      <c r="Z118" s="186">
        <f ca="1">-SUMIFS(
  desp.m.ik[valor],
  desp.m.ik[variavel], $B118,
  desp.m.ik[mes], "&gt;="&amp;Z$1,
  desp.m.ik[mes], "&lt;"&amp;EOMONTH(Z$1,0)+1
)</f>
        <v>0</v>
      </c>
      <c r="AA118" s="186">
        <f ca="1">-SUMIFS(
  desp.m.ik[valor],
  desp.m.ik[variavel], $B118,
  desp.m.ik[mes], "&gt;="&amp;AA$1,
  desp.m.ik[mes], "&lt;"&amp;EOMONTH(AA$1,0)+1
)</f>
        <v>0</v>
      </c>
      <c r="AC118" s="178">
        <f t="shared" ca="1" si="17"/>
        <v>0</v>
      </c>
      <c r="AE118" s="178">
        <f t="shared" ca="1" si="27"/>
        <v>0</v>
      </c>
    </row>
    <row r="119" spans="1:31" hidden="1" outlineLevel="2" x14ac:dyDescent="0.25">
      <c r="A119" s="185" t="s">
        <v>1156</v>
      </c>
      <c r="B119" s="196" t="s">
        <v>727</v>
      </c>
      <c r="C119" s="138" t="s">
        <v>514</v>
      </c>
      <c r="D119" s="186">
        <f ca="1">-SUMIFS(
  desp.m.ik[valor],
  desp.m.ik[variavel], $B119,
  desp.m.ik[mes], "&gt;="&amp;D$1,
  desp.m.ik[mes], "&lt;"&amp;EOMONTH(D$1,0)+1
)</f>
        <v>0</v>
      </c>
      <c r="E119" s="186">
        <f ca="1">-SUMIFS(
  desp.m.ik[valor],
  desp.m.ik[variavel], $B119,
  desp.m.ik[mes], "&gt;="&amp;E$1,
  desp.m.ik[mes], "&lt;"&amp;EOMONTH(E$1,0)+1
)</f>
        <v>0</v>
      </c>
      <c r="F119" s="186">
        <f ca="1">-SUMIFS(
  desp.m.ik[valor],
  desp.m.ik[variavel], $B119,
  desp.m.ik[mes], "&gt;="&amp;F$1,
  desp.m.ik[mes], "&lt;"&amp;EOMONTH(F$1,0)+1
)</f>
        <v>0</v>
      </c>
      <c r="G119" s="186">
        <f ca="1">-SUMIFS(
  desp.m.ik[valor],
  desp.m.ik[variavel], $B119,
  desp.m.ik[mes], "&gt;="&amp;G$1,
  desp.m.ik[mes], "&lt;"&amp;EOMONTH(G$1,0)+1
)</f>
        <v>0</v>
      </c>
      <c r="H119" s="186">
        <f ca="1">-SUMIFS(
  desp.m.ik[valor],
  desp.m.ik[variavel], $B119,
  desp.m.ik[mes], "&gt;="&amp;H$1,
  desp.m.ik[mes], "&lt;"&amp;EOMONTH(H$1,0)+1
)</f>
        <v>0</v>
      </c>
      <c r="I119" s="186">
        <f ca="1">-SUMIFS(
  desp.m.ik[valor],
  desp.m.ik[variavel], $B119,
  desp.m.ik[mes], "&gt;="&amp;I$1,
  desp.m.ik[mes], "&lt;"&amp;EOMONTH(I$1,0)+1
)</f>
        <v>0</v>
      </c>
      <c r="J119" s="186">
        <f ca="1">-SUMIFS(
  desp.m.ik[valor],
  desp.m.ik[variavel], $B119,
  desp.m.ik[mes], "&gt;="&amp;J$1,
  desp.m.ik[mes], "&lt;"&amp;EOMONTH(J$1,0)+1
)</f>
        <v>0</v>
      </c>
      <c r="K119" s="186">
        <f ca="1">-SUMIFS(
  desp.m.ik[valor],
  desp.m.ik[variavel], $B119,
  desp.m.ik[mes], "&gt;="&amp;K$1,
  desp.m.ik[mes], "&lt;"&amp;EOMONTH(K$1,0)+1
)</f>
        <v>0</v>
      </c>
      <c r="L119" s="186">
        <f ca="1">-SUMIFS(
  desp.m.ik[valor],
  desp.m.ik[variavel], $B119,
  desp.m.ik[mes], "&gt;="&amp;L$1,
  desp.m.ik[mes], "&lt;"&amp;EOMONTH(L$1,0)+1
)</f>
        <v>0</v>
      </c>
      <c r="M119" s="186">
        <f ca="1">-SUMIFS(
  desp.m.ik[valor],
  desp.m.ik[variavel], $B119,
  desp.m.ik[mes], "&gt;="&amp;M$1,
  desp.m.ik[mes], "&lt;"&amp;EOMONTH(M$1,0)+1
)</f>
        <v>0</v>
      </c>
      <c r="N119" s="186">
        <f ca="1">-SUMIFS(
  desp.m.ik[valor],
  desp.m.ik[variavel], $B119,
  desp.m.ik[mes], "&gt;="&amp;N$1,
  desp.m.ik[mes], "&lt;"&amp;EOMONTH(N$1,0)+1
)</f>
        <v>0</v>
      </c>
      <c r="O119" s="186">
        <f ca="1">-SUMIFS(
  desp.m.ik[valor],
  desp.m.ik[variavel], $B119,
  desp.m.ik[mes], "&gt;="&amp;O$1,
  desp.m.ik[mes], "&lt;"&amp;EOMONTH(O$1,0)+1
)</f>
        <v>0</v>
      </c>
      <c r="P119" s="186">
        <f ca="1">-SUMIFS(
  desp.m.ik[valor],
  desp.m.ik[variavel], $B119,
  desp.m.ik[mes], "&gt;="&amp;P$1,
  desp.m.ik[mes], "&lt;"&amp;EOMONTH(P$1,0)+1
)</f>
        <v>0</v>
      </c>
      <c r="Q119" s="186">
        <f ca="1">-SUMIFS(
  desp.m.ik[valor],
  desp.m.ik[variavel], $B119,
  desp.m.ik[mes], "&gt;="&amp;Q$1,
  desp.m.ik[mes], "&lt;"&amp;EOMONTH(Q$1,0)+1
)</f>
        <v>0</v>
      </c>
      <c r="R119" s="186">
        <f ca="1">-SUMIFS(
  desp.m.ik[valor],
  desp.m.ik[variavel], $B119,
  desp.m.ik[mes], "&gt;="&amp;R$1,
  desp.m.ik[mes], "&lt;"&amp;EOMONTH(R$1,0)+1
)</f>
        <v>0</v>
      </c>
      <c r="S119" s="186">
        <f ca="1">-SUMIFS(
  desp.m.ik[valor],
  desp.m.ik[variavel], $B119,
  desp.m.ik[mes], "&gt;="&amp;S$1,
  desp.m.ik[mes], "&lt;"&amp;EOMONTH(S$1,0)+1
)</f>
        <v>0</v>
      </c>
      <c r="T119" s="186">
        <f ca="1">-SUMIFS(
  desp.m.ik[valor],
  desp.m.ik[variavel], $B119,
  desp.m.ik[mes], "&gt;="&amp;T$1,
  desp.m.ik[mes], "&lt;"&amp;EOMONTH(T$1,0)+1
)</f>
        <v>0</v>
      </c>
      <c r="U119" s="186">
        <f ca="1">-SUMIFS(
  desp.m.ik[valor],
  desp.m.ik[variavel], $B119,
  desp.m.ik[mes], "&gt;="&amp;U$1,
  desp.m.ik[mes], "&lt;"&amp;EOMONTH(U$1,0)+1
)</f>
        <v>0</v>
      </c>
      <c r="V119" s="186">
        <f ca="1">-SUMIFS(
  desp.m.ik[valor],
  desp.m.ik[variavel], $B119,
  desp.m.ik[mes], "&gt;="&amp;V$1,
  desp.m.ik[mes], "&lt;"&amp;EOMONTH(V$1,0)+1
)</f>
        <v>0</v>
      </c>
      <c r="W119" s="186">
        <f ca="1">-SUMIFS(
  desp.m.ik[valor],
  desp.m.ik[variavel], $B119,
  desp.m.ik[mes], "&gt;="&amp;W$1,
  desp.m.ik[mes], "&lt;"&amp;EOMONTH(W$1,0)+1
)</f>
        <v>0</v>
      </c>
      <c r="X119" s="186">
        <f ca="1">-SUMIFS(
  desp.m.ik[valor],
  desp.m.ik[variavel], $B119,
  desp.m.ik[mes], "&gt;="&amp;X$1,
  desp.m.ik[mes], "&lt;"&amp;EOMONTH(X$1,0)+1
)</f>
        <v>0</v>
      </c>
      <c r="Y119" s="186">
        <f ca="1">-SUMIFS(
  desp.m.ik[valor],
  desp.m.ik[variavel], $B119,
  desp.m.ik[mes], "&gt;="&amp;Y$1,
  desp.m.ik[mes], "&lt;"&amp;EOMONTH(Y$1,0)+1
)</f>
        <v>0</v>
      </c>
      <c r="Z119" s="186">
        <f ca="1">-SUMIFS(
  desp.m.ik[valor],
  desp.m.ik[variavel], $B119,
  desp.m.ik[mes], "&gt;="&amp;Z$1,
  desp.m.ik[mes], "&lt;"&amp;EOMONTH(Z$1,0)+1
)</f>
        <v>0</v>
      </c>
      <c r="AA119" s="186">
        <f ca="1">-SUMIFS(
  desp.m.ik[valor],
  desp.m.ik[variavel], $B119,
  desp.m.ik[mes], "&gt;="&amp;AA$1,
  desp.m.ik[mes], "&lt;"&amp;EOMONTH(AA$1,0)+1
)</f>
        <v>0</v>
      </c>
      <c r="AC119" s="178">
        <f t="shared" ca="1" si="17"/>
        <v>0</v>
      </c>
      <c r="AE119" s="178">
        <f t="shared" ca="1" si="27"/>
        <v>0</v>
      </c>
    </row>
    <row r="120" spans="1:31" hidden="1" outlineLevel="2" x14ac:dyDescent="0.25">
      <c r="A120" s="185" t="s">
        <v>1156</v>
      </c>
      <c r="B120" s="196" t="s">
        <v>997</v>
      </c>
      <c r="C120" s="138" t="s">
        <v>514</v>
      </c>
      <c r="D120" s="186">
        <f ca="1">-SUMIFS(
  desp.m.ik[valor],
  desp.m.ik[variavel], $B120,
  desp.m.ik[mes], "&gt;="&amp;D$1,
  desp.m.ik[mes], "&lt;"&amp;EOMONTH(D$1,0)+1
)</f>
        <v>0</v>
      </c>
      <c r="E120" s="186">
        <f ca="1">-SUMIFS(
  desp.m.ik[valor],
  desp.m.ik[variavel], $B120,
  desp.m.ik[mes], "&gt;="&amp;E$1,
  desp.m.ik[mes], "&lt;"&amp;EOMONTH(E$1,0)+1
)</f>
        <v>0</v>
      </c>
      <c r="F120" s="186">
        <f ca="1">-SUMIFS(
  desp.m.ik[valor],
  desp.m.ik[variavel], $B120,
  desp.m.ik[mes], "&gt;="&amp;F$1,
  desp.m.ik[mes], "&lt;"&amp;EOMONTH(F$1,0)+1
)</f>
        <v>0</v>
      </c>
      <c r="G120" s="186">
        <f ca="1">-SUMIFS(
  desp.m.ik[valor],
  desp.m.ik[variavel], $B120,
  desp.m.ik[mes], "&gt;="&amp;G$1,
  desp.m.ik[mes], "&lt;"&amp;EOMONTH(G$1,0)+1
)</f>
        <v>0</v>
      </c>
      <c r="H120" s="186">
        <f ca="1">-SUMIFS(
  desp.m.ik[valor],
  desp.m.ik[variavel], $B120,
  desp.m.ik[mes], "&gt;="&amp;H$1,
  desp.m.ik[mes], "&lt;"&amp;EOMONTH(H$1,0)+1
)</f>
        <v>0</v>
      </c>
      <c r="I120" s="186">
        <f ca="1">-SUMIFS(
  desp.m.ik[valor],
  desp.m.ik[variavel], $B120,
  desp.m.ik[mes], "&gt;="&amp;I$1,
  desp.m.ik[mes], "&lt;"&amp;EOMONTH(I$1,0)+1
)</f>
        <v>0</v>
      </c>
      <c r="J120" s="186">
        <f ca="1">-SUMIFS(
  desp.m.ik[valor],
  desp.m.ik[variavel], $B120,
  desp.m.ik[mes], "&gt;="&amp;J$1,
  desp.m.ik[mes], "&lt;"&amp;EOMONTH(J$1,0)+1
)</f>
        <v>0</v>
      </c>
      <c r="K120" s="186">
        <f ca="1">-SUMIFS(
  desp.m.ik[valor],
  desp.m.ik[variavel], $B120,
  desp.m.ik[mes], "&gt;="&amp;K$1,
  desp.m.ik[mes], "&lt;"&amp;EOMONTH(K$1,0)+1
)</f>
        <v>0</v>
      </c>
      <c r="L120" s="186">
        <f ca="1">-SUMIFS(
  desp.m.ik[valor],
  desp.m.ik[variavel], $B120,
  desp.m.ik[mes], "&gt;="&amp;L$1,
  desp.m.ik[mes], "&lt;"&amp;EOMONTH(L$1,0)+1
)</f>
        <v>0</v>
      </c>
      <c r="M120" s="186">
        <f ca="1">-SUMIFS(
  desp.m.ik[valor],
  desp.m.ik[variavel], $B120,
  desp.m.ik[mes], "&gt;="&amp;M$1,
  desp.m.ik[mes], "&lt;"&amp;EOMONTH(M$1,0)+1
)</f>
        <v>0</v>
      </c>
      <c r="N120" s="186">
        <f ca="1">-SUMIFS(
  desp.m.ik[valor],
  desp.m.ik[variavel], $B120,
  desp.m.ik[mes], "&gt;="&amp;N$1,
  desp.m.ik[mes], "&lt;"&amp;EOMONTH(N$1,0)+1
)</f>
        <v>0</v>
      </c>
      <c r="O120" s="186">
        <f ca="1">-SUMIFS(
  desp.m.ik[valor],
  desp.m.ik[variavel], $B120,
  desp.m.ik[mes], "&gt;="&amp;O$1,
  desp.m.ik[mes], "&lt;"&amp;EOMONTH(O$1,0)+1
)</f>
        <v>0</v>
      </c>
      <c r="P120" s="186">
        <f ca="1">-SUMIFS(
  desp.m.ik[valor],
  desp.m.ik[variavel], $B120,
  desp.m.ik[mes], "&gt;="&amp;P$1,
  desp.m.ik[mes], "&lt;"&amp;EOMONTH(P$1,0)+1
)</f>
        <v>0</v>
      </c>
      <c r="Q120" s="186">
        <f ca="1">-SUMIFS(
  desp.m.ik[valor],
  desp.m.ik[variavel], $B120,
  desp.m.ik[mes], "&gt;="&amp;Q$1,
  desp.m.ik[mes], "&lt;"&amp;EOMONTH(Q$1,0)+1
)</f>
        <v>0</v>
      </c>
      <c r="R120" s="186">
        <f ca="1">-SUMIFS(
  desp.m.ik[valor],
  desp.m.ik[variavel], $B120,
  desp.m.ik[mes], "&gt;="&amp;R$1,
  desp.m.ik[mes], "&lt;"&amp;EOMONTH(R$1,0)+1
)</f>
        <v>0</v>
      </c>
      <c r="S120" s="186">
        <f ca="1">-SUMIFS(
  desp.m.ik[valor],
  desp.m.ik[variavel], $B120,
  desp.m.ik[mes], "&gt;="&amp;S$1,
  desp.m.ik[mes], "&lt;"&amp;EOMONTH(S$1,0)+1
)</f>
        <v>0</v>
      </c>
      <c r="T120" s="186">
        <f ca="1">-SUMIFS(
  desp.m.ik[valor],
  desp.m.ik[variavel], $B120,
  desp.m.ik[mes], "&gt;="&amp;T$1,
  desp.m.ik[mes], "&lt;"&amp;EOMONTH(T$1,0)+1
)</f>
        <v>0</v>
      </c>
      <c r="U120" s="186">
        <f ca="1">-SUMIFS(
  desp.m.ik[valor],
  desp.m.ik[variavel], $B120,
  desp.m.ik[mes], "&gt;="&amp;U$1,
  desp.m.ik[mes], "&lt;"&amp;EOMONTH(U$1,0)+1
)</f>
        <v>0</v>
      </c>
      <c r="V120" s="186">
        <f ca="1">-SUMIFS(
  desp.m.ik[valor],
  desp.m.ik[variavel], $B120,
  desp.m.ik[mes], "&gt;="&amp;V$1,
  desp.m.ik[mes], "&lt;"&amp;EOMONTH(V$1,0)+1
)</f>
        <v>0</v>
      </c>
      <c r="W120" s="186">
        <f ca="1">-SUMIFS(
  desp.m.ik[valor],
  desp.m.ik[variavel], $B120,
  desp.m.ik[mes], "&gt;="&amp;W$1,
  desp.m.ik[mes], "&lt;"&amp;EOMONTH(W$1,0)+1
)</f>
        <v>0</v>
      </c>
      <c r="X120" s="186">
        <f ca="1">-SUMIFS(
  desp.m.ik[valor],
  desp.m.ik[variavel], $B120,
  desp.m.ik[mes], "&gt;="&amp;X$1,
  desp.m.ik[mes], "&lt;"&amp;EOMONTH(X$1,0)+1
)</f>
        <v>0</v>
      </c>
      <c r="Y120" s="186">
        <f ca="1">-SUMIFS(
  desp.m.ik[valor],
  desp.m.ik[variavel], $B120,
  desp.m.ik[mes], "&gt;="&amp;Y$1,
  desp.m.ik[mes], "&lt;"&amp;EOMONTH(Y$1,0)+1
)</f>
        <v>0</v>
      </c>
      <c r="Z120" s="186">
        <f ca="1">-SUMIFS(
  desp.m.ik[valor],
  desp.m.ik[variavel], $B120,
  desp.m.ik[mes], "&gt;="&amp;Z$1,
  desp.m.ik[mes], "&lt;"&amp;EOMONTH(Z$1,0)+1
)</f>
        <v>0</v>
      </c>
      <c r="AA120" s="186">
        <f ca="1">-SUMIFS(
  desp.m.ik[valor],
  desp.m.ik[variavel], $B120,
  desp.m.ik[mes], "&gt;="&amp;AA$1,
  desp.m.ik[mes], "&lt;"&amp;EOMONTH(AA$1,0)+1
)</f>
        <v>0</v>
      </c>
      <c r="AC120" s="178">
        <f t="shared" ca="1" si="17"/>
        <v>0</v>
      </c>
      <c r="AE120" s="178">
        <f t="shared" ca="1" si="27"/>
        <v>0</v>
      </c>
    </row>
    <row r="121" spans="1:31" hidden="1" outlineLevel="2" x14ac:dyDescent="0.25">
      <c r="A121" s="185" t="s">
        <v>1156</v>
      </c>
      <c r="B121" s="196" t="s">
        <v>996</v>
      </c>
      <c r="C121" s="138" t="s">
        <v>514</v>
      </c>
      <c r="D121" s="186">
        <f ca="1">-SUMIFS(
  desp.m.ik[valor],
  desp.m.ik[variavel], $B121,
  desp.m.ik[mes], "&gt;="&amp;D$1,
  desp.m.ik[mes], "&lt;"&amp;EOMONTH(D$1,0)+1
)</f>
        <v>0</v>
      </c>
      <c r="E121" s="186">
        <f ca="1">-SUMIFS(
  desp.m.ik[valor],
  desp.m.ik[variavel], $B121,
  desp.m.ik[mes], "&gt;="&amp;E$1,
  desp.m.ik[mes], "&lt;"&amp;EOMONTH(E$1,0)+1
)</f>
        <v>0</v>
      </c>
      <c r="F121" s="186">
        <f ca="1">-SUMIFS(
  desp.m.ik[valor],
  desp.m.ik[variavel], $B121,
  desp.m.ik[mes], "&gt;="&amp;F$1,
  desp.m.ik[mes], "&lt;"&amp;EOMONTH(F$1,0)+1
)</f>
        <v>0</v>
      </c>
      <c r="G121" s="186">
        <f ca="1">-SUMIFS(
  desp.m.ik[valor],
  desp.m.ik[variavel], $B121,
  desp.m.ik[mes], "&gt;="&amp;G$1,
  desp.m.ik[mes], "&lt;"&amp;EOMONTH(G$1,0)+1
)</f>
        <v>0</v>
      </c>
      <c r="H121" s="186">
        <f ca="1">-SUMIFS(
  desp.m.ik[valor],
  desp.m.ik[variavel], $B121,
  desp.m.ik[mes], "&gt;="&amp;H$1,
  desp.m.ik[mes], "&lt;"&amp;EOMONTH(H$1,0)+1
)</f>
        <v>0</v>
      </c>
      <c r="I121" s="186">
        <f ca="1">-SUMIFS(
  desp.m.ik[valor],
  desp.m.ik[variavel], $B121,
  desp.m.ik[mes], "&gt;="&amp;I$1,
  desp.m.ik[mes], "&lt;"&amp;EOMONTH(I$1,0)+1
)</f>
        <v>0</v>
      </c>
      <c r="J121" s="186">
        <f ca="1">-SUMIFS(
  desp.m.ik[valor],
  desp.m.ik[variavel], $B121,
  desp.m.ik[mes], "&gt;="&amp;J$1,
  desp.m.ik[mes], "&lt;"&amp;EOMONTH(J$1,0)+1
)</f>
        <v>0</v>
      </c>
      <c r="K121" s="186">
        <f ca="1">-SUMIFS(
  desp.m.ik[valor],
  desp.m.ik[variavel], $B121,
  desp.m.ik[mes], "&gt;="&amp;K$1,
  desp.m.ik[mes], "&lt;"&amp;EOMONTH(K$1,0)+1
)</f>
        <v>0</v>
      </c>
      <c r="L121" s="186">
        <f ca="1">-SUMIFS(
  desp.m.ik[valor],
  desp.m.ik[variavel], $B121,
  desp.m.ik[mes], "&gt;="&amp;L$1,
  desp.m.ik[mes], "&lt;"&amp;EOMONTH(L$1,0)+1
)</f>
        <v>0</v>
      </c>
      <c r="M121" s="186">
        <f ca="1">-SUMIFS(
  desp.m.ik[valor],
  desp.m.ik[variavel], $B121,
  desp.m.ik[mes], "&gt;="&amp;M$1,
  desp.m.ik[mes], "&lt;"&amp;EOMONTH(M$1,0)+1
)</f>
        <v>0</v>
      </c>
      <c r="N121" s="186">
        <f ca="1">-SUMIFS(
  desp.m.ik[valor],
  desp.m.ik[variavel], $B121,
  desp.m.ik[mes], "&gt;="&amp;N$1,
  desp.m.ik[mes], "&lt;"&amp;EOMONTH(N$1,0)+1
)</f>
        <v>0</v>
      </c>
      <c r="O121" s="186">
        <f ca="1">-SUMIFS(
  desp.m.ik[valor],
  desp.m.ik[variavel], $B121,
  desp.m.ik[mes], "&gt;="&amp;O$1,
  desp.m.ik[mes], "&lt;"&amp;EOMONTH(O$1,0)+1
)</f>
        <v>0</v>
      </c>
      <c r="P121" s="186">
        <f ca="1">-SUMIFS(
  desp.m.ik[valor],
  desp.m.ik[variavel], $B121,
  desp.m.ik[mes], "&gt;="&amp;P$1,
  desp.m.ik[mes], "&lt;"&amp;EOMONTH(P$1,0)+1
)</f>
        <v>0</v>
      </c>
      <c r="Q121" s="186">
        <f ca="1">-SUMIFS(
  desp.m.ik[valor],
  desp.m.ik[variavel], $B121,
  desp.m.ik[mes], "&gt;="&amp;Q$1,
  desp.m.ik[mes], "&lt;"&amp;EOMONTH(Q$1,0)+1
)</f>
        <v>0</v>
      </c>
      <c r="R121" s="186">
        <f ca="1">-SUMIFS(
  desp.m.ik[valor],
  desp.m.ik[variavel], $B121,
  desp.m.ik[mes], "&gt;="&amp;R$1,
  desp.m.ik[mes], "&lt;"&amp;EOMONTH(R$1,0)+1
)</f>
        <v>0</v>
      </c>
      <c r="S121" s="186">
        <f ca="1">-SUMIFS(
  desp.m.ik[valor],
  desp.m.ik[variavel], $B121,
  desp.m.ik[mes], "&gt;="&amp;S$1,
  desp.m.ik[mes], "&lt;"&amp;EOMONTH(S$1,0)+1
)</f>
        <v>0</v>
      </c>
      <c r="T121" s="186">
        <f ca="1">-SUMIFS(
  desp.m.ik[valor],
  desp.m.ik[variavel], $B121,
  desp.m.ik[mes], "&gt;="&amp;T$1,
  desp.m.ik[mes], "&lt;"&amp;EOMONTH(T$1,0)+1
)</f>
        <v>0</v>
      </c>
      <c r="U121" s="186">
        <f ca="1">-SUMIFS(
  desp.m.ik[valor],
  desp.m.ik[variavel], $B121,
  desp.m.ik[mes], "&gt;="&amp;U$1,
  desp.m.ik[mes], "&lt;"&amp;EOMONTH(U$1,0)+1
)</f>
        <v>0</v>
      </c>
      <c r="V121" s="186">
        <f ca="1">-SUMIFS(
  desp.m.ik[valor],
  desp.m.ik[variavel], $B121,
  desp.m.ik[mes], "&gt;="&amp;V$1,
  desp.m.ik[mes], "&lt;"&amp;EOMONTH(V$1,0)+1
)</f>
        <v>0</v>
      </c>
      <c r="W121" s="186">
        <f ca="1">-SUMIFS(
  desp.m.ik[valor],
  desp.m.ik[variavel], $B121,
  desp.m.ik[mes], "&gt;="&amp;W$1,
  desp.m.ik[mes], "&lt;"&amp;EOMONTH(W$1,0)+1
)</f>
        <v>0</v>
      </c>
      <c r="X121" s="186">
        <f ca="1">-SUMIFS(
  desp.m.ik[valor],
  desp.m.ik[variavel], $B121,
  desp.m.ik[mes], "&gt;="&amp;X$1,
  desp.m.ik[mes], "&lt;"&amp;EOMONTH(X$1,0)+1
)</f>
        <v>0</v>
      </c>
      <c r="Y121" s="186">
        <f ca="1">-SUMIFS(
  desp.m.ik[valor],
  desp.m.ik[variavel], $B121,
  desp.m.ik[mes], "&gt;="&amp;Y$1,
  desp.m.ik[mes], "&lt;"&amp;EOMONTH(Y$1,0)+1
)</f>
        <v>0</v>
      </c>
      <c r="Z121" s="186">
        <f ca="1">-SUMIFS(
  desp.m.ik[valor],
  desp.m.ik[variavel], $B121,
  desp.m.ik[mes], "&gt;="&amp;Z$1,
  desp.m.ik[mes], "&lt;"&amp;EOMONTH(Z$1,0)+1
)</f>
        <v>0</v>
      </c>
      <c r="AA121" s="186">
        <f ca="1">-SUMIFS(
  desp.m.ik[valor],
  desp.m.ik[variavel], $B121,
  desp.m.ik[mes], "&gt;="&amp;AA$1,
  desp.m.ik[mes], "&lt;"&amp;EOMONTH(AA$1,0)+1
)</f>
        <v>0</v>
      </c>
      <c r="AC121" s="178">
        <f t="shared" ca="1" si="17"/>
        <v>0</v>
      </c>
      <c r="AE121" s="178">
        <f t="shared" ref="AE121:AE125" ca="1" si="28">SUM(D121:AA121)</f>
        <v>0</v>
      </c>
    </row>
    <row r="122" spans="1:31" hidden="1" outlineLevel="2" x14ac:dyDescent="0.25">
      <c r="A122" s="185" t="s">
        <v>1156</v>
      </c>
      <c r="B122" s="196" t="s">
        <v>998</v>
      </c>
      <c r="C122" s="138" t="s">
        <v>514</v>
      </c>
      <c r="D122" s="186">
        <f ca="1">-SUMIFS(
  desp.m.ik[valor],
  desp.m.ik[variavel], $B122,
  desp.m.ik[mes], "&gt;="&amp;D$1,
  desp.m.ik[mes], "&lt;"&amp;EOMONTH(D$1,0)+1
)</f>
        <v>0</v>
      </c>
      <c r="E122" s="186">
        <f ca="1">-SUMIFS(
  desp.m.ik[valor],
  desp.m.ik[variavel], $B122,
  desp.m.ik[mes], "&gt;="&amp;E$1,
  desp.m.ik[mes], "&lt;"&amp;EOMONTH(E$1,0)+1
)</f>
        <v>0</v>
      </c>
      <c r="F122" s="186">
        <f ca="1">-SUMIFS(
  desp.m.ik[valor],
  desp.m.ik[variavel], $B122,
  desp.m.ik[mes], "&gt;="&amp;F$1,
  desp.m.ik[mes], "&lt;"&amp;EOMONTH(F$1,0)+1
)</f>
        <v>0</v>
      </c>
      <c r="G122" s="186">
        <f ca="1">-SUMIFS(
  desp.m.ik[valor],
  desp.m.ik[variavel], $B122,
  desp.m.ik[mes], "&gt;="&amp;G$1,
  desp.m.ik[mes], "&lt;"&amp;EOMONTH(G$1,0)+1
)</f>
        <v>0</v>
      </c>
      <c r="H122" s="186">
        <f ca="1">-SUMIFS(
  desp.m.ik[valor],
  desp.m.ik[variavel], $B122,
  desp.m.ik[mes], "&gt;="&amp;H$1,
  desp.m.ik[mes], "&lt;"&amp;EOMONTH(H$1,0)+1
)</f>
        <v>0</v>
      </c>
      <c r="I122" s="186">
        <f ca="1">-SUMIFS(
  desp.m.ik[valor],
  desp.m.ik[variavel], $B122,
  desp.m.ik[mes], "&gt;="&amp;I$1,
  desp.m.ik[mes], "&lt;"&amp;EOMONTH(I$1,0)+1
)</f>
        <v>0</v>
      </c>
      <c r="J122" s="186">
        <f ca="1">-SUMIFS(
  desp.m.ik[valor],
  desp.m.ik[variavel], $B122,
  desp.m.ik[mes], "&gt;="&amp;J$1,
  desp.m.ik[mes], "&lt;"&amp;EOMONTH(J$1,0)+1
)</f>
        <v>0</v>
      </c>
      <c r="K122" s="186">
        <f ca="1">-SUMIFS(
  desp.m.ik[valor],
  desp.m.ik[variavel], $B122,
  desp.m.ik[mes], "&gt;="&amp;K$1,
  desp.m.ik[mes], "&lt;"&amp;EOMONTH(K$1,0)+1
)</f>
        <v>0</v>
      </c>
      <c r="L122" s="186">
        <f ca="1">-SUMIFS(
  desp.m.ik[valor],
  desp.m.ik[variavel], $B122,
  desp.m.ik[mes], "&gt;="&amp;L$1,
  desp.m.ik[mes], "&lt;"&amp;EOMONTH(L$1,0)+1
)</f>
        <v>0</v>
      </c>
      <c r="M122" s="186">
        <f ca="1">-SUMIFS(
  desp.m.ik[valor],
  desp.m.ik[variavel], $B122,
  desp.m.ik[mes], "&gt;="&amp;M$1,
  desp.m.ik[mes], "&lt;"&amp;EOMONTH(M$1,0)+1
)</f>
        <v>0</v>
      </c>
      <c r="N122" s="186">
        <f ca="1">-SUMIFS(
  desp.m.ik[valor],
  desp.m.ik[variavel], $B122,
  desp.m.ik[mes], "&gt;="&amp;N$1,
  desp.m.ik[mes], "&lt;"&amp;EOMONTH(N$1,0)+1
)</f>
        <v>0</v>
      </c>
      <c r="O122" s="186">
        <f ca="1">-SUMIFS(
  desp.m.ik[valor],
  desp.m.ik[variavel], $B122,
  desp.m.ik[mes], "&gt;="&amp;O$1,
  desp.m.ik[mes], "&lt;"&amp;EOMONTH(O$1,0)+1
)</f>
        <v>0</v>
      </c>
      <c r="P122" s="186">
        <f ca="1">-SUMIFS(
  desp.m.ik[valor],
  desp.m.ik[variavel], $B122,
  desp.m.ik[mes], "&gt;="&amp;P$1,
  desp.m.ik[mes], "&lt;"&amp;EOMONTH(P$1,0)+1
)</f>
        <v>0</v>
      </c>
      <c r="Q122" s="186">
        <f ca="1">-SUMIFS(
  desp.m.ik[valor],
  desp.m.ik[variavel], $B122,
  desp.m.ik[mes], "&gt;="&amp;Q$1,
  desp.m.ik[mes], "&lt;"&amp;EOMONTH(Q$1,0)+1
)</f>
        <v>0</v>
      </c>
      <c r="R122" s="186">
        <f ca="1">-SUMIFS(
  desp.m.ik[valor],
  desp.m.ik[variavel], $B122,
  desp.m.ik[mes], "&gt;="&amp;R$1,
  desp.m.ik[mes], "&lt;"&amp;EOMONTH(R$1,0)+1
)</f>
        <v>0</v>
      </c>
      <c r="S122" s="186">
        <f ca="1">-SUMIFS(
  desp.m.ik[valor],
  desp.m.ik[variavel], $B122,
  desp.m.ik[mes], "&gt;="&amp;S$1,
  desp.m.ik[mes], "&lt;"&amp;EOMONTH(S$1,0)+1
)</f>
        <v>0</v>
      </c>
      <c r="T122" s="186">
        <f ca="1">-SUMIFS(
  desp.m.ik[valor],
  desp.m.ik[variavel], $B122,
  desp.m.ik[mes], "&gt;="&amp;T$1,
  desp.m.ik[mes], "&lt;"&amp;EOMONTH(T$1,0)+1
)</f>
        <v>0</v>
      </c>
      <c r="U122" s="186">
        <f ca="1">-SUMIFS(
  desp.m.ik[valor],
  desp.m.ik[variavel], $B122,
  desp.m.ik[mes], "&gt;="&amp;U$1,
  desp.m.ik[mes], "&lt;"&amp;EOMONTH(U$1,0)+1
)</f>
        <v>0</v>
      </c>
      <c r="V122" s="186">
        <f ca="1">-SUMIFS(
  desp.m.ik[valor],
  desp.m.ik[variavel], $B122,
  desp.m.ik[mes], "&gt;="&amp;V$1,
  desp.m.ik[mes], "&lt;"&amp;EOMONTH(V$1,0)+1
)</f>
        <v>0</v>
      </c>
      <c r="W122" s="186">
        <f ca="1">-SUMIFS(
  desp.m.ik[valor],
  desp.m.ik[variavel], $B122,
  desp.m.ik[mes], "&gt;="&amp;W$1,
  desp.m.ik[mes], "&lt;"&amp;EOMONTH(W$1,0)+1
)</f>
        <v>0</v>
      </c>
      <c r="X122" s="186">
        <f ca="1">-SUMIFS(
  desp.m.ik[valor],
  desp.m.ik[variavel], $B122,
  desp.m.ik[mes], "&gt;="&amp;X$1,
  desp.m.ik[mes], "&lt;"&amp;EOMONTH(X$1,0)+1
)</f>
        <v>0</v>
      </c>
      <c r="Y122" s="186">
        <f ca="1">-SUMIFS(
  desp.m.ik[valor],
  desp.m.ik[variavel], $B122,
  desp.m.ik[mes], "&gt;="&amp;Y$1,
  desp.m.ik[mes], "&lt;"&amp;EOMONTH(Y$1,0)+1
)</f>
        <v>0</v>
      </c>
      <c r="Z122" s="186">
        <f ca="1">-SUMIFS(
  desp.m.ik[valor],
  desp.m.ik[variavel], $B122,
  desp.m.ik[mes], "&gt;="&amp;Z$1,
  desp.m.ik[mes], "&lt;"&amp;EOMONTH(Z$1,0)+1
)</f>
        <v>0</v>
      </c>
      <c r="AA122" s="186">
        <f ca="1">-SUMIFS(
  desp.m.ik[valor],
  desp.m.ik[variavel], $B122,
  desp.m.ik[mes], "&gt;="&amp;AA$1,
  desp.m.ik[mes], "&lt;"&amp;EOMONTH(AA$1,0)+1
)</f>
        <v>0</v>
      </c>
      <c r="AC122" s="178">
        <f t="shared" ca="1" si="17"/>
        <v>0</v>
      </c>
      <c r="AE122" s="178">
        <f t="shared" ca="1" si="28"/>
        <v>0</v>
      </c>
    </row>
    <row r="123" spans="1:31" hidden="1" outlineLevel="2" x14ac:dyDescent="0.25">
      <c r="A123" s="185" t="s">
        <v>1156</v>
      </c>
      <c r="B123" s="196" t="s">
        <v>1000</v>
      </c>
      <c r="C123" s="138" t="s">
        <v>514</v>
      </c>
      <c r="D123" s="186">
        <f ca="1">-SUMIFS(
  desp.m.ik[valor],
  desp.m.ik[variavel], $B123,
  desp.m.ik[mes], "&gt;="&amp;D$1,
  desp.m.ik[mes], "&lt;"&amp;EOMONTH(D$1,0)+1
)</f>
        <v>0</v>
      </c>
      <c r="E123" s="186">
        <f ca="1">-SUMIFS(
  desp.m.ik[valor],
  desp.m.ik[variavel], $B123,
  desp.m.ik[mes], "&gt;="&amp;E$1,
  desp.m.ik[mes], "&lt;"&amp;EOMONTH(E$1,0)+1
)</f>
        <v>0</v>
      </c>
      <c r="F123" s="186">
        <f ca="1">-SUMIFS(
  desp.m.ik[valor],
  desp.m.ik[variavel], $B123,
  desp.m.ik[mes], "&gt;="&amp;F$1,
  desp.m.ik[mes], "&lt;"&amp;EOMONTH(F$1,0)+1
)</f>
        <v>0</v>
      </c>
      <c r="G123" s="186">
        <f ca="1">-SUMIFS(
  desp.m.ik[valor],
  desp.m.ik[variavel], $B123,
  desp.m.ik[mes], "&gt;="&amp;G$1,
  desp.m.ik[mes], "&lt;"&amp;EOMONTH(G$1,0)+1
)</f>
        <v>0</v>
      </c>
      <c r="H123" s="186">
        <f ca="1">-SUMIFS(
  desp.m.ik[valor],
  desp.m.ik[variavel], $B123,
  desp.m.ik[mes], "&gt;="&amp;H$1,
  desp.m.ik[mes], "&lt;"&amp;EOMONTH(H$1,0)+1
)</f>
        <v>0</v>
      </c>
      <c r="I123" s="186">
        <f ca="1">-SUMIFS(
  desp.m.ik[valor],
  desp.m.ik[variavel], $B123,
  desp.m.ik[mes], "&gt;="&amp;I$1,
  desp.m.ik[mes], "&lt;"&amp;EOMONTH(I$1,0)+1
)</f>
        <v>0</v>
      </c>
      <c r="J123" s="186">
        <f ca="1">-SUMIFS(
  desp.m.ik[valor],
  desp.m.ik[variavel], $B123,
  desp.m.ik[mes], "&gt;="&amp;J$1,
  desp.m.ik[mes], "&lt;"&amp;EOMONTH(J$1,0)+1
)</f>
        <v>0</v>
      </c>
      <c r="K123" s="186">
        <f ca="1">-SUMIFS(
  desp.m.ik[valor],
  desp.m.ik[variavel], $B123,
  desp.m.ik[mes], "&gt;="&amp;K$1,
  desp.m.ik[mes], "&lt;"&amp;EOMONTH(K$1,0)+1
)</f>
        <v>0</v>
      </c>
      <c r="L123" s="186">
        <f ca="1">-SUMIFS(
  desp.m.ik[valor],
  desp.m.ik[variavel], $B123,
  desp.m.ik[mes], "&gt;="&amp;L$1,
  desp.m.ik[mes], "&lt;"&amp;EOMONTH(L$1,0)+1
)</f>
        <v>0</v>
      </c>
      <c r="M123" s="186">
        <f ca="1">-SUMIFS(
  desp.m.ik[valor],
  desp.m.ik[variavel], $B123,
  desp.m.ik[mes], "&gt;="&amp;M$1,
  desp.m.ik[mes], "&lt;"&amp;EOMONTH(M$1,0)+1
)</f>
        <v>0</v>
      </c>
      <c r="N123" s="186">
        <f ca="1">-SUMIFS(
  desp.m.ik[valor],
  desp.m.ik[variavel], $B123,
  desp.m.ik[mes], "&gt;="&amp;N$1,
  desp.m.ik[mes], "&lt;"&amp;EOMONTH(N$1,0)+1
)</f>
        <v>0</v>
      </c>
      <c r="O123" s="186">
        <f ca="1">-SUMIFS(
  desp.m.ik[valor],
  desp.m.ik[variavel], $B123,
  desp.m.ik[mes], "&gt;="&amp;O$1,
  desp.m.ik[mes], "&lt;"&amp;EOMONTH(O$1,0)+1
)</f>
        <v>0</v>
      </c>
      <c r="P123" s="186">
        <f ca="1">-SUMIFS(
  desp.m.ik[valor],
  desp.m.ik[variavel], $B123,
  desp.m.ik[mes], "&gt;="&amp;P$1,
  desp.m.ik[mes], "&lt;"&amp;EOMONTH(P$1,0)+1
)</f>
        <v>0</v>
      </c>
      <c r="Q123" s="186">
        <f ca="1">-SUMIFS(
  desp.m.ik[valor],
  desp.m.ik[variavel], $B123,
  desp.m.ik[mes], "&gt;="&amp;Q$1,
  desp.m.ik[mes], "&lt;"&amp;EOMONTH(Q$1,0)+1
)</f>
        <v>0</v>
      </c>
      <c r="R123" s="186">
        <f ca="1">-SUMIFS(
  desp.m.ik[valor],
  desp.m.ik[variavel], $B123,
  desp.m.ik[mes], "&gt;="&amp;R$1,
  desp.m.ik[mes], "&lt;"&amp;EOMONTH(R$1,0)+1
)</f>
        <v>0</v>
      </c>
      <c r="S123" s="186">
        <f ca="1">-SUMIFS(
  desp.m.ik[valor],
  desp.m.ik[variavel], $B123,
  desp.m.ik[mes], "&gt;="&amp;S$1,
  desp.m.ik[mes], "&lt;"&amp;EOMONTH(S$1,0)+1
)</f>
        <v>0</v>
      </c>
      <c r="T123" s="186">
        <f ca="1">-SUMIFS(
  desp.m.ik[valor],
  desp.m.ik[variavel], $B123,
  desp.m.ik[mes], "&gt;="&amp;T$1,
  desp.m.ik[mes], "&lt;"&amp;EOMONTH(T$1,0)+1
)</f>
        <v>0</v>
      </c>
      <c r="U123" s="186">
        <f ca="1">-SUMIFS(
  desp.m.ik[valor],
  desp.m.ik[variavel], $B123,
  desp.m.ik[mes], "&gt;="&amp;U$1,
  desp.m.ik[mes], "&lt;"&amp;EOMONTH(U$1,0)+1
)</f>
        <v>0</v>
      </c>
      <c r="V123" s="186">
        <f ca="1">-SUMIFS(
  desp.m.ik[valor],
  desp.m.ik[variavel], $B123,
  desp.m.ik[mes], "&gt;="&amp;V$1,
  desp.m.ik[mes], "&lt;"&amp;EOMONTH(V$1,0)+1
)</f>
        <v>0</v>
      </c>
      <c r="W123" s="186">
        <f ca="1">-SUMIFS(
  desp.m.ik[valor],
  desp.m.ik[variavel], $B123,
  desp.m.ik[mes], "&gt;="&amp;W$1,
  desp.m.ik[mes], "&lt;"&amp;EOMONTH(W$1,0)+1
)</f>
        <v>0</v>
      </c>
      <c r="X123" s="186">
        <f ca="1">-SUMIFS(
  desp.m.ik[valor],
  desp.m.ik[variavel], $B123,
  desp.m.ik[mes], "&gt;="&amp;X$1,
  desp.m.ik[mes], "&lt;"&amp;EOMONTH(X$1,0)+1
)</f>
        <v>0</v>
      </c>
      <c r="Y123" s="186">
        <f ca="1">-SUMIFS(
  desp.m.ik[valor],
  desp.m.ik[variavel], $B123,
  desp.m.ik[mes], "&gt;="&amp;Y$1,
  desp.m.ik[mes], "&lt;"&amp;EOMONTH(Y$1,0)+1
)</f>
        <v>0</v>
      </c>
      <c r="Z123" s="186">
        <f ca="1">-SUMIFS(
  desp.m.ik[valor],
  desp.m.ik[variavel], $B123,
  desp.m.ik[mes], "&gt;="&amp;Z$1,
  desp.m.ik[mes], "&lt;"&amp;EOMONTH(Z$1,0)+1
)</f>
        <v>0</v>
      </c>
      <c r="AA123" s="186">
        <f ca="1">-SUMIFS(
  desp.m.ik[valor],
  desp.m.ik[variavel], $B123,
  desp.m.ik[mes], "&gt;="&amp;AA$1,
  desp.m.ik[mes], "&lt;"&amp;EOMONTH(AA$1,0)+1
)</f>
        <v>0</v>
      </c>
      <c r="AC123" s="178">
        <f t="shared" ca="1" si="17"/>
        <v>0</v>
      </c>
      <c r="AE123" s="178">
        <f t="shared" ref="AE123" ca="1" si="29">SUM(D123:AA123)</f>
        <v>0</v>
      </c>
    </row>
    <row r="124" spans="1:31" hidden="1" outlineLevel="2" x14ac:dyDescent="0.25">
      <c r="A124" s="185" t="s">
        <v>1156</v>
      </c>
      <c r="B124" s="196" t="s">
        <v>999</v>
      </c>
      <c r="C124" s="138" t="s">
        <v>514</v>
      </c>
      <c r="D124" s="186">
        <f ca="1">-SUMIFS(
  desp.m.ik[valor],
  desp.m.ik[variavel], $B124,
  desp.m.ik[mes], "&gt;="&amp;D$1,
  desp.m.ik[mes], "&lt;"&amp;EOMONTH(D$1,0)+1
)</f>
        <v>0</v>
      </c>
      <c r="E124" s="186">
        <f ca="1">-SUMIFS(
  desp.m.ik[valor],
  desp.m.ik[variavel], $B124,
  desp.m.ik[mes], "&gt;="&amp;E$1,
  desp.m.ik[mes], "&lt;"&amp;EOMONTH(E$1,0)+1
)</f>
        <v>0</v>
      </c>
      <c r="F124" s="186">
        <f ca="1">-SUMIFS(
  desp.m.ik[valor],
  desp.m.ik[variavel], $B124,
  desp.m.ik[mes], "&gt;="&amp;F$1,
  desp.m.ik[mes], "&lt;"&amp;EOMONTH(F$1,0)+1
)</f>
        <v>0</v>
      </c>
      <c r="G124" s="186">
        <f ca="1">-SUMIFS(
  desp.m.ik[valor],
  desp.m.ik[variavel], $B124,
  desp.m.ik[mes], "&gt;="&amp;G$1,
  desp.m.ik[mes], "&lt;"&amp;EOMONTH(G$1,0)+1
)</f>
        <v>0</v>
      </c>
      <c r="H124" s="186">
        <f ca="1">-SUMIFS(
  desp.m.ik[valor],
  desp.m.ik[variavel], $B124,
  desp.m.ik[mes], "&gt;="&amp;H$1,
  desp.m.ik[mes], "&lt;"&amp;EOMONTH(H$1,0)+1
)</f>
        <v>0</v>
      </c>
      <c r="I124" s="186">
        <f ca="1">-SUMIFS(
  desp.m.ik[valor],
  desp.m.ik[variavel], $B124,
  desp.m.ik[mes], "&gt;="&amp;I$1,
  desp.m.ik[mes], "&lt;"&amp;EOMONTH(I$1,0)+1
)</f>
        <v>0</v>
      </c>
      <c r="J124" s="186">
        <f ca="1">-SUMIFS(
  desp.m.ik[valor],
  desp.m.ik[variavel], $B124,
  desp.m.ik[mes], "&gt;="&amp;J$1,
  desp.m.ik[mes], "&lt;"&amp;EOMONTH(J$1,0)+1
)</f>
        <v>0</v>
      </c>
      <c r="K124" s="186">
        <f ca="1">-SUMIFS(
  desp.m.ik[valor],
  desp.m.ik[variavel], $B124,
  desp.m.ik[mes], "&gt;="&amp;K$1,
  desp.m.ik[mes], "&lt;"&amp;EOMONTH(K$1,0)+1
)</f>
        <v>0</v>
      </c>
      <c r="L124" s="186">
        <f ca="1">-SUMIFS(
  desp.m.ik[valor],
  desp.m.ik[variavel], $B124,
  desp.m.ik[mes], "&gt;="&amp;L$1,
  desp.m.ik[mes], "&lt;"&amp;EOMONTH(L$1,0)+1
)</f>
        <v>0</v>
      </c>
      <c r="M124" s="186">
        <f ca="1">-SUMIFS(
  desp.m.ik[valor],
  desp.m.ik[variavel], $B124,
  desp.m.ik[mes], "&gt;="&amp;M$1,
  desp.m.ik[mes], "&lt;"&amp;EOMONTH(M$1,0)+1
)</f>
        <v>0</v>
      </c>
      <c r="N124" s="186">
        <f ca="1">-SUMIFS(
  desp.m.ik[valor],
  desp.m.ik[variavel], $B124,
  desp.m.ik[mes], "&gt;="&amp;N$1,
  desp.m.ik[mes], "&lt;"&amp;EOMONTH(N$1,0)+1
)</f>
        <v>0</v>
      </c>
      <c r="O124" s="186">
        <f ca="1">-SUMIFS(
  desp.m.ik[valor],
  desp.m.ik[variavel], $B124,
  desp.m.ik[mes], "&gt;="&amp;O$1,
  desp.m.ik[mes], "&lt;"&amp;EOMONTH(O$1,0)+1
)</f>
        <v>0</v>
      </c>
      <c r="P124" s="186">
        <f ca="1">-SUMIFS(
  desp.m.ik[valor],
  desp.m.ik[variavel], $B124,
  desp.m.ik[mes], "&gt;="&amp;P$1,
  desp.m.ik[mes], "&lt;"&amp;EOMONTH(P$1,0)+1
)</f>
        <v>0</v>
      </c>
      <c r="Q124" s="186">
        <f ca="1">-SUMIFS(
  desp.m.ik[valor],
  desp.m.ik[variavel], $B124,
  desp.m.ik[mes], "&gt;="&amp;Q$1,
  desp.m.ik[mes], "&lt;"&amp;EOMONTH(Q$1,0)+1
)</f>
        <v>0</v>
      </c>
      <c r="R124" s="186">
        <f ca="1">-SUMIFS(
  desp.m.ik[valor],
  desp.m.ik[variavel], $B124,
  desp.m.ik[mes], "&gt;="&amp;R$1,
  desp.m.ik[mes], "&lt;"&amp;EOMONTH(R$1,0)+1
)</f>
        <v>0</v>
      </c>
      <c r="S124" s="186">
        <f ca="1">-SUMIFS(
  desp.m.ik[valor],
  desp.m.ik[variavel], $B124,
  desp.m.ik[mes], "&gt;="&amp;S$1,
  desp.m.ik[mes], "&lt;"&amp;EOMONTH(S$1,0)+1
)</f>
        <v>0</v>
      </c>
      <c r="T124" s="186">
        <f ca="1">-SUMIFS(
  desp.m.ik[valor],
  desp.m.ik[variavel], $B124,
  desp.m.ik[mes], "&gt;="&amp;T$1,
  desp.m.ik[mes], "&lt;"&amp;EOMONTH(T$1,0)+1
)</f>
        <v>0</v>
      </c>
      <c r="U124" s="186">
        <f ca="1">-SUMIFS(
  desp.m.ik[valor],
  desp.m.ik[variavel], $B124,
  desp.m.ik[mes], "&gt;="&amp;U$1,
  desp.m.ik[mes], "&lt;"&amp;EOMONTH(U$1,0)+1
)</f>
        <v>0</v>
      </c>
      <c r="V124" s="186">
        <f ca="1">-SUMIFS(
  desp.m.ik[valor],
  desp.m.ik[variavel], $B124,
  desp.m.ik[mes], "&gt;="&amp;V$1,
  desp.m.ik[mes], "&lt;"&amp;EOMONTH(V$1,0)+1
)</f>
        <v>0</v>
      </c>
      <c r="W124" s="186">
        <f ca="1">-SUMIFS(
  desp.m.ik[valor],
  desp.m.ik[variavel], $B124,
  desp.m.ik[mes], "&gt;="&amp;W$1,
  desp.m.ik[mes], "&lt;"&amp;EOMONTH(W$1,0)+1
)</f>
        <v>0</v>
      </c>
      <c r="X124" s="186">
        <f ca="1">-SUMIFS(
  desp.m.ik[valor],
  desp.m.ik[variavel], $B124,
  desp.m.ik[mes], "&gt;="&amp;X$1,
  desp.m.ik[mes], "&lt;"&amp;EOMONTH(X$1,0)+1
)</f>
        <v>0</v>
      </c>
      <c r="Y124" s="186">
        <f ca="1">-SUMIFS(
  desp.m.ik[valor],
  desp.m.ik[variavel], $B124,
  desp.m.ik[mes], "&gt;="&amp;Y$1,
  desp.m.ik[mes], "&lt;"&amp;EOMONTH(Y$1,0)+1
)</f>
        <v>0</v>
      </c>
      <c r="Z124" s="186">
        <f ca="1">-SUMIFS(
  desp.m.ik[valor],
  desp.m.ik[variavel], $B124,
  desp.m.ik[mes], "&gt;="&amp;Z$1,
  desp.m.ik[mes], "&lt;"&amp;EOMONTH(Z$1,0)+1
)</f>
        <v>0</v>
      </c>
      <c r="AA124" s="186">
        <f ca="1">-SUMIFS(
  desp.m.ik[valor],
  desp.m.ik[variavel], $B124,
  desp.m.ik[mes], "&gt;="&amp;AA$1,
  desp.m.ik[mes], "&lt;"&amp;EOMONTH(AA$1,0)+1
)</f>
        <v>0</v>
      </c>
      <c r="AC124" s="178">
        <f t="shared" ca="1" si="17"/>
        <v>0</v>
      </c>
      <c r="AE124" s="178">
        <f t="shared" ca="1" si="28"/>
        <v>0</v>
      </c>
    </row>
    <row r="125" spans="1:31" hidden="1" outlineLevel="2" x14ac:dyDescent="0.25">
      <c r="A125" s="185" t="s">
        <v>1156</v>
      </c>
      <c r="B125" s="196" t="s">
        <v>728</v>
      </c>
      <c r="C125" s="138" t="s">
        <v>514</v>
      </c>
      <c r="D125" s="186">
        <f ca="1">-SUMIFS(
  desp.m.ik[valor],
  desp.m.ik[variavel], $B125,
  desp.m.ik[mes], "&gt;="&amp;D$1,
  desp.m.ik[mes], "&lt;"&amp;EOMONTH(D$1,0)+1
)</f>
        <v>0</v>
      </c>
      <c r="E125" s="186">
        <f ca="1">-SUMIFS(
  desp.m.ik[valor],
  desp.m.ik[variavel], $B125,
  desp.m.ik[mes], "&gt;="&amp;E$1,
  desp.m.ik[mes], "&lt;"&amp;EOMONTH(E$1,0)+1
)</f>
        <v>0</v>
      </c>
      <c r="F125" s="186">
        <f ca="1">-SUMIFS(
  desp.m.ik[valor],
  desp.m.ik[variavel], $B125,
  desp.m.ik[mes], "&gt;="&amp;F$1,
  desp.m.ik[mes], "&lt;"&amp;EOMONTH(F$1,0)+1
)</f>
        <v>0</v>
      </c>
      <c r="G125" s="186">
        <f ca="1">-SUMIFS(
  desp.m.ik[valor],
  desp.m.ik[variavel], $B125,
  desp.m.ik[mes], "&gt;="&amp;G$1,
  desp.m.ik[mes], "&lt;"&amp;EOMONTH(G$1,0)+1
)</f>
        <v>0</v>
      </c>
      <c r="H125" s="186">
        <f ca="1">-SUMIFS(
  desp.m.ik[valor],
  desp.m.ik[variavel], $B125,
  desp.m.ik[mes], "&gt;="&amp;H$1,
  desp.m.ik[mes], "&lt;"&amp;EOMONTH(H$1,0)+1
)</f>
        <v>0</v>
      </c>
      <c r="I125" s="186">
        <f ca="1">-SUMIFS(
  desp.m.ik[valor],
  desp.m.ik[variavel], $B125,
  desp.m.ik[mes], "&gt;="&amp;I$1,
  desp.m.ik[mes], "&lt;"&amp;EOMONTH(I$1,0)+1
)</f>
        <v>0</v>
      </c>
      <c r="J125" s="186">
        <f ca="1">-SUMIFS(
  desp.m.ik[valor],
  desp.m.ik[variavel], $B125,
  desp.m.ik[mes], "&gt;="&amp;J$1,
  desp.m.ik[mes], "&lt;"&amp;EOMONTH(J$1,0)+1
)</f>
        <v>0</v>
      </c>
      <c r="K125" s="186">
        <f ca="1">-SUMIFS(
  desp.m.ik[valor],
  desp.m.ik[variavel], $B125,
  desp.m.ik[mes], "&gt;="&amp;K$1,
  desp.m.ik[mes], "&lt;"&amp;EOMONTH(K$1,0)+1
)</f>
        <v>0</v>
      </c>
      <c r="L125" s="186">
        <f ca="1">-SUMIFS(
  desp.m.ik[valor],
  desp.m.ik[variavel], $B125,
  desp.m.ik[mes], "&gt;="&amp;L$1,
  desp.m.ik[mes], "&lt;"&amp;EOMONTH(L$1,0)+1
)</f>
        <v>0</v>
      </c>
      <c r="M125" s="186">
        <f ca="1">-SUMIFS(
  desp.m.ik[valor],
  desp.m.ik[variavel], $B125,
  desp.m.ik[mes], "&gt;="&amp;M$1,
  desp.m.ik[mes], "&lt;"&amp;EOMONTH(M$1,0)+1
)</f>
        <v>0</v>
      </c>
      <c r="N125" s="186">
        <f ca="1">-SUMIFS(
  desp.m.ik[valor],
  desp.m.ik[variavel], $B125,
  desp.m.ik[mes], "&gt;="&amp;N$1,
  desp.m.ik[mes], "&lt;"&amp;EOMONTH(N$1,0)+1
)</f>
        <v>0</v>
      </c>
      <c r="O125" s="186">
        <f ca="1">-SUMIFS(
  desp.m.ik[valor],
  desp.m.ik[variavel], $B125,
  desp.m.ik[mes], "&gt;="&amp;O$1,
  desp.m.ik[mes], "&lt;"&amp;EOMONTH(O$1,0)+1
)</f>
        <v>0</v>
      </c>
      <c r="P125" s="186">
        <f ca="1">-SUMIFS(
  desp.m.ik[valor],
  desp.m.ik[variavel], $B125,
  desp.m.ik[mes], "&gt;="&amp;P$1,
  desp.m.ik[mes], "&lt;"&amp;EOMONTH(P$1,0)+1
)</f>
        <v>0</v>
      </c>
      <c r="Q125" s="186">
        <f ca="1">-SUMIFS(
  desp.m.ik[valor],
  desp.m.ik[variavel], $B125,
  desp.m.ik[mes], "&gt;="&amp;Q$1,
  desp.m.ik[mes], "&lt;"&amp;EOMONTH(Q$1,0)+1
)</f>
        <v>0</v>
      </c>
      <c r="R125" s="186">
        <f ca="1">-SUMIFS(
  desp.m.ik[valor],
  desp.m.ik[variavel], $B125,
  desp.m.ik[mes], "&gt;="&amp;R$1,
  desp.m.ik[mes], "&lt;"&amp;EOMONTH(R$1,0)+1
)</f>
        <v>0</v>
      </c>
      <c r="S125" s="186">
        <f ca="1">-SUMIFS(
  desp.m.ik[valor],
  desp.m.ik[variavel], $B125,
  desp.m.ik[mes], "&gt;="&amp;S$1,
  desp.m.ik[mes], "&lt;"&amp;EOMONTH(S$1,0)+1
)</f>
        <v>0</v>
      </c>
      <c r="T125" s="186">
        <f ca="1">-SUMIFS(
  desp.m.ik[valor],
  desp.m.ik[variavel], $B125,
  desp.m.ik[mes], "&gt;="&amp;T$1,
  desp.m.ik[mes], "&lt;"&amp;EOMONTH(T$1,0)+1
)</f>
        <v>0</v>
      </c>
      <c r="U125" s="186">
        <f ca="1">-SUMIFS(
  desp.m.ik[valor],
  desp.m.ik[variavel], $B125,
  desp.m.ik[mes], "&gt;="&amp;U$1,
  desp.m.ik[mes], "&lt;"&amp;EOMONTH(U$1,0)+1
)</f>
        <v>0</v>
      </c>
      <c r="V125" s="186">
        <f ca="1">-SUMIFS(
  desp.m.ik[valor],
  desp.m.ik[variavel], $B125,
  desp.m.ik[mes], "&gt;="&amp;V$1,
  desp.m.ik[mes], "&lt;"&amp;EOMONTH(V$1,0)+1
)</f>
        <v>0</v>
      </c>
      <c r="W125" s="186">
        <f ca="1">-SUMIFS(
  desp.m.ik[valor],
  desp.m.ik[variavel], $B125,
  desp.m.ik[mes], "&gt;="&amp;W$1,
  desp.m.ik[mes], "&lt;"&amp;EOMONTH(W$1,0)+1
)</f>
        <v>0</v>
      </c>
      <c r="X125" s="186">
        <f ca="1">-SUMIFS(
  desp.m.ik[valor],
  desp.m.ik[variavel], $B125,
  desp.m.ik[mes], "&gt;="&amp;X$1,
  desp.m.ik[mes], "&lt;"&amp;EOMONTH(X$1,0)+1
)</f>
        <v>0</v>
      </c>
      <c r="Y125" s="186">
        <f ca="1">-SUMIFS(
  desp.m.ik[valor],
  desp.m.ik[variavel], $B125,
  desp.m.ik[mes], "&gt;="&amp;Y$1,
  desp.m.ik[mes], "&lt;"&amp;EOMONTH(Y$1,0)+1
)</f>
        <v>0</v>
      </c>
      <c r="Z125" s="186">
        <f ca="1">-SUMIFS(
  desp.m.ik[valor],
  desp.m.ik[variavel], $B125,
  desp.m.ik[mes], "&gt;="&amp;Z$1,
  desp.m.ik[mes], "&lt;"&amp;EOMONTH(Z$1,0)+1
)</f>
        <v>0</v>
      </c>
      <c r="AA125" s="186">
        <f ca="1">-SUMIFS(
  desp.m.ik[valor],
  desp.m.ik[variavel], $B125,
  desp.m.ik[mes], "&gt;="&amp;AA$1,
  desp.m.ik[mes], "&lt;"&amp;EOMONTH(AA$1,0)+1
)</f>
        <v>0</v>
      </c>
      <c r="AC125" s="178">
        <f t="shared" ca="1" si="17"/>
        <v>0</v>
      </c>
      <c r="AE125" s="178">
        <f t="shared" ca="1" si="28"/>
        <v>0</v>
      </c>
    </row>
    <row r="126" spans="1:31" hidden="1" outlineLevel="1" x14ac:dyDescent="0.25">
      <c r="A126" s="182" t="s">
        <v>567</v>
      </c>
      <c r="B126" s="182" t="s">
        <v>340</v>
      </c>
      <c r="C126" s="183" t="s">
        <v>514</v>
      </c>
      <c r="D126" s="184">
        <f t="shared" ref="D126:AA126" ca="1" si="30">SUM(D$127:D$152)</f>
        <v>0</v>
      </c>
      <c r="E126" s="184">
        <f t="shared" ca="1" si="30"/>
        <v>0</v>
      </c>
      <c r="F126" s="184">
        <f t="shared" ca="1" si="30"/>
        <v>0</v>
      </c>
      <c r="G126" s="184">
        <f t="shared" ca="1" si="30"/>
        <v>0</v>
      </c>
      <c r="H126" s="184">
        <f t="shared" ca="1" si="30"/>
        <v>0</v>
      </c>
      <c r="I126" s="184">
        <f t="shared" ca="1" si="30"/>
        <v>0</v>
      </c>
      <c r="J126" s="184">
        <f t="shared" ca="1" si="30"/>
        <v>0</v>
      </c>
      <c r="K126" s="184">
        <f t="shared" ca="1" si="30"/>
        <v>0</v>
      </c>
      <c r="L126" s="184">
        <f t="shared" ca="1" si="30"/>
        <v>0</v>
      </c>
      <c r="M126" s="184">
        <f t="shared" ca="1" si="30"/>
        <v>0</v>
      </c>
      <c r="N126" s="184">
        <f t="shared" ca="1" si="30"/>
        <v>0</v>
      </c>
      <c r="O126" s="184">
        <f t="shared" ca="1" si="30"/>
        <v>0</v>
      </c>
      <c r="P126" s="184">
        <f t="shared" ca="1" si="30"/>
        <v>0</v>
      </c>
      <c r="Q126" s="184">
        <f t="shared" ca="1" si="30"/>
        <v>0</v>
      </c>
      <c r="R126" s="184">
        <f t="shared" ca="1" si="30"/>
        <v>0</v>
      </c>
      <c r="S126" s="184">
        <f t="shared" ca="1" si="30"/>
        <v>0</v>
      </c>
      <c r="T126" s="184">
        <f t="shared" ca="1" si="30"/>
        <v>0</v>
      </c>
      <c r="U126" s="184">
        <f t="shared" ca="1" si="30"/>
        <v>0</v>
      </c>
      <c r="V126" s="184">
        <f t="shared" ca="1" si="30"/>
        <v>0</v>
      </c>
      <c r="W126" s="184">
        <f t="shared" ca="1" si="30"/>
        <v>0</v>
      </c>
      <c r="X126" s="184">
        <f t="shared" ca="1" si="30"/>
        <v>0</v>
      </c>
      <c r="Y126" s="184">
        <f t="shared" ca="1" si="30"/>
        <v>0</v>
      </c>
      <c r="Z126" s="184">
        <f t="shared" ca="1" si="30"/>
        <v>0</v>
      </c>
      <c r="AA126" s="184">
        <f t="shared" ca="1" si="30"/>
        <v>0</v>
      </c>
      <c r="AC126" s="280">
        <f t="shared" ca="1" si="17"/>
        <v>0</v>
      </c>
      <c r="AE126" s="280">
        <f t="shared" ca="1" si="19"/>
        <v>0</v>
      </c>
    </row>
    <row r="127" spans="1:31" hidden="1" outlineLevel="2" x14ac:dyDescent="0.25">
      <c r="A127" s="185" t="s">
        <v>1157</v>
      </c>
      <c r="B127" s="185" t="s">
        <v>531</v>
      </c>
      <c r="C127" s="138" t="s">
        <v>514</v>
      </c>
      <c r="D127" s="186">
        <f ca="1">-SUMIFS(
  desp.m.ik[valor],
  desp.m.ik[nucleo], $B127,
  desp.m.ik[variavel], $B$126,
  desp.m.ik[mes], "&gt;="&amp;D$1,
  desp.m.ik[mes], "&lt;"&amp;EOMONTH(D$1,0)+1
)</f>
        <v>0</v>
      </c>
      <c r="E127" s="186">
        <f ca="1">-SUMIFS(
  desp.m.ik[valor],
  desp.m.ik[nucleo], $B127,
  desp.m.ik[variavel], $B$126,
  desp.m.ik[mes], "&gt;="&amp;E$1,
  desp.m.ik[mes], "&lt;"&amp;EOMONTH(E$1,0)+1
)</f>
        <v>0</v>
      </c>
      <c r="F127" s="186">
        <f ca="1">-SUMIFS(
  desp.m.ik[valor],
  desp.m.ik[nucleo], $B127,
  desp.m.ik[variavel], $B$126,
  desp.m.ik[mes], "&gt;="&amp;F$1,
  desp.m.ik[mes], "&lt;"&amp;EOMONTH(F$1,0)+1
)</f>
        <v>0</v>
      </c>
      <c r="G127" s="186">
        <f ca="1">-SUMIFS(
  desp.m.ik[valor],
  desp.m.ik[nucleo], $B127,
  desp.m.ik[variavel], $B$126,
  desp.m.ik[mes], "&gt;="&amp;G$1,
  desp.m.ik[mes], "&lt;"&amp;EOMONTH(G$1,0)+1
)</f>
        <v>0</v>
      </c>
      <c r="H127" s="186">
        <f ca="1">-SUMIFS(
  desp.m.ik[valor],
  desp.m.ik[nucleo], $B127,
  desp.m.ik[variavel], $B$126,
  desp.m.ik[mes], "&gt;="&amp;H$1,
  desp.m.ik[mes], "&lt;"&amp;EOMONTH(H$1,0)+1
)</f>
        <v>0</v>
      </c>
      <c r="I127" s="186">
        <f ca="1">-SUMIFS(
  desp.m.ik[valor],
  desp.m.ik[nucleo], $B127,
  desp.m.ik[variavel], $B$126,
  desp.m.ik[mes], "&gt;="&amp;I$1,
  desp.m.ik[mes], "&lt;"&amp;EOMONTH(I$1,0)+1
)</f>
        <v>0</v>
      </c>
      <c r="J127" s="186">
        <f ca="1">-SUMIFS(
  desp.m.ik[valor],
  desp.m.ik[nucleo], $B127,
  desp.m.ik[variavel], $B$126,
  desp.m.ik[mes], "&gt;="&amp;J$1,
  desp.m.ik[mes], "&lt;"&amp;EOMONTH(J$1,0)+1
)</f>
        <v>0</v>
      </c>
      <c r="K127" s="186">
        <f ca="1">-SUMIFS(
  desp.m.ik[valor],
  desp.m.ik[nucleo], $B127,
  desp.m.ik[variavel], $B$126,
  desp.m.ik[mes], "&gt;="&amp;K$1,
  desp.m.ik[mes], "&lt;"&amp;EOMONTH(K$1,0)+1
)</f>
        <v>0</v>
      </c>
      <c r="L127" s="186">
        <f ca="1">-SUMIFS(
  desp.m.ik[valor],
  desp.m.ik[nucleo], $B127,
  desp.m.ik[variavel], $B$126,
  desp.m.ik[mes], "&gt;="&amp;L$1,
  desp.m.ik[mes], "&lt;"&amp;EOMONTH(L$1,0)+1
)</f>
        <v>0</v>
      </c>
      <c r="M127" s="186">
        <f ca="1">-SUMIFS(
  desp.m.ik[valor],
  desp.m.ik[nucleo], $B127,
  desp.m.ik[variavel], $B$126,
  desp.m.ik[mes], "&gt;="&amp;M$1,
  desp.m.ik[mes], "&lt;"&amp;EOMONTH(M$1,0)+1
)</f>
        <v>0</v>
      </c>
      <c r="N127" s="186">
        <f ca="1">-SUMIFS(
  desp.m.ik[valor],
  desp.m.ik[nucleo], $B127,
  desp.m.ik[variavel], $B$126,
  desp.m.ik[mes], "&gt;="&amp;N$1,
  desp.m.ik[mes], "&lt;"&amp;EOMONTH(N$1,0)+1
)</f>
        <v>0</v>
      </c>
      <c r="O127" s="186">
        <f ca="1">-SUMIFS(
  desp.m.ik[valor],
  desp.m.ik[nucleo], $B127,
  desp.m.ik[variavel], $B$126,
  desp.m.ik[mes], "&gt;="&amp;O$1,
  desp.m.ik[mes], "&lt;"&amp;EOMONTH(O$1,0)+1
)</f>
        <v>0</v>
      </c>
      <c r="P127" s="186">
        <f ca="1">-SUMIFS(
  desp.m.ik[valor],
  desp.m.ik[nucleo], $B127,
  desp.m.ik[variavel], $B$126,
  desp.m.ik[mes], "&gt;="&amp;P$1,
  desp.m.ik[mes], "&lt;"&amp;EOMONTH(P$1,0)+1
)</f>
        <v>0</v>
      </c>
      <c r="Q127" s="186">
        <f ca="1">-SUMIFS(
  desp.m.ik[valor],
  desp.m.ik[nucleo], $B127,
  desp.m.ik[variavel], $B$126,
  desp.m.ik[mes], "&gt;="&amp;Q$1,
  desp.m.ik[mes], "&lt;"&amp;EOMONTH(Q$1,0)+1
)</f>
        <v>0</v>
      </c>
      <c r="R127" s="186">
        <f ca="1">-SUMIFS(
  desp.m.ik[valor],
  desp.m.ik[nucleo], $B127,
  desp.m.ik[variavel], $B$126,
  desp.m.ik[mes], "&gt;="&amp;R$1,
  desp.m.ik[mes], "&lt;"&amp;EOMONTH(R$1,0)+1
)</f>
        <v>0</v>
      </c>
      <c r="S127" s="186">
        <f ca="1">-SUMIFS(
  desp.m.ik[valor],
  desp.m.ik[nucleo], $B127,
  desp.m.ik[variavel], $B$126,
  desp.m.ik[mes], "&gt;="&amp;S$1,
  desp.m.ik[mes], "&lt;"&amp;EOMONTH(S$1,0)+1
)</f>
        <v>0</v>
      </c>
      <c r="T127" s="186">
        <f ca="1">-SUMIFS(
  desp.m.ik[valor],
  desp.m.ik[nucleo], $B127,
  desp.m.ik[variavel], $B$126,
  desp.m.ik[mes], "&gt;="&amp;T$1,
  desp.m.ik[mes], "&lt;"&amp;EOMONTH(T$1,0)+1
)</f>
        <v>0</v>
      </c>
      <c r="U127" s="186">
        <f ca="1">-SUMIFS(
  desp.m.ik[valor],
  desp.m.ik[nucleo], $B127,
  desp.m.ik[variavel], $B$126,
  desp.m.ik[mes], "&gt;="&amp;U$1,
  desp.m.ik[mes], "&lt;"&amp;EOMONTH(U$1,0)+1
)</f>
        <v>0</v>
      </c>
      <c r="V127" s="186">
        <f ca="1">-SUMIFS(
  desp.m.ik[valor],
  desp.m.ik[nucleo], $B127,
  desp.m.ik[variavel], $B$126,
  desp.m.ik[mes], "&gt;="&amp;V$1,
  desp.m.ik[mes], "&lt;"&amp;EOMONTH(V$1,0)+1
)</f>
        <v>0</v>
      </c>
      <c r="W127" s="186">
        <f ca="1">-SUMIFS(
  desp.m.ik[valor],
  desp.m.ik[nucleo], $B127,
  desp.m.ik[variavel], $B$126,
  desp.m.ik[mes], "&gt;="&amp;W$1,
  desp.m.ik[mes], "&lt;"&amp;EOMONTH(W$1,0)+1
)</f>
        <v>0</v>
      </c>
      <c r="X127" s="186">
        <f ca="1">-SUMIFS(
  desp.m.ik[valor],
  desp.m.ik[nucleo], $B127,
  desp.m.ik[variavel], $B$126,
  desp.m.ik[mes], "&gt;="&amp;X$1,
  desp.m.ik[mes], "&lt;"&amp;EOMONTH(X$1,0)+1
)</f>
        <v>0</v>
      </c>
      <c r="Y127" s="186">
        <f ca="1">-SUMIFS(
  desp.m.ik[valor],
  desp.m.ik[nucleo], $B127,
  desp.m.ik[variavel], $B$126,
  desp.m.ik[mes], "&gt;="&amp;Y$1,
  desp.m.ik[mes], "&lt;"&amp;EOMONTH(Y$1,0)+1
)</f>
        <v>0</v>
      </c>
      <c r="Z127" s="186">
        <f ca="1">-SUMIFS(
  desp.m.ik[valor],
  desp.m.ik[nucleo], $B127,
  desp.m.ik[variavel], $B$126,
  desp.m.ik[mes], "&gt;="&amp;Z$1,
  desp.m.ik[mes], "&lt;"&amp;EOMONTH(Z$1,0)+1
)</f>
        <v>0</v>
      </c>
      <c r="AA127" s="186">
        <f ca="1">-SUMIFS(
  desp.m.ik[valor],
  desp.m.ik[nucleo], $B127,
  desp.m.ik[variavel], $B$126,
  desp.m.ik[mes], "&gt;="&amp;AA$1,
  desp.m.ik[mes], "&lt;"&amp;EOMONTH(AA$1,0)+1
)</f>
        <v>0</v>
      </c>
      <c r="AC127" s="178">
        <f t="shared" ca="1" si="17"/>
        <v>0</v>
      </c>
      <c r="AE127" s="178">
        <f t="shared" ca="1" si="19"/>
        <v>0</v>
      </c>
    </row>
    <row r="128" spans="1:31" hidden="1" outlineLevel="2" x14ac:dyDescent="0.25">
      <c r="A128" s="185" t="s">
        <v>1158</v>
      </c>
      <c r="B128" s="185" t="s">
        <v>546</v>
      </c>
      <c r="C128" s="138" t="s">
        <v>514</v>
      </c>
      <c r="D128" s="186">
        <f ca="1">-SUMIFS(
  desp.m.ik[valor],
  desp.m.ik[nucleo], $B128,
  desp.m.ik[variavel], $B$126,
  desp.m.ik[mes], "&gt;="&amp;D$1,
  desp.m.ik[mes], "&lt;"&amp;EOMONTH(D$1,0)+1
)</f>
        <v>0</v>
      </c>
      <c r="E128" s="186">
        <f ca="1">-SUMIFS(
  desp.m.ik[valor],
  desp.m.ik[nucleo], $B128,
  desp.m.ik[variavel], $B$126,
  desp.m.ik[mes], "&gt;="&amp;E$1,
  desp.m.ik[mes], "&lt;"&amp;EOMONTH(E$1,0)+1
)</f>
        <v>0</v>
      </c>
      <c r="F128" s="186">
        <f ca="1">-SUMIFS(
  desp.m.ik[valor],
  desp.m.ik[nucleo], $B128,
  desp.m.ik[variavel], $B$126,
  desp.m.ik[mes], "&gt;="&amp;F$1,
  desp.m.ik[mes], "&lt;"&amp;EOMONTH(F$1,0)+1
)</f>
        <v>0</v>
      </c>
      <c r="G128" s="186">
        <f ca="1">-SUMIFS(
  desp.m.ik[valor],
  desp.m.ik[nucleo], $B128,
  desp.m.ik[variavel], $B$126,
  desp.m.ik[mes], "&gt;="&amp;G$1,
  desp.m.ik[mes], "&lt;"&amp;EOMONTH(G$1,0)+1
)</f>
        <v>0</v>
      </c>
      <c r="H128" s="186">
        <f ca="1">-SUMIFS(
  desp.m.ik[valor],
  desp.m.ik[nucleo], $B128,
  desp.m.ik[variavel], $B$126,
  desp.m.ik[mes], "&gt;="&amp;H$1,
  desp.m.ik[mes], "&lt;"&amp;EOMONTH(H$1,0)+1
)</f>
        <v>0</v>
      </c>
      <c r="I128" s="186">
        <f ca="1">-SUMIFS(
  desp.m.ik[valor],
  desp.m.ik[nucleo], $B128,
  desp.m.ik[variavel], $B$126,
  desp.m.ik[mes], "&gt;="&amp;I$1,
  desp.m.ik[mes], "&lt;"&amp;EOMONTH(I$1,0)+1
)</f>
        <v>0</v>
      </c>
      <c r="J128" s="186">
        <f ca="1">-SUMIFS(
  desp.m.ik[valor],
  desp.m.ik[nucleo], $B128,
  desp.m.ik[variavel], $B$126,
  desp.m.ik[mes], "&gt;="&amp;J$1,
  desp.m.ik[mes], "&lt;"&amp;EOMONTH(J$1,0)+1
)</f>
        <v>0</v>
      </c>
      <c r="K128" s="186">
        <f ca="1">-SUMIFS(
  desp.m.ik[valor],
  desp.m.ik[nucleo], $B128,
  desp.m.ik[variavel], $B$126,
  desp.m.ik[mes], "&gt;="&amp;K$1,
  desp.m.ik[mes], "&lt;"&amp;EOMONTH(K$1,0)+1
)</f>
        <v>0</v>
      </c>
      <c r="L128" s="186">
        <f ca="1">-SUMIFS(
  desp.m.ik[valor],
  desp.m.ik[nucleo], $B128,
  desp.m.ik[variavel], $B$126,
  desp.m.ik[mes], "&gt;="&amp;L$1,
  desp.m.ik[mes], "&lt;"&amp;EOMONTH(L$1,0)+1
)</f>
        <v>0</v>
      </c>
      <c r="M128" s="186">
        <f ca="1">-SUMIFS(
  desp.m.ik[valor],
  desp.m.ik[nucleo], $B128,
  desp.m.ik[variavel], $B$126,
  desp.m.ik[mes], "&gt;="&amp;M$1,
  desp.m.ik[mes], "&lt;"&amp;EOMONTH(M$1,0)+1
)</f>
        <v>0</v>
      </c>
      <c r="N128" s="186">
        <f ca="1">-SUMIFS(
  desp.m.ik[valor],
  desp.m.ik[nucleo], $B128,
  desp.m.ik[variavel], $B$126,
  desp.m.ik[mes], "&gt;="&amp;N$1,
  desp.m.ik[mes], "&lt;"&amp;EOMONTH(N$1,0)+1
)</f>
        <v>0</v>
      </c>
      <c r="O128" s="186">
        <f ca="1">-SUMIFS(
  desp.m.ik[valor],
  desp.m.ik[nucleo], $B128,
  desp.m.ik[variavel], $B$126,
  desp.m.ik[mes], "&gt;="&amp;O$1,
  desp.m.ik[mes], "&lt;"&amp;EOMONTH(O$1,0)+1
)</f>
        <v>0</v>
      </c>
      <c r="P128" s="186">
        <f ca="1">-SUMIFS(
  desp.m.ik[valor],
  desp.m.ik[nucleo], $B128,
  desp.m.ik[variavel], $B$126,
  desp.m.ik[mes], "&gt;="&amp;P$1,
  desp.m.ik[mes], "&lt;"&amp;EOMONTH(P$1,0)+1
)</f>
        <v>0</v>
      </c>
      <c r="Q128" s="186">
        <f ca="1">-SUMIFS(
  desp.m.ik[valor],
  desp.m.ik[nucleo], $B128,
  desp.m.ik[variavel], $B$126,
  desp.m.ik[mes], "&gt;="&amp;Q$1,
  desp.m.ik[mes], "&lt;"&amp;EOMONTH(Q$1,0)+1
)</f>
        <v>0</v>
      </c>
      <c r="R128" s="186">
        <f ca="1">-SUMIFS(
  desp.m.ik[valor],
  desp.m.ik[nucleo], $B128,
  desp.m.ik[variavel], $B$126,
  desp.m.ik[mes], "&gt;="&amp;R$1,
  desp.m.ik[mes], "&lt;"&amp;EOMONTH(R$1,0)+1
)</f>
        <v>0</v>
      </c>
      <c r="S128" s="186">
        <f ca="1">-SUMIFS(
  desp.m.ik[valor],
  desp.m.ik[nucleo], $B128,
  desp.m.ik[variavel], $B$126,
  desp.m.ik[mes], "&gt;="&amp;S$1,
  desp.m.ik[mes], "&lt;"&amp;EOMONTH(S$1,0)+1
)</f>
        <v>0</v>
      </c>
      <c r="T128" s="186">
        <f ca="1">-SUMIFS(
  desp.m.ik[valor],
  desp.m.ik[nucleo], $B128,
  desp.m.ik[variavel], $B$126,
  desp.m.ik[mes], "&gt;="&amp;T$1,
  desp.m.ik[mes], "&lt;"&amp;EOMONTH(T$1,0)+1
)</f>
        <v>0</v>
      </c>
      <c r="U128" s="186">
        <f ca="1">-SUMIFS(
  desp.m.ik[valor],
  desp.m.ik[nucleo], $B128,
  desp.m.ik[variavel], $B$126,
  desp.m.ik[mes], "&gt;="&amp;U$1,
  desp.m.ik[mes], "&lt;"&amp;EOMONTH(U$1,0)+1
)</f>
        <v>0</v>
      </c>
      <c r="V128" s="186">
        <f ca="1">-SUMIFS(
  desp.m.ik[valor],
  desp.m.ik[nucleo], $B128,
  desp.m.ik[variavel], $B$126,
  desp.m.ik[mes], "&gt;="&amp;V$1,
  desp.m.ik[mes], "&lt;"&amp;EOMONTH(V$1,0)+1
)</f>
        <v>0</v>
      </c>
      <c r="W128" s="186">
        <f ca="1">-SUMIFS(
  desp.m.ik[valor],
  desp.m.ik[nucleo], $B128,
  desp.m.ik[variavel], $B$126,
  desp.m.ik[mes], "&gt;="&amp;W$1,
  desp.m.ik[mes], "&lt;"&amp;EOMONTH(W$1,0)+1
)</f>
        <v>0</v>
      </c>
      <c r="X128" s="186">
        <f ca="1">-SUMIFS(
  desp.m.ik[valor],
  desp.m.ik[nucleo], $B128,
  desp.m.ik[variavel], $B$126,
  desp.m.ik[mes], "&gt;="&amp;X$1,
  desp.m.ik[mes], "&lt;"&amp;EOMONTH(X$1,0)+1
)</f>
        <v>0</v>
      </c>
      <c r="Y128" s="186">
        <f ca="1">-SUMIFS(
  desp.m.ik[valor],
  desp.m.ik[nucleo], $B128,
  desp.m.ik[variavel], $B$126,
  desp.m.ik[mes], "&gt;="&amp;Y$1,
  desp.m.ik[mes], "&lt;"&amp;EOMONTH(Y$1,0)+1
)</f>
        <v>0</v>
      </c>
      <c r="Z128" s="186">
        <f ca="1">-SUMIFS(
  desp.m.ik[valor],
  desp.m.ik[nucleo], $B128,
  desp.m.ik[variavel], $B$126,
  desp.m.ik[mes], "&gt;="&amp;Z$1,
  desp.m.ik[mes], "&lt;"&amp;EOMONTH(Z$1,0)+1
)</f>
        <v>0</v>
      </c>
      <c r="AA128" s="186">
        <f ca="1">-SUMIFS(
  desp.m.ik[valor],
  desp.m.ik[nucleo], $B128,
  desp.m.ik[variavel], $B$126,
  desp.m.ik[mes], "&gt;="&amp;AA$1,
  desp.m.ik[mes], "&lt;"&amp;EOMONTH(AA$1,0)+1
)</f>
        <v>0</v>
      </c>
      <c r="AC128" s="178">
        <f t="shared" ca="1" si="17"/>
        <v>0</v>
      </c>
      <c r="AE128" s="178">
        <f t="shared" ca="1" si="19"/>
        <v>0</v>
      </c>
    </row>
    <row r="129" spans="1:31" hidden="1" outlineLevel="2" x14ac:dyDescent="0.25">
      <c r="A129" s="185" t="s">
        <v>1159</v>
      </c>
      <c r="B129" s="185" t="s">
        <v>539</v>
      </c>
      <c r="C129" s="138" t="s">
        <v>514</v>
      </c>
      <c r="D129" s="186">
        <f ca="1">-SUMIFS(
  desp.m.ik[valor],
  desp.m.ik[nucleo], $B129,
  desp.m.ik[variavel], $B$126,
  desp.m.ik[mes], "&gt;="&amp;D$1,
  desp.m.ik[mes], "&lt;"&amp;EOMONTH(D$1,0)+1
)</f>
        <v>0</v>
      </c>
      <c r="E129" s="186">
        <f ca="1">-SUMIFS(
  desp.m.ik[valor],
  desp.m.ik[nucleo], $B129,
  desp.m.ik[variavel], $B$126,
  desp.m.ik[mes], "&gt;="&amp;E$1,
  desp.m.ik[mes], "&lt;"&amp;EOMONTH(E$1,0)+1
)</f>
        <v>0</v>
      </c>
      <c r="F129" s="186">
        <f ca="1">-SUMIFS(
  desp.m.ik[valor],
  desp.m.ik[nucleo], $B129,
  desp.m.ik[variavel], $B$126,
  desp.m.ik[mes], "&gt;="&amp;F$1,
  desp.m.ik[mes], "&lt;"&amp;EOMONTH(F$1,0)+1
)</f>
        <v>0</v>
      </c>
      <c r="G129" s="186">
        <f ca="1">-SUMIFS(
  desp.m.ik[valor],
  desp.m.ik[nucleo], $B129,
  desp.m.ik[variavel], $B$126,
  desp.m.ik[mes], "&gt;="&amp;G$1,
  desp.m.ik[mes], "&lt;"&amp;EOMONTH(G$1,0)+1
)</f>
        <v>0</v>
      </c>
      <c r="H129" s="186">
        <f ca="1">-SUMIFS(
  desp.m.ik[valor],
  desp.m.ik[nucleo], $B129,
  desp.m.ik[variavel], $B$126,
  desp.m.ik[mes], "&gt;="&amp;H$1,
  desp.m.ik[mes], "&lt;"&amp;EOMONTH(H$1,0)+1
)</f>
        <v>0</v>
      </c>
      <c r="I129" s="186">
        <f ca="1">-SUMIFS(
  desp.m.ik[valor],
  desp.m.ik[nucleo], $B129,
  desp.m.ik[variavel], $B$126,
  desp.m.ik[mes], "&gt;="&amp;I$1,
  desp.m.ik[mes], "&lt;"&amp;EOMONTH(I$1,0)+1
)</f>
        <v>0</v>
      </c>
      <c r="J129" s="186">
        <f ca="1">-SUMIFS(
  desp.m.ik[valor],
  desp.m.ik[nucleo], $B129,
  desp.m.ik[variavel], $B$126,
  desp.m.ik[mes], "&gt;="&amp;J$1,
  desp.m.ik[mes], "&lt;"&amp;EOMONTH(J$1,0)+1
)</f>
        <v>0</v>
      </c>
      <c r="K129" s="186">
        <f ca="1">-SUMIFS(
  desp.m.ik[valor],
  desp.m.ik[nucleo], $B129,
  desp.m.ik[variavel], $B$126,
  desp.m.ik[mes], "&gt;="&amp;K$1,
  desp.m.ik[mes], "&lt;"&amp;EOMONTH(K$1,0)+1
)</f>
        <v>0</v>
      </c>
      <c r="L129" s="186">
        <f ca="1">-SUMIFS(
  desp.m.ik[valor],
  desp.m.ik[nucleo], $B129,
  desp.m.ik[variavel], $B$126,
  desp.m.ik[mes], "&gt;="&amp;L$1,
  desp.m.ik[mes], "&lt;"&amp;EOMONTH(L$1,0)+1
)</f>
        <v>0</v>
      </c>
      <c r="M129" s="186">
        <f ca="1">-SUMIFS(
  desp.m.ik[valor],
  desp.m.ik[nucleo], $B129,
  desp.m.ik[variavel], $B$126,
  desp.m.ik[mes], "&gt;="&amp;M$1,
  desp.m.ik[mes], "&lt;"&amp;EOMONTH(M$1,0)+1
)</f>
        <v>0</v>
      </c>
      <c r="N129" s="186">
        <f ca="1">-SUMIFS(
  desp.m.ik[valor],
  desp.m.ik[nucleo], $B129,
  desp.m.ik[variavel], $B$126,
  desp.m.ik[mes], "&gt;="&amp;N$1,
  desp.m.ik[mes], "&lt;"&amp;EOMONTH(N$1,0)+1
)</f>
        <v>0</v>
      </c>
      <c r="O129" s="186">
        <f ca="1">-SUMIFS(
  desp.m.ik[valor],
  desp.m.ik[nucleo], $B129,
  desp.m.ik[variavel], $B$126,
  desp.m.ik[mes], "&gt;="&amp;O$1,
  desp.m.ik[mes], "&lt;"&amp;EOMONTH(O$1,0)+1
)</f>
        <v>0</v>
      </c>
      <c r="P129" s="186">
        <f ca="1">-SUMIFS(
  desp.m.ik[valor],
  desp.m.ik[nucleo], $B129,
  desp.m.ik[variavel], $B$126,
  desp.m.ik[mes], "&gt;="&amp;P$1,
  desp.m.ik[mes], "&lt;"&amp;EOMONTH(P$1,0)+1
)</f>
        <v>0</v>
      </c>
      <c r="Q129" s="186">
        <f ca="1">-SUMIFS(
  desp.m.ik[valor],
  desp.m.ik[nucleo], $B129,
  desp.m.ik[variavel], $B$126,
  desp.m.ik[mes], "&gt;="&amp;Q$1,
  desp.m.ik[mes], "&lt;"&amp;EOMONTH(Q$1,0)+1
)</f>
        <v>0</v>
      </c>
      <c r="R129" s="186">
        <f ca="1">-SUMIFS(
  desp.m.ik[valor],
  desp.m.ik[nucleo], $B129,
  desp.m.ik[variavel], $B$126,
  desp.m.ik[mes], "&gt;="&amp;R$1,
  desp.m.ik[mes], "&lt;"&amp;EOMONTH(R$1,0)+1
)</f>
        <v>0</v>
      </c>
      <c r="S129" s="186">
        <f ca="1">-SUMIFS(
  desp.m.ik[valor],
  desp.m.ik[nucleo], $B129,
  desp.m.ik[variavel], $B$126,
  desp.m.ik[mes], "&gt;="&amp;S$1,
  desp.m.ik[mes], "&lt;"&amp;EOMONTH(S$1,0)+1
)</f>
        <v>0</v>
      </c>
      <c r="T129" s="186">
        <f ca="1">-SUMIFS(
  desp.m.ik[valor],
  desp.m.ik[nucleo], $B129,
  desp.m.ik[variavel], $B$126,
  desp.m.ik[mes], "&gt;="&amp;T$1,
  desp.m.ik[mes], "&lt;"&amp;EOMONTH(T$1,0)+1
)</f>
        <v>0</v>
      </c>
      <c r="U129" s="186">
        <f ca="1">-SUMIFS(
  desp.m.ik[valor],
  desp.m.ik[nucleo], $B129,
  desp.m.ik[variavel], $B$126,
  desp.m.ik[mes], "&gt;="&amp;U$1,
  desp.m.ik[mes], "&lt;"&amp;EOMONTH(U$1,0)+1
)</f>
        <v>0</v>
      </c>
      <c r="V129" s="186">
        <f ca="1">-SUMIFS(
  desp.m.ik[valor],
  desp.m.ik[nucleo], $B129,
  desp.m.ik[variavel], $B$126,
  desp.m.ik[mes], "&gt;="&amp;V$1,
  desp.m.ik[mes], "&lt;"&amp;EOMONTH(V$1,0)+1
)</f>
        <v>0</v>
      </c>
      <c r="W129" s="186">
        <f ca="1">-SUMIFS(
  desp.m.ik[valor],
  desp.m.ik[nucleo], $B129,
  desp.m.ik[variavel], $B$126,
  desp.m.ik[mes], "&gt;="&amp;W$1,
  desp.m.ik[mes], "&lt;"&amp;EOMONTH(W$1,0)+1
)</f>
        <v>0</v>
      </c>
      <c r="X129" s="186">
        <f ca="1">-SUMIFS(
  desp.m.ik[valor],
  desp.m.ik[nucleo], $B129,
  desp.m.ik[variavel], $B$126,
  desp.m.ik[mes], "&gt;="&amp;X$1,
  desp.m.ik[mes], "&lt;"&amp;EOMONTH(X$1,0)+1
)</f>
        <v>0</v>
      </c>
      <c r="Y129" s="186">
        <f ca="1">-SUMIFS(
  desp.m.ik[valor],
  desp.m.ik[nucleo], $B129,
  desp.m.ik[variavel], $B$126,
  desp.m.ik[mes], "&gt;="&amp;Y$1,
  desp.m.ik[mes], "&lt;"&amp;EOMONTH(Y$1,0)+1
)</f>
        <v>0</v>
      </c>
      <c r="Z129" s="186">
        <f ca="1">-SUMIFS(
  desp.m.ik[valor],
  desp.m.ik[nucleo], $B129,
  desp.m.ik[variavel], $B$126,
  desp.m.ik[mes], "&gt;="&amp;Z$1,
  desp.m.ik[mes], "&lt;"&amp;EOMONTH(Z$1,0)+1
)</f>
        <v>0</v>
      </c>
      <c r="AA129" s="186">
        <f ca="1">-SUMIFS(
  desp.m.ik[valor],
  desp.m.ik[nucleo], $B129,
  desp.m.ik[variavel], $B$126,
  desp.m.ik[mes], "&gt;="&amp;AA$1,
  desp.m.ik[mes], "&lt;"&amp;EOMONTH(AA$1,0)+1
)</f>
        <v>0</v>
      </c>
      <c r="AC129" s="178">
        <f t="shared" ca="1" si="17"/>
        <v>0</v>
      </c>
      <c r="AE129" s="178">
        <f t="shared" ca="1" si="19"/>
        <v>0</v>
      </c>
    </row>
    <row r="130" spans="1:31" hidden="1" outlineLevel="2" x14ac:dyDescent="0.25">
      <c r="A130" s="185" t="s">
        <v>568</v>
      </c>
      <c r="B130" s="185" t="s">
        <v>537</v>
      </c>
      <c r="C130" s="138" t="s">
        <v>514</v>
      </c>
      <c r="D130" s="186">
        <f ca="1">-SUMIFS(
  desp.m.ik[valor],
  desp.m.ik[nucleo], $B130,
  desp.m.ik[variavel], $B$126,
  desp.m.ik[mes], "&gt;="&amp;D$1,
  desp.m.ik[mes], "&lt;"&amp;EOMONTH(D$1,0)+1
)</f>
        <v>0</v>
      </c>
      <c r="E130" s="186">
        <f ca="1">-SUMIFS(
  desp.m.ik[valor],
  desp.m.ik[nucleo], $B130,
  desp.m.ik[variavel], $B$126,
  desp.m.ik[mes], "&gt;="&amp;E$1,
  desp.m.ik[mes], "&lt;"&amp;EOMONTH(E$1,0)+1
)</f>
        <v>0</v>
      </c>
      <c r="F130" s="186">
        <f ca="1">-SUMIFS(
  desp.m.ik[valor],
  desp.m.ik[nucleo], $B130,
  desp.m.ik[variavel], $B$126,
  desp.m.ik[mes], "&gt;="&amp;F$1,
  desp.m.ik[mes], "&lt;"&amp;EOMONTH(F$1,0)+1
)</f>
        <v>0</v>
      </c>
      <c r="G130" s="186">
        <f ca="1">-SUMIFS(
  desp.m.ik[valor],
  desp.m.ik[nucleo], $B130,
  desp.m.ik[variavel], $B$126,
  desp.m.ik[mes], "&gt;="&amp;G$1,
  desp.m.ik[mes], "&lt;"&amp;EOMONTH(G$1,0)+1
)</f>
        <v>0</v>
      </c>
      <c r="H130" s="186">
        <f ca="1">-SUMIFS(
  desp.m.ik[valor],
  desp.m.ik[nucleo], $B130,
  desp.m.ik[variavel], $B$126,
  desp.m.ik[mes], "&gt;="&amp;H$1,
  desp.m.ik[mes], "&lt;"&amp;EOMONTH(H$1,0)+1
)</f>
        <v>0</v>
      </c>
      <c r="I130" s="186">
        <f ca="1">-SUMIFS(
  desp.m.ik[valor],
  desp.m.ik[nucleo], $B130,
  desp.m.ik[variavel], $B$126,
  desp.m.ik[mes], "&gt;="&amp;I$1,
  desp.m.ik[mes], "&lt;"&amp;EOMONTH(I$1,0)+1
)</f>
        <v>0</v>
      </c>
      <c r="J130" s="186">
        <f ca="1">-SUMIFS(
  desp.m.ik[valor],
  desp.m.ik[nucleo], $B130,
  desp.m.ik[variavel], $B$126,
  desp.m.ik[mes], "&gt;="&amp;J$1,
  desp.m.ik[mes], "&lt;"&amp;EOMONTH(J$1,0)+1
)</f>
        <v>0</v>
      </c>
      <c r="K130" s="186">
        <f ca="1">-SUMIFS(
  desp.m.ik[valor],
  desp.m.ik[nucleo], $B130,
  desp.m.ik[variavel], $B$126,
  desp.m.ik[mes], "&gt;="&amp;K$1,
  desp.m.ik[mes], "&lt;"&amp;EOMONTH(K$1,0)+1
)</f>
        <v>0</v>
      </c>
      <c r="L130" s="186">
        <f ca="1">-SUMIFS(
  desp.m.ik[valor],
  desp.m.ik[nucleo], $B130,
  desp.m.ik[variavel], $B$126,
  desp.m.ik[mes], "&gt;="&amp;L$1,
  desp.m.ik[mes], "&lt;"&amp;EOMONTH(L$1,0)+1
)</f>
        <v>0</v>
      </c>
      <c r="M130" s="186">
        <f ca="1">-SUMIFS(
  desp.m.ik[valor],
  desp.m.ik[nucleo], $B130,
  desp.m.ik[variavel], $B$126,
  desp.m.ik[mes], "&gt;="&amp;M$1,
  desp.m.ik[mes], "&lt;"&amp;EOMONTH(M$1,0)+1
)</f>
        <v>0</v>
      </c>
      <c r="N130" s="186">
        <f ca="1">-SUMIFS(
  desp.m.ik[valor],
  desp.m.ik[nucleo], $B130,
  desp.m.ik[variavel], $B$126,
  desp.m.ik[mes], "&gt;="&amp;N$1,
  desp.m.ik[mes], "&lt;"&amp;EOMONTH(N$1,0)+1
)</f>
        <v>0</v>
      </c>
      <c r="O130" s="186">
        <f ca="1">-SUMIFS(
  desp.m.ik[valor],
  desp.m.ik[nucleo], $B130,
  desp.m.ik[variavel], $B$126,
  desp.m.ik[mes], "&gt;="&amp;O$1,
  desp.m.ik[mes], "&lt;"&amp;EOMONTH(O$1,0)+1
)</f>
        <v>0</v>
      </c>
      <c r="P130" s="186">
        <f ca="1">-SUMIFS(
  desp.m.ik[valor],
  desp.m.ik[nucleo], $B130,
  desp.m.ik[variavel], $B$126,
  desp.m.ik[mes], "&gt;="&amp;P$1,
  desp.m.ik[mes], "&lt;"&amp;EOMONTH(P$1,0)+1
)</f>
        <v>0</v>
      </c>
      <c r="Q130" s="186">
        <f ca="1">-SUMIFS(
  desp.m.ik[valor],
  desp.m.ik[nucleo], $B130,
  desp.m.ik[variavel], $B$126,
  desp.m.ik[mes], "&gt;="&amp;Q$1,
  desp.m.ik[mes], "&lt;"&amp;EOMONTH(Q$1,0)+1
)</f>
        <v>0</v>
      </c>
      <c r="R130" s="186">
        <f ca="1">-SUMIFS(
  desp.m.ik[valor],
  desp.m.ik[nucleo], $B130,
  desp.m.ik[variavel], $B$126,
  desp.m.ik[mes], "&gt;="&amp;R$1,
  desp.m.ik[mes], "&lt;"&amp;EOMONTH(R$1,0)+1
)</f>
        <v>0</v>
      </c>
      <c r="S130" s="186">
        <f ca="1">-SUMIFS(
  desp.m.ik[valor],
  desp.m.ik[nucleo], $B130,
  desp.m.ik[variavel], $B$126,
  desp.m.ik[mes], "&gt;="&amp;S$1,
  desp.m.ik[mes], "&lt;"&amp;EOMONTH(S$1,0)+1
)</f>
        <v>0</v>
      </c>
      <c r="T130" s="186">
        <f ca="1">-SUMIFS(
  desp.m.ik[valor],
  desp.m.ik[nucleo], $B130,
  desp.m.ik[variavel], $B$126,
  desp.m.ik[mes], "&gt;="&amp;T$1,
  desp.m.ik[mes], "&lt;"&amp;EOMONTH(T$1,0)+1
)</f>
        <v>0</v>
      </c>
      <c r="U130" s="186">
        <f ca="1">-SUMIFS(
  desp.m.ik[valor],
  desp.m.ik[nucleo], $B130,
  desp.m.ik[variavel], $B$126,
  desp.m.ik[mes], "&gt;="&amp;U$1,
  desp.m.ik[mes], "&lt;"&amp;EOMONTH(U$1,0)+1
)</f>
        <v>0</v>
      </c>
      <c r="V130" s="186">
        <f ca="1">-SUMIFS(
  desp.m.ik[valor],
  desp.m.ik[nucleo], $B130,
  desp.m.ik[variavel], $B$126,
  desp.m.ik[mes], "&gt;="&amp;V$1,
  desp.m.ik[mes], "&lt;"&amp;EOMONTH(V$1,0)+1
)</f>
        <v>0</v>
      </c>
      <c r="W130" s="186">
        <f ca="1">-SUMIFS(
  desp.m.ik[valor],
  desp.m.ik[nucleo], $B130,
  desp.m.ik[variavel], $B$126,
  desp.m.ik[mes], "&gt;="&amp;W$1,
  desp.m.ik[mes], "&lt;"&amp;EOMONTH(W$1,0)+1
)</f>
        <v>0</v>
      </c>
      <c r="X130" s="186">
        <f ca="1">-SUMIFS(
  desp.m.ik[valor],
  desp.m.ik[nucleo], $B130,
  desp.m.ik[variavel], $B$126,
  desp.m.ik[mes], "&gt;="&amp;X$1,
  desp.m.ik[mes], "&lt;"&amp;EOMONTH(X$1,0)+1
)</f>
        <v>0</v>
      </c>
      <c r="Y130" s="186">
        <f ca="1">-SUMIFS(
  desp.m.ik[valor],
  desp.m.ik[nucleo], $B130,
  desp.m.ik[variavel], $B$126,
  desp.m.ik[mes], "&gt;="&amp;Y$1,
  desp.m.ik[mes], "&lt;"&amp;EOMONTH(Y$1,0)+1
)</f>
        <v>0</v>
      </c>
      <c r="Z130" s="186">
        <f ca="1">-SUMIFS(
  desp.m.ik[valor],
  desp.m.ik[nucleo], $B130,
  desp.m.ik[variavel], $B$126,
  desp.m.ik[mes], "&gt;="&amp;Z$1,
  desp.m.ik[mes], "&lt;"&amp;EOMONTH(Z$1,0)+1
)</f>
        <v>0</v>
      </c>
      <c r="AA130" s="186">
        <f ca="1">-SUMIFS(
  desp.m.ik[valor],
  desp.m.ik[nucleo], $B130,
  desp.m.ik[variavel], $B$126,
  desp.m.ik[mes], "&gt;="&amp;AA$1,
  desp.m.ik[mes], "&lt;"&amp;EOMONTH(AA$1,0)+1
)</f>
        <v>0</v>
      </c>
      <c r="AC130" s="178">
        <f t="shared" ca="1" si="17"/>
        <v>0</v>
      </c>
      <c r="AE130" s="178">
        <f ca="1">SUM(D130:AA130)</f>
        <v>0</v>
      </c>
    </row>
    <row r="131" spans="1:31" hidden="1" outlineLevel="2" x14ac:dyDescent="0.25">
      <c r="A131" s="185" t="s">
        <v>1160</v>
      </c>
      <c r="B131" s="185" t="s">
        <v>541</v>
      </c>
      <c r="C131" s="138" t="s">
        <v>514</v>
      </c>
      <c r="D131" s="186">
        <f ca="1">-SUMIFS(
  desp.m.ik[valor],
  desp.m.ik[nucleo], $B131,
  desp.m.ik[variavel], $B$126,
  desp.m.ik[mes], "&gt;="&amp;D$1,
  desp.m.ik[mes], "&lt;"&amp;EOMONTH(D$1,0)+1
)</f>
        <v>0</v>
      </c>
      <c r="E131" s="186">
        <f ca="1">-SUMIFS(
  desp.m.ik[valor],
  desp.m.ik[nucleo], $B131,
  desp.m.ik[variavel], $B$126,
  desp.m.ik[mes], "&gt;="&amp;E$1,
  desp.m.ik[mes], "&lt;"&amp;EOMONTH(E$1,0)+1
)</f>
        <v>0</v>
      </c>
      <c r="F131" s="186">
        <f ca="1">-SUMIFS(
  desp.m.ik[valor],
  desp.m.ik[nucleo], $B131,
  desp.m.ik[variavel], $B$126,
  desp.m.ik[mes], "&gt;="&amp;F$1,
  desp.m.ik[mes], "&lt;"&amp;EOMONTH(F$1,0)+1
)</f>
        <v>0</v>
      </c>
      <c r="G131" s="186">
        <f ca="1">-SUMIFS(
  desp.m.ik[valor],
  desp.m.ik[nucleo], $B131,
  desp.m.ik[variavel], $B$126,
  desp.m.ik[mes], "&gt;="&amp;G$1,
  desp.m.ik[mes], "&lt;"&amp;EOMONTH(G$1,0)+1
)</f>
        <v>0</v>
      </c>
      <c r="H131" s="186">
        <f ca="1">-SUMIFS(
  desp.m.ik[valor],
  desp.m.ik[nucleo], $B131,
  desp.m.ik[variavel], $B$126,
  desp.m.ik[mes], "&gt;="&amp;H$1,
  desp.m.ik[mes], "&lt;"&amp;EOMONTH(H$1,0)+1
)</f>
        <v>0</v>
      </c>
      <c r="I131" s="186">
        <f ca="1">-SUMIFS(
  desp.m.ik[valor],
  desp.m.ik[nucleo], $B131,
  desp.m.ik[variavel], $B$126,
  desp.m.ik[mes], "&gt;="&amp;I$1,
  desp.m.ik[mes], "&lt;"&amp;EOMONTH(I$1,0)+1
)</f>
        <v>0</v>
      </c>
      <c r="J131" s="186">
        <f ca="1">-SUMIFS(
  desp.m.ik[valor],
  desp.m.ik[nucleo], $B131,
  desp.m.ik[variavel], $B$126,
  desp.m.ik[mes], "&gt;="&amp;J$1,
  desp.m.ik[mes], "&lt;"&amp;EOMONTH(J$1,0)+1
)</f>
        <v>0</v>
      </c>
      <c r="K131" s="186">
        <f ca="1">-SUMIFS(
  desp.m.ik[valor],
  desp.m.ik[nucleo], $B131,
  desp.m.ik[variavel], $B$126,
  desp.m.ik[mes], "&gt;="&amp;K$1,
  desp.m.ik[mes], "&lt;"&amp;EOMONTH(K$1,0)+1
)</f>
        <v>0</v>
      </c>
      <c r="L131" s="186">
        <f ca="1">-SUMIFS(
  desp.m.ik[valor],
  desp.m.ik[nucleo], $B131,
  desp.m.ik[variavel], $B$126,
  desp.m.ik[mes], "&gt;="&amp;L$1,
  desp.m.ik[mes], "&lt;"&amp;EOMONTH(L$1,0)+1
)</f>
        <v>0</v>
      </c>
      <c r="M131" s="186">
        <f ca="1">-SUMIFS(
  desp.m.ik[valor],
  desp.m.ik[nucleo], $B131,
  desp.m.ik[variavel], $B$126,
  desp.m.ik[mes], "&gt;="&amp;M$1,
  desp.m.ik[mes], "&lt;"&amp;EOMONTH(M$1,0)+1
)</f>
        <v>0</v>
      </c>
      <c r="N131" s="186">
        <f ca="1">-SUMIFS(
  desp.m.ik[valor],
  desp.m.ik[nucleo], $B131,
  desp.m.ik[variavel], $B$126,
  desp.m.ik[mes], "&gt;="&amp;N$1,
  desp.m.ik[mes], "&lt;"&amp;EOMONTH(N$1,0)+1
)</f>
        <v>0</v>
      </c>
      <c r="O131" s="186">
        <f ca="1">-SUMIFS(
  desp.m.ik[valor],
  desp.m.ik[nucleo], $B131,
  desp.m.ik[variavel], $B$126,
  desp.m.ik[mes], "&gt;="&amp;O$1,
  desp.m.ik[mes], "&lt;"&amp;EOMONTH(O$1,0)+1
)</f>
        <v>0</v>
      </c>
      <c r="P131" s="186">
        <f ca="1">-SUMIFS(
  desp.m.ik[valor],
  desp.m.ik[nucleo], $B131,
  desp.m.ik[variavel], $B$126,
  desp.m.ik[mes], "&gt;="&amp;P$1,
  desp.m.ik[mes], "&lt;"&amp;EOMONTH(P$1,0)+1
)</f>
        <v>0</v>
      </c>
      <c r="Q131" s="186">
        <f ca="1">-SUMIFS(
  desp.m.ik[valor],
  desp.m.ik[nucleo], $B131,
  desp.m.ik[variavel], $B$126,
  desp.m.ik[mes], "&gt;="&amp;Q$1,
  desp.m.ik[mes], "&lt;"&amp;EOMONTH(Q$1,0)+1
)</f>
        <v>0</v>
      </c>
      <c r="R131" s="186">
        <f ca="1">-SUMIFS(
  desp.m.ik[valor],
  desp.m.ik[nucleo], $B131,
  desp.m.ik[variavel], $B$126,
  desp.m.ik[mes], "&gt;="&amp;R$1,
  desp.m.ik[mes], "&lt;"&amp;EOMONTH(R$1,0)+1
)</f>
        <v>0</v>
      </c>
      <c r="S131" s="186">
        <f ca="1">-SUMIFS(
  desp.m.ik[valor],
  desp.m.ik[nucleo], $B131,
  desp.m.ik[variavel], $B$126,
  desp.m.ik[mes], "&gt;="&amp;S$1,
  desp.m.ik[mes], "&lt;"&amp;EOMONTH(S$1,0)+1
)</f>
        <v>0</v>
      </c>
      <c r="T131" s="186">
        <f ca="1">-SUMIFS(
  desp.m.ik[valor],
  desp.m.ik[nucleo], $B131,
  desp.m.ik[variavel], $B$126,
  desp.m.ik[mes], "&gt;="&amp;T$1,
  desp.m.ik[mes], "&lt;"&amp;EOMONTH(T$1,0)+1
)</f>
        <v>0</v>
      </c>
      <c r="U131" s="186">
        <f ca="1">-SUMIFS(
  desp.m.ik[valor],
  desp.m.ik[nucleo], $B131,
  desp.m.ik[variavel], $B$126,
  desp.m.ik[mes], "&gt;="&amp;U$1,
  desp.m.ik[mes], "&lt;"&amp;EOMONTH(U$1,0)+1
)</f>
        <v>0</v>
      </c>
      <c r="V131" s="186">
        <f ca="1">-SUMIFS(
  desp.m.ik[valor],
  desp.m.ik[nucleo], $B131,
  desp.m.ik[variavel], $B$126,
  desp.m.ik[mes], "&gt;="&amp;V$1,
  desp.m.ik[mes], "&lt;"&amp;EOMONTH(V$1,0)+1
)</f>
        <v>0</v>
      </c>
      <c r="W131" s="186">
        <f ca="1">-SUMIFS(
  desp.m.ik[valor],
  desp.m.ik[nucleo], $B131,
  desp.m.ik[variavel], $B$126,
  desp.m.ik[mes], "&gt;="&amp;W$1,
  desp.m.ik[mes], "&lt;"&amp;EOMONTH(W$1,0)+1
)</f>
        <v>0</v>
      </c>
      <c r="X131" s="186">
        <f ca="1">-SUMIFS(
  desp.m.ik[valor],
  desp.m.ik[nucleo], $B131,
  desp.m.ik[variavel], $B$126,
  desp.m.ik[mes], "&gt;="&amp;X$1,
  desp.m.ik[mes], "&lt;"&amp;EOMONTH(X$1,0)+1
)</f>
        <v>0</v>
      </c>
      <c r="Y131" s="186">
        <f ca="1">-SUMIFS(
  desp.m.ik[valor],
  desp.m.ik[nucleo], $B131,
  desp.m.ik[variavel], $B$126,
  desp.m.ik[mes], "&gt;="&amp;Y$1,
  desp.m.ik[mes], "&lt;"&amp;EOMONTH(Y$1,0)+1
)</f>
        <v>0</v>
      </c>
      <c r="Z131" s="186">
        <f ca="1">-SUMIFS(
  desp.m.ik[valor],
  desp.m.ik[nucleo], $B131,
  desp.m.ik[variavel], $B$126,
  desp.m.ik[mes], "&gt;="&amp;Z$1,
  desp.m.ik[mes], "&lt;"&amp;EOMONTH(Z$1,0)+1
)</f>
        <v>0</v>
      </c>
      <c r="AA131" s="186">
        <f ca="1">-SUMIFS(
  desp.m.ik[valor],
  desp.m.ik[nucleo], $B131,
  desp.m.ik[variavel], $B$126,
  desp.m.ik[mes], "&gt;="&amp;AA$1,
  desp.m.ik[mes], "&lt;"&amp;EOMONTH(AA$1,0)+1
)</f>
        <v>0</v>
      </c>
      <c r="AC131" s="178">
        <f t="shared" ca="1" si="17"/>
        <v>0</v>
      </c>
      <c r="AE131" s="178">
        <f t="shared" ca="1" si="19"/>
        <v>0</v>
      </c>
    </row>
    <row r="132" spans="1:31" hidden="1" outlineLevel="2" x14ac:dyDescent="0.25">
      <c r="A132" s="185" t="s">
        <v>1161</v>
      </c>
      <c r="B132" s="185" t="s">
        <v>704</v>
      </c>
      <c r="C132" s="138" t="s">
        <v>514</v>
      </c>
      <c r="D132" s="186">
        <f ca="1">-SUMIFS(
  desp.m.ik[valor],
  desp.m.ik[nucleo], $B132,
  desp.m.ik[variavel], $B$126,
  desp.m.ik[mes], "&gt;="&amp;D$1,
  desp.m.ik[mes], "&lt;"&amp;EOMONTH(D$1,0)+1
)</f>
        <v>0</v>
      </c>
      <c r="E132" s="186">
        <f ca="1">-SUMIFS(
  desp.m.ik[valor],
  desp.m.ik[nucleo], $B132,
  desp.m.ik[variavel], $B$126,
  desp.m.ik[mes], "&gt;="&amp;E$1,
  desp.m.ik[mes], "&lt;"&amp;EOMONTH(E$1,0)+1
)</f>
        <v>0</v>
      </c>
      <c r="F132" s="186">
        <f ca="1">-SUMIFS(
  desp.m.ik[valor],
  desp.m.ik[nucleo], $B132,
  desp.m.ik[variavel], $B$126,
  desp.m.ik[mes], "&gt;="&amp;F$1,
  desp.m.ik[mes], "&lt;"&amp;EOMONTH(F$1,0)+1
)</f>
        <v>0</v>
      </c>
      <c r="G132" s="186">
        <f ca="1">-SUMIFS(
  desp.m.ik[valor],
  desp.m.ik[nucleo], $B132,
  desp.m.ik[variavel], $B$126,
  desp.m.ik[mes], "&gt;="&amp;G$1,
  desp.m.ik[mes], "&lt;"&amp;EOMONTH(G$1,0)+1
)</f>
        <v>0</v>
      </c>
      <c r="H132" s="186">
        <f ca="1">-SUMIFS(
  desp.m.ik[valor],
  desp.m.ik[nucleo], $B132,
  desp.m.ik[variavel], $B$126,
  desp.m.ik[mes], "&gt;="&amp;H$1,
  desp.m.ik[mes], "&lt;"&amp;EOMONTH(H$1,0)+1
)</f>
        <v>0</v>
      </c>
      <c r="I132" s="186">
        <f ca="1">-SUMIFS(
  desp.m.ik[valor],
  desp.m.ik[nucleo], $B132,
  desp.m.ik[variavel], $B$126,
  desp.m.ik[mes], "&gt;="&amp;I$1,
  desp.m.ik[mes], "&lt;"&amp;EOMONTH(I$1,0)+1
)</f>
        <v>0</v>
      </c>
      <c r="J132" s="186">
        <f ca="1">-SUMIFS(
  desp.m.ik[valor],
  desp.m.ik[nucleo], $B132,
  desp.m.ik[variavel], $B$126,
  desp.m.ik[mes], "&gt;="&amp;J$1,
  desp.m.ik[mes], "&lt;"&amp;EOMONTH(J$1,0)+1
)</f>
        <v>0</v>
      </c>
      <c r="K132" s="186">
        <f ca="1">-SUMIFS(
  desp.m.ik[valor],
  desp.m.ik[nucleo], $B132,
  desp.m.ik[variavel], $B$126,
  desp.m.ik[mes], "&gt;="&amp;K$1,
  desp.m.ik[mes], "&lt;"&amp;EOMONTH(K$1,0)+1
)</f>
        <v>0</v>
      </c>
      <c r="L132" s="186">
        <f ca="1">-SUMIFS(
  desp.m.ik[valor],
  desp.m.ik[nucleo], $B132,
  desp.m.ik[variavel], $B$126,
  desp.m.ik[mes], "&gt;="&amp;L$1,
  desp.m.ik[mes], "&lt;"&amp;EOMONTH(L$1,0)+1
)</f>
        <v>0</v>
      </c>
      <c r="M132" s="186">
        <f ca="1">-SUMIFS(
  desp.m.ik[valor],
  desp.m.ik[nucleo], $B132,
  desp.m.ik[variavel], $B$126,
  desp.m.ik[mes], "&gt;="&amp;M$1,
  desp.m.ik[mes], "&lt;"&amp;EOMONTH(M$1,0)+1
)</f>
        <v>0</v>
      </c>
      <c r="N132" s="186">
        <f ca="1">-SUMIFS(
  desp.m.ik[valor],
  desp.m.ik[nucleo], $B132,
  desp.m.ik[variavel], $B$126,
  desp.m.ik[mes], "&gt;="&amp;N$1,
  desp.m.ik[mes], "&lt;"&amp;EOMONTH(N$1,0)+1
)</f>
        <v>0</v>
      </c>
      <c r="O132" s="186">
        <f ca="1">-SUMIFS(
  desp.m.ik[valor],
  desp.m.ik[nucleo], $B132,
  desp.m.ik[variavel], $B$126,
  desp.m.ik[mes], "&gt;="&amp;O$1,
  desp.m.ik[mes], "&lt;"&amp;EOMONTH(O$1,0)+1
)</f>
        <v>0</v>
      </c>
      <c r="P132" s="186">
        <f ca="1">-SUMIFS(
  desp.m.ik[valor],
  desp.m.ik[nucleo], $B132,
  desp.m.ik[variavel], $B$126,
  desp.m.ik[mes], "&gt;="&amp;P$1,
  desp.m.ik[mes], "&lt;"&amp;EOMONTH(P$1,0)+1
)</f>
        <v>0</v>
      </c>
      <c r="Q132" s="186">
        <f ca="1">-SUMIFS(
  desp.m.ik[valor],
  desp.m.ik[nucleo], $B132,
  desp.m.ik[variavel], $B$126,
  desp.m.ik[mes], "&gt;="&amp;Q$1,
  desp.m.ik[mes], "&lt;"&amp;EOMONTH(Q$1,0)+1
)</f>
        <v>0</v>
      </c>
      <c r="R132" s="186">
        <f ca="1">-SUMIFS(
  desp.m.ik[valor],
  desp.m.ik[nucleo], $B132,
  desp.m.ik[variavel], $B$126,
  desp.m.ik[mes], "&gt;="&amp;R$1,
  desp.m.ik[mes], "&lt;"&amp;EOMONTH(R$1,0)+1
)</f>
        <v>0</v>
      </c>
      <c r="S132" s="186">
        <f ca="1">-SUMIFS(
  desp.m.ik[valor],
  desp.m.ik[nucleo], $B132,
  desp.m.ik[variavel], $B$126,
  desp.m.ik[mes], "&gt;="&amp;S$1,
  desp.m.ik[mes], "&lt;"&amp;EOMONTH(S$1,0)+1
)</f>
        <v>0</v>
      </c>
      <c r="T132" s="186">
        <f ca="1">-SUMIFS(
  desp.m.ik[valor],
  desp.m.ik[nucleo], $B132,
  desp.m.ik[variavel], $B$126,
  desp.m.ik[mes], "&gt;="&amp;T$1,
  desp.m.ik[mes], "&lt;"&amp;EOMONTH(T$1,0)+1
)</f>
        <v>0</v>
      </c>
      <c r="U132" s="186">
        <f ca="1">-SUMIFS(
  desp.m.ik[valor],
  desp.m.ik[nucleo], $B132,
  desp.m.ik[variavel], $B$126,
  desp.m.ik[mes], "&gt;="&amp;U$1,
  desp.m.ik[mes], "&lt;"&amp;EOMONTH(U$1,0)+1
)</f>
        <v>0</v>
      </c>
      <c r="V132" s="186">
        <f ca="1">-SUMIFS(
  desp.m.ik[valor],
  desp.m.ik[nucleo], $B132,
  desp.m.ik[variavel], $B$126,
  desp.m.ik[mes], "&gt;="&amp;V$1,
  desp.m.ik[mes], "&lt;"&amp;EOMONTH(V$1,0)+1
)</f>
        <v>0</v>
      </c>
      <c r="W132" s="186">
        <f ca="1">-SUMIFS(
  desp.m.ik[valor],
  desp.m.ik[nucleo], $B132,
  desp.m.ik[variavel], $B$126,
  desp.m.ik[mes], "&gt;="&amp;W$1,
  desp.m.ik[mes], "&lt;"&amp;EOMONTH(W$1,0)+1
)</f>
        <v>0</v>
      </c>
      <c r="X132" s="186">
        <f ca="1">-SUMIFS(
  desp.m.ik[valor],
  desp.m.ik[nucleo], $B132,
  desp.m.ik[variavel], $B$126,
  desp.m.ik[mes], "&gt;="&amp;X$1,
  desp.m.ik[mes], "&lt;"&amp;EOMONTH(X$1,0)+1
)</f>
        <v>0</v>
      </c>
      <c r="Y132" s="186">
        <f ca="1">-SUMIFS(
  desp.m.ik[valor],
  desp.m.ik[nucleo], $B132,
  desp.m.ik[variavel], $B$126,
  desp.m.ik[mes], "&gt;="&amp;Y$1,
  desp.m.ik[mes], "&lt;"&amp;EOMONTH(Y$1,0)+1
)</f>
        <v>0</v>
      </c>
      <c r="Z132" s="186">
        <f ca="1">-SUMIFS(
  desp.m.ik[valor],
  desp.m.ik[nucleo], $B132,
  desp.m.ik[variavel], $B$126,
  desp.m.ik[mes], "&gt;="&amp;Z$1,
  desp.m.ik[mes], "&lt;"&amp;EOMONTH(Z$1,0)+1
)</f>
        <v>0</v>
      </c>
      <c r="AA132" s="186">
        <f ca="1">-SUMIFS(
  desp.m.ik[valor],
  desp.m.ik[nucleo], $B132,
  desp.m.ik[variavel], $B$126,
  desp.m.ik[mes], "&gt;="&amp;AA$1,
  desp.m.ik[mes], "&lt;"&amp;EOMONTH(AA$1,0)+1
)</f>
        <v>0</v>
      </c>
      <c r="AC132" s="178">
        <f t="shared" ref="AC132:AC195" ca="1" si="31">SUM(D132:U132)</f>
        <v>0</v>
      </c>
      <c r="AE132" s="178">
        <f t="shared" ca="1" si="19"/>
        <v>0</v>
      </c>
    </row>
    <row r="133" spans="1:31" hidden="1" outlineLevel="2" x14ac:dyDescent="0.25">
      <c r="A133" s="185" t="s">
        <v>1162</v>
      </c>
      <c r="B133" s="185" t="s">
        <v>535</v>
      </c>
      <c r="C133" s="138" t="s">
        <v>514</v>
      </c>
      <c r="D133" s="186">
        <f ca="1">-SUMIFS(
  desp.m.ik[valor],
  desp.m.ik[nucleo], $B133,
  desp.m.ik[variavel], $B$126,
  desp.m.ik[mes], "&gt;="&amp;D$1,
  desp.m.ik[mes], "&lt;"&amp;EOMONTH(D$1,0)+1
)</f>
        <v>0</v>
      </c>
      <c r="E133" s="186">
        <f ca="1">-SUMIFS(
  desp.m.ik[valor],
  desp.m.ik[nucleo], $B133,
  desp.m.ik[variavel], $B$126,
  desp.m.ik[mes], "&gt;="&amp;E$1,
  desp.m.ik[mes], "&lt;"&amp;EOMONTH(E$1,0)+1
)</f>
        <v>0</v>
      </c>
      <c r="F133" s="186">
        <f ca="1">-SUMIFS(
  desp.m.ik[valor],
  desp.m.ik[nucleo], $B133,
  desp.m.ik[variavel], $B$126,
  desp.m.ik[mes], "&gt;="&amp;F$1,
  desp.m.ik[mes], "&lt;"&amp;EOMONTH(F$1,0)+1
)</f>
        <v>0</v>
      </c>
      <c r="G133" s="186">
        <f ca="1">-SUMIFS(
  desp.m.ik[valor],
  desp.m.ik[nucleo], $B133,
  desp.m.ik[variavel], $B$126,
  desp.m.ik[mes], "&gt;="&amp;G$1,
  desp.m.ik[mes], "&lt;"&amp;EOMONTH(G$1,0)+1
)</f>
        <v>0</v>
      </c>
      <c r="H133" s="186">
        <f ca="1">-SUMIFS(
  desp.m.ik[valor],
  desp.m.ik[nucleo], $B133,
  desp.m.ik[variavel], $B$126,
  desp.m.ik[mes], "&gt;="&amp;H$1,
  desp.m.ik[mes], "&lt;"&amp;EOMONTH(H$1,0)+1
)</f>
        <v>0</v>
      </c>
      <c r="I133" s="186">
        <f ca="1">-SUMIFS(
  desp.m.ik[valor],
  desp.m.ik[nucleo], $B133,
  desp.m.ik[variavel], $B$126,
  desp.m.ik[mes], "&gt;="&amp;I$1,
  desp.m.ik[mes], "&lt;"&amp;EOMONTH(I$1,0)+1
)</f>
        <v>0</v>
      </c>
      <c r="J133" s="186">
        <f ca="1">-SUMIFS(
  desp.m.ik[valor],
  desp.m.ik[nucleo], $B133,
  desp.m.ik[variavel], $B$126,
  desp.m.ik[mes], "&gt;="&amp;J$1,
  desp.m.ik[mes], "&lt;"&amp;EOMONTH(J$1,0)+1
)</f>
        <v>0</v>
      </c>
      <c r="K133" s="186">
        <f ca="1">-SUMIFS(
  desp.m.ik[valor],
  desp.m.ik[nucleo], $B133,
  desp.m.ik[variavel], $B$126,
  desp.m.ik[mes], "&gt;="&amp;K$1,
  desp.m.ik[mes], "&lt;"&amp;EOMONTH(K$1,0)+1
)</f>
        <v>0</v>
      </c>
      <c r="L133" s="186">
        <f ca="1">-SUMIFS(
  desp.m.ik[valor],
  desp.m.ik[nucleo], $B133,
  desp.m.ik[variavel], $B$126,
  desp.m.ik[mes], "&gt;="&amp;L$1,
  desp.m.ik[mes], "&lt;"&amp;EOMONTH(L$1,0)+1
)</f>
        <v>0</v>
      </c>
      <c r="M133" s="186">
        <f ca="1">-SUMIFS(
  desp.m.ik[valor],
  desp.m.ik[nucleo], $B133,
  desp.m.ik[variavel], $B$126,
  desp.m.ik[mes], "&gt;="&amp;M$1,
  desp.m.ik[mes], "&lt;"&amp;EOMONTH(M$1,0)+1
)</f>
        <v>0</v>
      </c>
      <c r="N133" s="186">
        <f ca="1">-SUMIFS(
  desp.m.ik[valor],
  desp.m.ik[nucleo], $B133,
  desp.m.ik[variavel], $B$126,
  desp.m.ik[mes], "&gt;="&amp;N$1,
  desp.m.ik[mes], "&lt;"&amp;EOMONTH(N$1,0)+1
)</f>
        <v>0</v>
      </c>
      <c r="O133" s="186">
        <f ca="1">-SUMIFS(
  desp.m.ik[valor],
  desp.m.ik[nucleo], $B133,
  desp.m.ik[variavel], $B$126,
  desp.m.ik[mes], "&gt;="&amp;O$1,
  desp.m.ik[mes], "&lt;"&amp;EOMONTH(O$1,0)+1
)</f>
        <v>0</v>
      </c>
      <c r="P133" s="186">
        <f ca="1">-SUMIFS(
  desp.m.ik[valor],
  desp.m.ik[nucleo], $B133,
  desp.m.ik[variavel], $B$126,
  desp.m.ik[mes], "&gt;="&amp;P$1,
  desp.m.ik[mes], "&lt;"&amp;EOMONTH(P$1,0)+1
)</f>
        <v>0</v>
      </c>
      <c r="Q133" s="186">
        <f ca="1">-SUMIFS(
  desp.m.ik[valor],
  desp.m.ik[nucleo], $B133,
  desp.m.ik[variavel], $B$126,
  desp.m.ik[mes], "&gt;="&amp;Q$1,
  desp.m.ik[mes], "&lt;"&amp;EOMONTH(Q$1,0)+1
)</f>
        <v>0</v>
      </c>
      <c r="R133" s="186">
        <f ca="1">-SUMIFS(
  desp.m.ik[valor],
  desp.m.ik[nucleo], $B133,
  desp.m.ik[variavel], $B$126,
  desp.m.ik[mes], "&gt;="&amp;R$1,
  desp.m.ik[mes], "&lt;"&amp;EOMONTH(R$1,0)+1
)</f>
        <v>0</v>
      </c>
      <c r="S133" s="186">
        <f ca="1">-SUMIFS(
  desp.m.ik[valor],
  desp.m.ik[nucleo], $B133,
  desp.m.ik[variavel], $B$126,
  desp.m.ik[mes], "&gt;="&amp;S$1,
  desp.m.ik[mes], "&lt;"&amp;EOMONTH(S$1,0)+1
)</f>
        <v>0</v>
      </c>
      <c r="T133" s="186">
        <f ca="1">-SUMIFS(
  desp.m.ik[valor],
  desp.m.ik[nucleo], $B133,
  desp.m.ik[variavel], $B$126,
  desp.m.ik[mes], "&gt;="&amp;T$1,
  desp.m.ik[mes], "&lt;"&amp;EOMONTH(T$1,0)+1
)</f>
        <v>0</v>
      </c>
      <c r="U133" s="186">
        <f ca="1">-SUMIFS(
  desp.m.ik[valor],
  desp.m.ik[nucleo], $B133,
  desp.m.ik[variavel], $B$126,
  desp.m.ik[mes], "&gt;="&amp;U$1,
  desp.m.ik[mes], "&lt;"&amp;EOMONTH(U$1,0)+1
)</f>
        <v>0</v>
      </c>
      <c r="V133" s="186">
        <f ca="1">-SUMIFS(
  desp.m.ik[valor],
  desp.m.ik[nucleo], $B133,
  desp.m.ik[variavel], $B$126,
  desp.m.ik[mes], "&gt;="&amp;V$1,
  desp.m.ik[mes], "&lt;"&amp;EOMONTH(V$1,0)+1
)</f>
        <v>0</v>
      </c>
      <c r="W133" s="186">
        <f ca="1">-SUMIFS(
  desp.m.ik[valor],
  desp.m.ik[nucleo], $B133,
  desp.m.ik[variavel], $B$126,
  desp.m.ik[mes], "&gt;="&amp;W$1,
  desp.m.ik[mes], "&lt;"&amp;EOMONTH(W$1,0)+1
)</f>
        <v>0</v>
      </c>
      <c r="X133" s="186">
        <f ca="1">-SUMIFS(
  desp.m.ik[valor],
  desp.m.ik[nucleo], $B133,
  desp.m.ik[variavel], $B$126,
  desp.m.ik[mes], "&gt;="&amp;X$1,
  desp.m.ik[mes], "&lt;"&amp;EOMONTH(X$1,0)+1
)</f>
        <v>0</v>
      </c>
      <c r="Y133" s="186">
        <f ca="1">-SUMIFS(
  desp.m.ik[valor],
  desp.m.ik[nucleo], $B133,
  desp.m.ik[variavel], $B$126,
  desp.m.ik[mes], "&gt;="&amp;Y$1,
  desp.m.ik[mes], "&lt;"&amp;EOMONTH(Y$1,0)+1
)</f>
        <v>0</v>
      </c>
      <c r="Z133" s="186">
        <f ca="1">-SUMIFS(
  desp.m.ik[valor],
  desp.m.ik[nucleo], $B133,
  desp.m.ik[variavel], $B$126,
  desp.m.ik[mes], "&gt;="&amp;Z$1,
  desp.m.ik[mes], "&lt;"&amp;EOMONTH(Z$1,0)+1
)</f>
        <v>0</v>
      </c>
      <c r="AA133" s="186">
        <f ca="1">-SUMIFS(
  desp.m.ik[valor],
  desp.m.ik[nucleo], $B133,
  desp.m.ik[variavel], $B$126,
  desp.m.ik[mes], "&gt;="&amp;AA$1,
  desp.m.ik[mes], "&lt;"&amp;EOMONTH(AA$1,0)+1
)</f>
        <v>0</v>
      </c>
      <c r="AC133" s="178">
        <f t="shared" ca="1" si="31"/>
        <v>0</v>
      </c>
      <c r="AE133" s="178">
        <f t="shared" ca="1" si="19"/>
        <v>0</v>
      </c>
    </row>
    <row r="134" spans="1:31" hidden="1" outlineLevel="2" x14ac:dyDescent="0.25">
      <c r="A134" s="185" t="s">
        <v>1163</v>
      </c>
      <c r="B134" s="185" t="s">
        <v>544</v>
      </c>
      <c r="C134" s="138" t="s">
        <v>514</v>
      </c>
      <c r="D134" s="186">
        <f ca="1">-SUMIFS(
  desp.m.ik[valor],
  desp.m.ik[nucleo], $B134,
  desp.m.ik[variavel], $B$126,
  desp.m.ik[mes], "&gt;="&amp;D$1,
  desp.m.ik[mes], "&lt;"&amp;EOMONTH(D$1,0)+1
)</f>
        <v>0</v>
      </c>
      <c r="E134" s="186">
        <f ca="1">-SUMIFS(
  desp.m.ik[valor],
  desp.m.ik[nucleo], $B134,
  desp.m.ik[variavel], $B$126,
  desp.m.ik[mes], "&gt;="&amp;E$1,
  desp.m.ik[mes], "&lt;"&amp;EOMONTH(E$1,0)+1
)</f>
        <v>0</v>
      </c>
      <c r="F134" s="186">
        <f ca="1">-SUMIFS(
  desp.m.ik[valor],
  desp.m.ik[nucleo], $B134,
  desp.m.ik[variavel], $B$126,
  desp.m.ik[mes], "&gt;="&amp;F$1,
  desp.m.ik[mes], "&lt;"&amp;EOMONTH(F$1,0)+1
)</f>
        <v>0</v>
      </c>
      <c r="G134" s="186">
        <f ca="1">-SUMIFS(
  desp.m.ik[valor],
  desp.m.ik[nucleo], $B134,
  desp.m.ik[variavel], $B$126,
  desp.m.ik[mes], "&gt;="&amp;G$1,
  desp.m.ik[mes], "&lt;"&amp;EOMONTH(G$1,0)+1
)</f>
        <v>0</v>
      </c>
      <c r="H134" s="186">
        <f ca="1">-SUMIFS(
  desp.m.ik[valor],
  desp.m.ik[nucleo], $B134,
  desp.m.ik[variavel], $B$126,
  desp.m.ik[mes], "&gt;="&amp;H$1,
  desp.m.ik[mes], "&lt;"&amp;EOMONTH(H$1,0)+1
)</f>
        <v>0</v>
      </c>
      <c r="I134" s="186">
        <f ca="1">-SUMIFS(
  desp.m.ik[valor],
  desp.m.ik[nucleo], $B134,
  desp.m.ik[variavel], $B$126,
  desp.m.ik[mes], "&gt;="&amp;I$1,
  desp.m.ik[mes], "&lt;"&amp;EOMONTH(I$1,0)+1
)</f>
        <v>0</v>
      </c>
      <c r="J134" s="186">
        <f ca="1">-SUMIFS(
  desp.m.ik[valor],
  desp.m.ik[nucleo], $B134,
  desp.m.ik[variavel], $B$126,
  desp.m.ik[mes], "&gt;="&amp;J$1,
  desp.m.ik[mes], "&lt;"&amp;EOMONTH(J$1,0)+1
)</f>
        <v>0</v>
      </c>
      <c r="K134" s="186">
        <f ca="1">-SUMIFS(
  desp.m.ik[valor],
  desp.m.ik[nucleo], $B134,
  desp.m.ik[variavel], $B$126,
  desp.m.ik[mes], "&gt;="&amp;K$1,
  desp.m.ik[mes], "&lt;"&amp;EOMONTH(K$1,0)+1
)</f>
        <v>0</v>
      </c>
      <c r="L134" s="186">
        <f ca="1">-SUMIFS(
  desp.m.ik[valor],
  desp.m.ik[nucleo], $B134,
  desp.m.ik[variavel], $B$126,
  desp.m.ik[mes], "&gt;="&amp;L$1,
  desp.m.ik[mes], "&lt;"&amp;EOMONTH(L$1,0)+1
)</f>
        <v>0</v>
      </c>
      <c r="M134" s="186">
        <f ca="1">-SUMIFS(
  desp.m.ik[valor],
  desp.m.ik[nucleo], $B134,
  desp.m.ik[variavel], $B$126,
  desp.m.ik[mes], "&gt;="&amp;M$1,
  desp.m.ik[mes], "&lt;"&amp;EOMONTH(M$1,0)+1
)</f>
        <v>0</v>
      </c>
      <c r="N134" s="186">
        <f ca="1">-SUMIFS(
  desp.m.ik[valor],
  desp.m.ik[nucleo], $B134,
  desp.m.ik[variavel], $B$126,
  desp.m.ik[mes], "&gt;="&amp;N$1,
  desp.m.ik[mes], "&lt;"&amp;EOMONTH(N$1,0)+1
)</f>
        <v>0</v>
      </c>
      <c r="O134" s="186">
        <f ca="1">-SUMIFS(
  desp.m.ik[valor],
  desp.m.ik[nucleo], $B134,
  desp.m.ik[variavel], $B$126,
  desp.m.ik[mes], "&gt;="&amp;O$1,
  desp.m.ik[mes], "&lt;"&amp;EOMONTH(O$1,0)+1
)</f>
        <v>0</v>
      </c>
      <c r="P134" s="186">
        <f ca="1">-SUMIFS(
  desp.m.ik[valor],
  desp.m.ik[nucleo], $B134,
  desp.m.ik[variavel], $B$126,
  desp.m.ik[mes], "&gt;="&amp;P$1,
  desp.m.ik[mes], "&lt;"&amp;EOMONTH(P$1,0)+1
)</f>
        <v>0</v>
      </c>
      <c r="Q134" s="186">
        <f ca="1">-SUMIFS(
  desp.m.ik[valor],
  desp.m.ik[nucleo], $B134,
  desp.m.ik[variavel], $B$126,
  desp.m.ik[mes], "&gt;="&amp;Q$1,
  desp.m.ik[mes], "&lt;"&amp;EOMONTH(Q$1,0)+1
)</f>
        <v>0</v>
      </c>
      <c r="R134" s="186">
        <f ca="1">-SUMIFS(
  desp.m.ik[valor],
  desp.m.ik[nucleo], $B134,
  desp.m.ik[variavel], $B$126,
  desp.m.ik[mes], "&gt;="&amp;R$1,
  desp.m.ik[mes], "&lt;"&amp;EOMONTH(R$1,0)+1
)</f>
        <v>0</v>
      </c>
      <c r="S134" s="186">
        <f ca="1">-SUMIFS(
  desp.m.ik[valor],
  desp.m.ik[nucleo], $B134,
  desp.m.ik[variavel], $B$126,
  desp.m.ik[mes], "&gt;="&amp;S$1,
  desp.m.ik[mes], "&lt;"&amp;EOMONTH(S$1,0)+1
)</f>
        <v>0</v>
      </c>
      <c r="T134" s="186">
        <f ca="1">-SUMIFS(
  desp.m.ik[valor],
  desp.m.ik[nucleo], $B134,
  desp.m.ik[variavel], $B$126,
  desp.m.ik[mes], "&gt;="&amp;T$1,
  desp.m.ik[mes], "&lt;"&amp;EOMONTH(T$1,0)+1
)</f>
        <v>0</v>
      </c>
      <c r="U134" s="186">
        <f ca="1">-SUMIFS(
  desp.m.ik[valor],
  desp.m.ik[nucleo], $B134,
  desp.m.ik[variavel], $B$126,
  desp.m.ik[mes], "&gt;="&amp;U$1,
  desp.m.ik[mes], "&lt;"&amp;EOMONTH(U$1,0)+1
)</f>
        <v>0</v>
      </c>
      <c r="V134" s="186">
        <f ca="1">-SUMIFS(
  desp.m.ik[valor],
  desp.m.ik[nucleo], $B134,
  desp.m.ik[variavel], $B$126,
  desp.m.ik[mes], "&gt;="&amp;V$1,
  desp.m.ik[mes], "&lt;"&amp;EOMONTH(V$1,0)+1
)</f>
        <v>0</v>
      </c>
      <c r="W134" s="186">
        <f ca="1">-SUMIFS(
  desp.m.ik[valor],
  desp.m.ik[nucleo], $B134,
  desp.m.ik[variavel], $B$126,
  desp.m.ik[mes], "&gt;="&amp;W$1,
  desp.m.ik[mes], "&lt;"&amp;EOMONTH(W$1,0)+1
)</f>
        <v>0</v>
      </c>
      <c r="X134" s="186">
        <f ca="1">-SUMIFS(
  desp.m.ik[valor],
  desp.m.ik[nucleo], $B134,
  desp.m.ik[variavel], $B$126,
  desp.m.ik[mes], "&gt;="&amp;X$1,
  desp.m.ik[mes], "&lt;"&amp;EOMONTH(X$1,0)+1
)</f>
        <v>0</v>
      </c>
      <c r="Y134" s="186">
        <f ca="1">-SUMIFS(
  desp.m.ik[valor],
  desp.m.ik[nucleo], $B134,
  desp.m.ik[variavel], $B$126,
  desp.m.ik[mes], "&gt;="&amp;Y$1,
  desp.m.ik[mes], "&lt;"&amp;EOMONTH(Y$1,0)+1
)</f>
        <v>0</v>
      </c>
      <c r="Z134" s="186">
        <f ca="1">-SUMIFS(
  desp.m.ik[valor],
  desp.m.ik[nucleo], $B134,
  desp.m.ik[variavel], $B$126,
  desp.m.ik[mes], "&gt;="&amp;Z$1,
  desp.m.ik[mes], "&lt;"&amp;EOMONTH(Z$1,0)+1
)</f>
        <v>0</v>
      </c>
      <c r="AA134" s="186">
        <f ca="1">-SUMIFS(
  desp.m.ik[valor],
  desp.m.ik[nucleo], $B134,
  desp.m.ik[variavel], $B$126,
  desp.m.ik[mes], "&gt;="&amp;AA$1,
  desp.m.ik[mes], "&lt;"&amp;EOMONTH(AA$1,0)+1
)</f>
        <v>0</v>
      </c>
      <c r="AC134" s="178">
        <f t="shared" ca="1" si="31"/>
        <v>0</v>
      </c>
      <c r="AE134" s="178">
        <f t="shared" ca="1" si="19"/>
        <v>0</v>
      </c>
    </row>
    <row r="135" spans="1:31" hidden="1" outlineLevel="2" x14ac:dyDescent="0.25">
      <c r="A135" s="185" t="s">
        <v>1165</v>
      </c>
      <c r="B135" s="185" t="s">
        <v>557</v>
      </c>
      <c r="C135" s="138" t="s">
        <v>514</v>
      </c>
      <c r="D135" s="186">
        <f ca="1">-SUMIFS(
  desp.m.ik[valor],
  desp.m.ik[nucleo], $B135,
  desp.m.ik[variavel], $B$126,
  desp.m.ik[mes], "&gt;="&amp;D$1,
  desp.m.ik[mes], "&lt;"&amp;EOMONTH(D$1,0)+1
)</f>
        <v>0</v>
      </c>
      <c r="E135" s="186">
        <f ca="1">-SUMIFS(
  desp.m.ik[valor],
  desp.m.ik[nucleo], $B135,
  desp.m.ik[variavel], $B$126,
  desp.m.ik[mes], "&gt;="&amp;E$1,
  desp.m.ik[mes], "&lt;"&amp;EOMONTH(E$1,0)+1
)</f>
        <v>0</v>
      </c>
      <c r="F135" s="186">
        <f ca="1">-SUMIFS(
  desp.m.ik[valor],
  desp.m.ik[nucleo], $B135,
  desp.m.ik[variavel], $B$126,
  desp.m.ik[mes], "&gt;="&amp;F$1,
  desp.m.ik[mes], "&lt;"&amp;EOMONTH(F$1,0)+1
)</f>
        <v>0</v>
      </c>
      <c r="G135" s="186">
        <f ca="1">-SUMIFS(
  desp.m.ik[valor],
  desp.m.ik[nucleo], $B135,
  desp.m.ik[variavel], $B$126,
  desp.m.ik[mes], "&gt;="&amp;G$1,
  desp.m.ik[mes], "&lt;"&amp;EOMONTH(G$1,0)+1
)</f>
        <v>0</v>
      </c>
      <c r="H135" s="186">
        <f ca="1">-SUMIFS(
  desp.m.ik[valor],
  desp.m.ik[nucleo], $B135,
  desp.m.ik[variavel], $B$126,
  desp.m.ik[mes], "&gt;="&amp;H$1,
  desp.m.ik[mes], "&lt;"&amp;EOMONTH(H$1,0)+1
)</f>
        <v>0</v>
      </c>
      <c r="I135" s="186">
        <f ca="1">-SUMIFS(
  desp.m.ik[valor],
  desp.m.ik[nucleo], $B135,
  desp.m.ik[variavel], $B$126,
  desp.m.ik[mes], "&gt;="&amp;I$1,
  desp.m.ik[mes], "&lt;"&amp;EOMONTH(I$1,0)+1
)</f>
        <v>0</v>
      </c>
      <c r="J135" s="186">
        <f ca="1">-SUMIFS(
  desp.m.ik[valor],
  desp.m.ik[nucleo], $B135,
  desp.m.ik[variavel], $B$126,
  desp.m.ik[mes], "&gt;="&amp;J$1,
  desp.m.ik[mes], "&lt;"&amp;EOMONTH(J$1,0)+1
)</f>
        <v>0</v>
      </c>
      <c r="K135" s="186">
        <f ca="1">-SUMIFS(
  desp.m.ik[valor],
  desp.m.ik[nucleo], $B135,
  desp.m.ik[variavel], $B$126,
  desp.m.ik[mes], "&gt;="&amp;K$1,
  desp.m.ik[mes], "&lt;"&amp;EOMONTH(K$1,0)+1
)</f>
        <v>0</v>
      </c>
      <c r="L135" s="186">
        <f ca="1">-SUMIFS(
  desp.m.ik[valor],
  desp.m.ik[nucleo], $B135,
  desp.m.ik[variavel], $B$126,
  desp.m.ik[mes], "&gt;="&amp;L$1,
  desp.m.ik[mes], "&lt;"&amp;EOMONTH(L$1,0)+1
)</f>
        <v>0</v>
      </c>
      <c r="M135" s="186">
        <f ca="1">-SUMIFS(
  desp.m.ik[valor],
  desp.m.ik[nucleo], $B135,
  desp.m.ik[variavel], $B$126,
  desp.m.ik[mes], "&gt;="&amp;M$1,
  desp.m.ik[mes], "&lt;"&amp;EOMONTH(M$1,0)+1
)</f>
        <v>0</v>
      </c>
      <c r="N135" s="186">
        <f ca="1">-SUMIFS(
  desp.m.ik[valor],
  desp.m.ik[nucleo], $B135,
  desp.m.ik[variavel], $B$126,
  desp.m.ik[mes], "&gt;="&amp;N$1,
  desp.m.ik[mes], "&lt;"&amp;EOMONTH(N$1,0)+1
)</f>
        <v>0</v>
      </c>
      <c r="O135" s="186">
        <f ca="1">-SUMIFS(
  desp.m.ik[valor],
  desp.m.ik[nucleo], $B135,
  desp.m.ik[variavel], $B$126,
  desp.m.ik[mes], "&gt;="&amp;O$1,
  desp.m.ik[mes], "&lt;"&amp;EOMONTH(O$1,0)+1
)</f>
        <v>0</v>
      </c>
      <c r="P135" s="186">
        <f ca="1">-SUMIFS(
  desp.m.ik[valor],
  desp.m.ik[nucleo], $B135,
  desp.m.ik[variavel], $B$126,
  desp.m.ik[mes], "&gt;="&amp;P$1,
  desp.m.ik[mes], "&lt;"&amp;EOMONTH(P$1,0)+1
)</f>
        <v>0</v>
      </c>
      <c r="Q135" s="186">
        <f ca="1">-SUMIFS(
  desp.m.ik[valor],
  desp.m.ik[nucleo], $B135,
  desp.m.ik[variavel], $B$126,
  desp.m.ik[mes], "&gt;="&amp;Q$1,
  desp.m.ik[mes], "&lt;"&amp;EOMONTH(Q$1,0)+1
)</f>
        <v>0</v>
      </c>
      <c r="R135" s="186">
        <f ca="1">-SUMIFS(
  desp.m.ik[valor],
  desp.m.ik[nucleo], $B135,
  desp.m.ik[variavel], $B$126,
  desp.m.ik[mes], "&gt;="&amp;R$1,
  desp.m.ik[mes], "&lt;"&amp;EOMONTH(R$1,0)+1
)</f>
        <v>0</v>
      </c>
      <c r="S135" s="186">
        <f ca="1">-SUMIFS(
  desp.m.ik[valor],
  desp.m.ik[nucleo], $B135,
  desp.m.ik[variavel], $B$126,
  desp.m.ik[mes], "&gt;="&amp;S$1,
  desp.m.ik[mes], "&lt;"&amp;EOMONTH(S$1,0)+1
)</f>
        <v>0</v>
      </c>
      <c r="T135" s="186">
        <f ca="1">-SUMIFS(
  desp.m.ik[valor],
  desp.m.ik[nucleo], $B135,
  desp.m.ik[variavel], $B$126,
  desp.m.ik[mes], "&gt;="&amp;T$1,
  desp.m.ik[mes], "&lt;"&amp;EOMONTH(T$1,0)+1
)</f>
        <v>0</v>
      </c>
      <c r="U135" s="186">
        <f ca="1">-SUMIFS(
  desp.m.ik[valor],
  desp.m.ik[nucleo], $B135,
  desp.m.ik[variavel], $B$126,
  desp.m.ik[mes], "&gt;="&amp;U$1,
  desp.m.ik[mes], "&lt;"&amp;EOMONTH(U$1,0)+1
)</f>
        <v>0</v>
      </c>
      <c r="V135" s="186">
        <f ca="1">-SUMIFS(
  desp.m.ik[valor],
  desp.m.ik[nucleo], $B135,
  desp.m.ik[variavel], $B$126,
  desp.m.ik[mes], "&gt;="&amp;V$1,
  desp.m.ik[mes], "&lt;"&amp;EOMONTH(V$1,0)+1
)</f>
        <v>0</v>
      </c>
      <c r="W135" s="186">
        <f ca="1">-SUMIFS(
  desp.m.ik[valor],
  desp.m.ik[nucleo], $B135,
  desp.m.ik[variavel], $B$126,
  desp.m.ik[mes], "&gt;="&amp;W$1,
  desp.m.ik[mes], "&lt;"&amp;EOMONTH(W$1,0)+1
)</f>
        <v>0</v>
      </c>
      <c r="X135" s="186">
        <f ca="1">-SUMIFS(
  desp.m.ik[valor],
  desp.m.ik[nucleo], $B135,
  desp.m.ik[variavel], $B$126,
  desp.m.ik[mes], "&gt;="&amp;X$1,
  desp.m.ik[mes], "&lt;"&amp;EOMONTH(X$1,0)+1
)</f>
        <v>0</v>
      </c>
      <c r="Y135" s="186">
        <f ca="1">-SUMIFS(
  desp.m.ik[valor],
  desp.m.ik[nucleo], $B135,
  desp.m.ik[variavel], $B$126,
  desp.m.ik[mes], "&gt;="&amp;Y$1,
  desp.m.ik[mes], "&lt;"&amp;EOMONTH(Y$1,0)+1
)</f>
        <v>0</v>
      </c>
      <c r="Z135" s="186">
        <f ca="1">-SUMIFS(
  desp.m.ik[valor],
  desp.m.ik[nucleo], $B135,
  desp.m.ik[variavel], $B$126,
  desp.m.ik[mes], "&gt;="&amp;Z$1,
  desp.m.ik[mes], "&lt;"&amp;EOMONTH(Z$1,0)+1
)</f>
        <v>0</v>
      </c>
      <c r="AA135" s="186">
        <f ca="1">-SUMIFS(
  desp.m.ik[valor],
  desp.m.ik[nucleo], $B135,
  desp.m.ik[variavel], $B$126,
  desp.m.ik[mes], "&gt;="&amp;AA$1,
  desp.m.ik[mes], "&lt;"&amp;EOMONTH(AA$1,0)+1
)</f>
        <v>0</v>
      </c>
      <c r="AC135" s="178">
        <f t="shared" ca="1" si="31"/>
        <v>0</v>
      </c>
      <c r="AE135" s="178">
        <f ca="1">SUM(D135:AA135)</f>
        <v>0</v>
      </c>
    </row>
    <row r="136" spans="1:31" hidden="1" outlineLevel="2" x14ac:dyDescent="0.25">
      <c r="A136" s="185" t="s">
        <v>1164</v>
      </c>
      <c r="B136" s="185" t="s">
        <v>533</v>
      </c>
      <c r="C136" s="138" t="s">
        <v>514</v>
      </c>
      <c r="D136" s="186">
        <f ca="1">-SUMIFS(
  desp.m.ik[valor],
  desp.m.ik[nucleo], $B136,
  desp.m.ik[variavel], $B$126,
  desp.m.ik[mes], "&gt;="&amp;D$1,
  desp.m.ik[mes], "&lt;"&amp;EOMONTH(D$1,0)+1
)</f>
        <v>0</v>
      </c>
      <c r="E136" s="186">
        <f ca="1">-SUMIFS(
  desp.m.ik[valor],
  desp.m.ik[nucleo], $B136,
  desp.m.ik[variavel], $B$126,
  desp.m.ik[mes], "&gt;="&amp;E$1,
  desp.m.ik[mes], "&lt;"&amp;EOMONTH(E$1,0)+1
)</f>
        <v>0</v>
      </c>
      <c r="F136" s="186">
        <f ca="1">-SUMIFS(
  desp.m.ik[valor],
  desp.m.ik[nucleo], $B136,
  desp.m.ik[variavel], $B$126,
  desp.m.ik[mes], "&gt;="&amp;F$1,
  desp.m.ik[mes], "&lt;"&amp;EOMONTH(F$1,0)+1
)</f>
        <v>0</v>
      </c>
      <c r="G136" s="186">
        <f ca="1">-SUMIFS(
  desp.m.ik[valor],
  desp.m.ik[nucleo], $B136,
  desp.m.ik[variavel], $B$126,
  desp.m.ik[mes], "&gt;="&amp;G$1,
  desp.m.ik[mes], "&lt;"&amp;EOMONTH(G$1,0)+1
)</f>
        <v>0</v>
      </c>
      <c r="H136" s="186">
        <f ca="1">-SUMIFS(
  desp.m.ik[valor],
  desp.m.ik[nucleo], $B136,
  desp.m.ik[variavel], $B$126,
  desp.m.ik[mes], "&gt;="&amp;H$1,
  desp.m.ik[mes], "&lt;"&amp;EOMONTH(H$1,0)+1
)</f>
        <v>0</v>
      </c>
      <c r="I136" s="186">
        <f ca="1">-SUMIFS(
  desp.m.ik[valor],
  desp.m.ik[nucleo], $B136,
  desp.m.ik[variavel], $B$126,
  desp.m.ik[mes], "&gt;="&amp;I$1,
  desp.m.ik[mes], "&lt;"&amp;EOMONTH(I$1,0)+1
)</f>
        <v>0</v>
      </c>
      <c r="J136" s="186">
        <f ca="1">-SUMIFS(
  desp.m.ik[valor],
  desp.m.ik[nucleo], $B136,
  desp.m.ik[variavel], $B$126,
  desp.m.ik[mes], "&gt;="&amp;J$1,
  desp.m.ik[mes], "&lt;"&amp;EOMONTH(J$1,0)+1
)</f>
        <v>0</v>
      </c>
      <c r="K136" s="186">
        <f ca="1">-SUMIFS(
  desp.m.ik[valor],
  desp.m.ik[nucleo], $B136,
  desp.m.ik[variavel], $B$126,
  desp.m.ik[mes], "&gt;="&amp;K$1,
  desp.m.ik[mes], "&lt;"&amp;EOMONTH(K$1,0)+1
)</f>
        <v>0</v>
      </c>
      <c r="L136" s="186">
        <f ca="1">-SUMIFS(
  desp.m.ik[valor],
  desp.m.ik[nucleo], $B136,
  desp.m.ik[variavel], $B$126,
  desp.m.ik[mes], "&gt;="&amp;L$1,
  desp.m.ik[mes], "&lt;"&amp;EOMONTH(L$1,0)+1
)</f>
        <v>0</v>
      </c>
      <c r="M136" s="186">
        <f ca="1">-SUMIFS(
  desp.m.ik[valor],
  desp.m.ik[nucleo], $B136,
  desp.m.ik[variavel], $B$126,
  desp.m.ik[mes], "&gt;="&amp;M$1,
  desp.m.ik[mes], "&lt;"&amp;EOMONTH(M$1,0)+1
)</f>
        <v>0</v>
      </c>
      <c r="N136" s="186">
        <f ca="1">-SUMIFS(
  desp.m.ik[valor],
  desp.m.ik[nucleo], $B136,
  desp.m.ik[variavel], $B$126,
  desp.m.ik[mes], "&gt;="&amp;N$1,
  desp.m.ik[mes], "&lt;"&amp;EOMONTH(N$1,0)+1
)</f>
        <v>0</v>
      </c>
      <c r="O136" s="186">
        <f ca="1">-SUMIFS(
  desp.m.ik[valor],
  desp.m.ik[nucleo], $B136,
  desp.m.ik[variavel], $B$126,
  desp.m.ik[mes], "&gt;="&amp;O$1,
  desp.m.ik[mes], "&lt;"&amp;EOMONTH(O$1,0)+1
)</f>
        <v>0</v>
      </c>
      <c r="P136" s="186">
        <f ca="1">-SUMIFS(
  desp.m.ik[valor],
  desp.m.ik[nucleo], $B136,
  desp.m.ik[variavel], $B$126,
  desp.m.ik[mes], "&gt;="&amp;P$1,
  desp.m.ik[mes], "&lt;"&amp;EOMONTH(P$1,0)+1
)</f>
        <v>0</v>
      </c>
      <c r="Q136" s="186">
        <f ca="1">-SUMIFS(
  desp.m.ik[valor],
  desp.m.ik[nucleo], $B136,
  desp.m.ik[variavel], $B$126,
  desp.m.ik[mes], "&gt;="&amp;Q$1,
  desp.m.ik[mes], "&lt;"&amp;EOMONTH(Q$1,0)+1
)</f>
        <v>0</v>
      </c>
      <c r="R136" s="186">
        <f ca="1">-SUMIFS(
  desp.m.ik[valor],
  desp.m.ik[nucleo], $B136,
  desp.m.ik[variavel], $B$126,
  desp.m.ik[mes], "&gt;="&amp;R$1,
  desp.m.ik[mes], "&lt;"&amp;EOMONTH(R$1,0)+1
)</f>
        <v>0</v>
      </c>
      <c r="S136" s="186">
        <f ca="1">-SUMIFS(
  desp.m.ik[valor],
  desp.m.ik[nucleo], $B136,
  desp.m.ik[variavel], $B$126,
  desp.m.ik[mes], "&gt;="&amp;S$1,
  desp.m.ik[mes], "&lt;"&amp;EOMONTH(S$1,0)+1
)</f>
        <v>0</v>
      </c>
      <c r="T136" s="186">
        <f ca="1">-SUMIFS(
  desp.m.ik[valor],
  desp.m.ik[nucleo], $B136,
  desp.m.ik[variavel], $B$126,
  desp.m.ik[mes], "&gt;="&amp;T$1,
  desp.m.ik[mes], "&lt;"&amp;EOMONTH(T$1,0)+1
)</f>
        <v>0</v>
      </c>
      <c r="U136" s="186">
        <f ca="1">-SUMIFS(
  desp.m.ik[valor],
  desp.m.ik[nucleo], $B136,
  desp.m.ik[variavel], $B$126,
  desp.m.ik[mes], "&gt;="&amp;U$1,
  desp.m.ik[mes], "&lt;"&amp;EOMONTH(U$1,0)+1
)</f>
        <v>0</v>
      </c>
      <c r="V136" s="186">
        <f ca="1">-SUMIFS(
  desp.m.ik[valor],
  desp.m.ik[nucleo], $B136,
  desp.m.ik[variavel], $B$126,
  desp.m.ik[mes], "&gt;="&amp;V$1,
  desp.m.ik[mes], "&lt;"&amp;EOMONTH(V$1,0)+1
)</f>
        <v>0</v>
      </c>
      <c r="W136" s="186">
        <f ca="1">-SUMIFS(
  desp.m.ik[valor],
  desp.m.ik[nucleo], $B136,
  desp.m.ik[variavel], $B$126,
  desp.m.ik[mes], "&gt;="&amp;W$1,
  desp.m.ik[mes], "&lt;"&amp;EOMONTH(W$1,0)+1
)</f>
        <v>0</v>
      </c>
      <c r="X136" s="186">
        <f ca="1">-SUMIFS(
  desp.m.ik[valor],
  desp.m.ik[nucleo], $B136,
  desp.m.ik[variavel], $B$126,
  desp.m.ik[mes], "&gt;="&amp;X$1,
  desp.m.ik[mes], "&lt;"&amp;EOMONTH(X$1,0)+1
)</f>
        <v>0</v>
      </c>
      <c r="Y136" s="186">
        <f ca="1">-SUMIFS(
  desp.m.ik[valor],
  desp.m.ik[nucleo], $B136,
  desp.m.ik[variavel], $B$126,
  desp.m.ik[mes], "&gt;="&amp;Y$1,
  desp.m.ik[mes], "&lt;"&amp;EOMONTH(Y$1,0)+1
)</f>
        <v>0</v>
      </c>
      <c r="Z136" s="186">
        <f ca="1">-SUMIFS(
  desp.m.ik[valor],
  desp.m.ik[nucleo], $B136,
  desp.m.ik[variavel], $B$126,
  desp.m.ik[mes], "&gt;="&amp;Z$1,
  desp.m.ik[mes], "&lt;"&amp;EOMONTH(Z$1,0)+1
)</f>
        <v>0</v>
      </c>
      <c r="AA136" s="186">
        <f ca="1">-SUMIFS(
  desp.m.ik[valor],
  desp.m.ik[nucleo], $B136,
  desp.m.ik[variavel], $B$126,
  desp.m.ik[mes], "&gt;="&amp;AA$1,
  desp.m.ik[mes], "&lt;"&amp;EOMONTH(AA$1,0)+1
)</f>
        <v>0</v>
      </c>
      <c r="AC136" s="178">
        <f t="shared" ca="1" si="31"/>
        <v>0</v>
      </c>
      <c r="AE136" s="178">
        <f t="shared" ca="1" si="19"/>
        <v>0</v>
      </c>
    </row>
    <row r="137" spans="1:31" hidden="1" outlineLevel="2" x14ac:dyDescent="0.25">
      <c r="A137" s="185" t="s">
        <v>1169</v>
      </c>
      <c r="B137" s="185" t="s">
        <v>573</v>
      </c>
      <c r="C137" s="138" t="s">
        <v>514</v>
      </c>
      <c r="D137" s="186">
        <f ca="1">-SUMIFS(
  desp.m.ik[valor],
  desp.m.ik[nucleo], $B137,
  desp.m.ik[variavel], $B$126,
  desp.m.ik[mes], "&gt;="&amp;D$1,
  desp.m.ik[mes], "&lt;"&amp;EOMONTH(D$1,0)+1
)</f>
        <v>0</v>
      </c>
      <c r="E137" s="186">
        <f ca="1">-SUMIFS(
  desp.m.ik[valor],
  desp.m.ik[nucleo], $B137,
  desp.m.ik[variavel], $B$126,
  desp.m.ik[mes], "&gt;="&amp;E$1,
  desp.m.ik[mes], "&lt;"&amp;EOMONTH(E$1,0)+1
)</f>
        <v>0</v>
      </c>
      <c r="F137" s="186">
        <f ca="1">-SUMIFS(
  desp.m.ik[valor],
  desp.m.ik[nucleo], $B137,
  desp.m.ik[variavel], $B$126,
  desp.m.ik[mes], "&gt;="&amp;F$1,
  desp.m.ik[mes], "&lt;"&amp;EOMONTH(F$1,0)+1
)</f>
        <v>0</v>
      </c>
      <c r="G137" s="186">
        <f ca="1">-SUMIFS(
  desp.m.ik[valor],
  desp.m.ik[nucleo], $B137,
  desp.m.ik[variavel], $B$126,
  desp.m.ik[mes], "&gt;="&amp;G$1,
  desp.m.ik[mes], "&lt;"&amp;EOMONTH(G$1,0)+1
)</f>
        <v>0</v>
      </c>
      <c r="H137" s="186">
        <f ca="1">-SUMIFS(
  desp.m.ik[valor],
  desp.m.ik[nucleo], $B137,
  desp.m.ik[variavel], $B$126,
  desp.m.ik[mes], "&gt;="&amp;H$1,
  desp.m.ik[mes], "&lt;"&amp;EOMONTH(H$1,0)+1
)</f>
        <v>0</v>
      </c>
      <c r="I137" s="186">
        <f ca="1">-SUMIFS(
  desp.m.ik[valor],
  desp.m.ik[nucleo], $B137,
  desp.m.ik[variavel], $B$126,
  desp.m.ik[mes], "&gt;="&amp;I$1,
  desp.m.ik[mes], "&lt;"&amp;EOMONTH(I$1,0)+1
)</f>
        <v>0</v>
      </c>
      <c r="J137" s="186">
        <f ca="1">-SUMIFS(
  desp.m.ik[valor],
  desp.m.ik[nucleo], $B137,
  desp.m.ik[variavel], $B$126,
  desp.m.ik[mes], "&gt;="&amp;J$1,
  desp.m.ik[mes], "&lt;"&amp;EOMONTH(J$1,0)+1
)</f>
        <v>0</v>
      </c>
      <c r="K137" s="186">
        <f ca="1">-SUMIFS(
  desp.m.ik[valor],
  desp.m.ik[nucleo], $B137,
  desp.m.ik[variavel], $B$126,
  desp.m.ik[mes], "&gt;="&amp;K$1,
  desp.m.ik[mes], "&lt;"&amp;EOMONTH(K$1,0)+1
)</f>
        <v>0</v>
      </c>
      <c r="L137" s="186">
        <f ca="1">-SUMIFS(
  desp.m.ik[valor],
  desp.m.ik[nucleo], $B137,
  desp.m.ik[variavel], $B$126,
  desp.m.ik[mes], "&gt;="&amp;L$1,
  desp.m.ik[mes], "&lt;"&amp;EOMONTH(L$1,0)+1
)</f>
        <v>0</v>
      </c>
      <c r="M137" s="186">
        <f ca="1">-SUMIFS(
  desp.m.ik[valor],
  desp.m.ik[nucleo], $B137,
  desp.m.ik[variavel], $B$126,
  desp.m.ik[mes], "&gt;="&amp;M$1,
  desp.m.ik[mes], "&lt;"&amp;EOMONTH(M$1,0)+1
)</f>
        <v>0</v>
      </c>
      <c r="N137" s="186">
        <f ca="1">-SUMIFS(
  desp.m.ik[valor],
  desp.m.ik[nucleo], $B137,
  desp.m.ik[variavel], $B$126,
  desp.m.ik[mes], "&gt;="&amp;N$1,
  desp.m.ik[mes], "&lt;"&amp;EOMONTH(N$1,0)+1
)</f>
        <v>0</v>
      </c>
      <c r="O137" s="186">
        <f ca="1">-SUMIFS(
  desp.m.ik[valor],
  desp.m.ik[nucleo], $B137,
  desp.m.ik[variavel], $B$126,
  desp.m.ik[mes], "&gt;="&amp;O$1,
  desp.m.ik[mes], "&lt;"&amp;EOMONTH(O$1,0)+1
)</f>
        <v>0</v>
      </c>
      <c r="P137" s="186">
        <f ca="1">-SUMIFS(
  desp.m.ik[valor],
  desp.m.ik[nucleo], $B137,
  desp.m.ik[variavel], $B$126,
  desp.m.ik[mes], "&gt;="&amp;P$1,
  desp.m.ik[mes], "&lt;"&amp;EOMONTH(P$1,0)+1
)</f>
        <v>0</v>
      </c>
      <c r="Q137" s="186">
        <f ca="1">-SUMIFS(
  desp.m.ik[valor],
  desp.m.ik[nucleo], $B137,
  desp.m.ik[variavel], $B$126,
  desp.m.ik[mes], "&gt;="&amp;Q$1,
  desp.m.ik[mes], "&lt;"&amp;EOMONTH(Q$1,0)+1
)</f>
        <v>0</v>
      </c>
      <c r="R137" s="186">
        <f ca="1">-SUMIFS(
  desp.m.ik[valor],
  desp.m.ik[nucleo], $B137,
  desp.m.ik[variavel], $B$126,
  desp.m.ik[mes], "&gt;="&amp;R$1,
  desp.m.ik[mes], "&lt;"&amp;EOMONTH(R$1,0)+1
)</f>
        <v>0</v>
      </c>
      <c r="S137" s="186">
        <f ca="1">-SUMIFS(
  desp.m.ik[valor],
  desp.m.ik[nucleo], $B137,
  desp.m.ik[variavel], $B$126,
  desp.m.ik[mes], "&gt;="&amp;S$1,
  desp.m.ik[mes], "&lt;"&amp;EOMONTH(S$1,0)+1
)</f>
        <v>0</v>
      </c>
      <c r="T137" s="186">
        <f ca="1">-SUMIFS(
  desp.m.ik[valor],
  desp.m.ik[nucleo], $B137,
  desp.m.ik[variavel], $B$126,
  desp.m.ik[mes], "&gt;="&amp;T$1,
  desp.m.ik[mes], "&lt;"&amp;EOMONTH(T$1,0)+1
)</f>
        <v>0</v>
      </c>
      <c r="U137" s="186">
        <f ca="1">-SUMIFS(
  desp.m.ik[valor],
  desp.m.ik[nucleo], $B137,
  desp.m.ik[variavel], $B$126,
  desp.m.ik[mes], "&gt;="&amp;U$1,
  desp.m.ik[mes], "&lt;"&amp;EOMONTH(U$1,0)+1
)</f>
        <v>0</v>
      </c>
      <c r="V137" s="186">
        <f ca="1">-SUMIFS(
  desp.m.ik[valor],
  desp.m.ik[nucleo], $B137,
  desp.m.ik[variavel], $B$126,
  desp.m.ik[mes], "&gt;="&amp;V$1,
  desp.m.ik[mes], "&lt;"&amp;EOMONTH(V$1,0)+1
)</f>
        <v>0</v>
      </c>
      <c r="W137" s="186">
        <f ca="1">-SUMIFS(
  desp.m.ik[valor],
  desp.m.ik[nucleo], $B137,
  desp.m.ik[variavel], $B$126,
  desp.m.ik[mes], "&gt;="&amp;W$1,
  desp.m.ik[mes], "&lt;"&amp;EOMONTH(W$1,0)+1
)</f>
        <v>0</v>
      </c>
      <c r="X137" s="186">
        <f ca="1">-SUMIFS(
  desp.m.ik[valor],
  desp.m.ik[nucleo], $B137,
  desp.m.ik[variavel], $B$126,
  desp.m.ik[mes], "&gt;="&amp;X$1,
  desp.m.ik[mes], "&lt;"&amp;EOMONTH(X$1,0)+1
)</f>
        <v>0</v>
      </c>
      <c r="Y137" s="186">
        <f ca="1">-SUMIFS(
  desp.m.ik[valor],
  desp.m.ik[nucleo], $B137,
  desp.m.ik[variavel], $B$126,
  desp.m.ik[mes], "&gt;="&amp;Y$1,
  desp.m.ik[mes], "&lt;"&amp;EOMONTH(Y$1,0)+1
)</f>
        <v>0</v>
      </c>
      <c r="Z137" s="186">
        <f ca="1">-SUMIFS(
  desp.m.ik[valor],
  desp.m.ik[nucleo], $B137,
  desp.m.ik[variavel], $B$126,
  desp.m.ik[mes], "&gt;="&amp;Z$1,
  desp.m.ik[mes], "&lt;"&amp;EOMONTH(Z$1,0)+1
)</f>
        <v>0</v>
      </c>
      <c r="AA137" s="186">
        <f ca="1">-SUMIFS(
  desp.m.ik[valor],
  desp.m.ik[nucleo], $B137,
  desp.m.ik[variavel], $B$126,
  desp.m.ik[mes], "&gt;="&amp;AA$1,
  desp.m.ik[mes], "&lt;"&amp;EOMONTH(AA$1,0)+1
)</f>
        <v>0</v>
      </c>
      <c r="AC137" s="178">
        <f t="shared" ca="1" si="31"/>
        <v>0</v>
      </c>
      <c r="AE137" s="178">
        <f ca="1">SUM(D137:AA137)</f>
        <v>0</v>
      </c>
    </row>
    <row r="138" spans="1:31" hidden="1" outlineLevel="2" x14ac:dyDescent="0.25">
      <c r="A138" s="185" t="s">
        <v>1166</v>
      </c>
      <c r="B138" s="185" t="s">
        <v>571</v>
      </c>
      <c r="C138" s="138" t="s">
        <v>514</v>
      </c>
      <c r="D138" s="186">
        <f ca="1">-SUMIFS(
  desp.m.ik[valor],
  desp.m.ik[nucleo], $B138,
  desp.m.ik[variavel], $B$126,
  desp.m.ik[mes], "&gt;="&amp;D$1,
  desp.m.ik[mes], "&lt;"&amp;EOMONTH(D$1,0)+1
)</f>
        <v>0</v>
      </c>
      <c r="E138" s="186">
        <f ca="1">-SUMIFS(
  desp.m.ik[valor],
  desp.m.ik[nucleo], $B138,
  desp.m.ik[variavel], $B$126,
  desp.m.ik[mes], "&gt;="&amp;E$1,
  desp.m.ik[mes], "&lt;"&amp;EOMONTH(E$1,0)+1
)</f>
        <v>0</v>
      </c>
      <c r="F138" s="186">
        <f ca="1">-SUMIFS(
  desp.m.ik[valor],
  desp.m.ik[nucleo], $B138,
  desp.m.ik[variavel], $B$126,
  desp.m.ik[mes], "&gt;="&amp;F$1,
  desp.m.ik[mes], "&lt;"&amp;EOMONTH(F$1,0)+1
)</f>
        <v>0</v>
      </c>
      <c r="G138" s="186">
        <f ca="1">-SUMIFS(
  desp.m.ik[valor],
  desp.m.ik[nucleo], $B138,
  desp.m.ik[variavel], $B$126,
  desp.m.ik[mes], "&gt;="&amp;G$1,
  desp.m.ik[mes], "&lt;"&amp;EOMONTH(G$1,0)+1
)</f>
        <v>0</v>
      </c>
      <c r="H138" s="186">
        <f ca="1">-SUMIFS(
  desp.m.ik[valor],
  desp.m.ik[nucleo], $B138,
  desp.m.ik[variavel], $B$126,
  desp.m.ik[mes], "&gt;="&amp;H$1,
  desp.m.ik[mes], "&lt;"&amp;EOMONTH(H$1,0)+1
)</f>
        <v>0</v>
      </c>
      <c r="I138" s="186">
        <f ca="1">-SUMIFS(
  desp.m.ik[valor],
  desp.m.ik[nucleo], $B138,
  desp.m.ik[variavel], $B$126,
  desp.m.ik[mes], "&gt;="&amp;I$1,
  desp.m.ik[mes], "&lt;"&amp;EOMONTH(I$1,0)+1
)</f>
        <v>0</v>
      </c>
      <c r="J138" s="186">
        <f ca="1">-SUMIFS(
  desp.m.ik[valor],
  desp.m.ik[nucleo], $B138,
  desp.m.ik[variavel], $B$126,
  desp.m.ik[mes], "&gt;="&amp;J$1,
  desp.m.ik[mes], "&lt;"&amp;EOMONTH(J$1,0)+1
)</f>
        <v>0</v>
      </c>
      <c r="K138" s="186">
        <f ca="1">-SUMIFS(
  desp.m.ik[valor],
  desp.m.ik[nucleo], $B138,
  desp.m.ik[variavel], $B$126,
  desp.m.ik[mes], "&gt;="&amp;K$1,
  desp.m.ik[mes], "&lt;"&amp;EOMONTH(K$1,0)+1
)</f>
        <v>0</v>
      </c>
      <c r="L138" s="186">
        <f ca="1">-SUMIFS(
  desp.m.ik[valor],
  desp.m.ik[nucleo], $B138,
  desp.m.ik[variavel], $B$126,
  desp.m.ik[mes], "&gt;="&amp;L$1,
  desp.m.ik[mes], "&lt;"&amp;EOMONTH(L$1,0)+1
)</f>
        <v>0</v>
      </c>
      <c r="M138" s="186">
        <f ca="1">-SUMIFS(
  desp.m.ik[valor],
  desp.m.ik[nucleo], $B138,
  desp.m.ik[variavel], $B$126,
  desp.m.ik[mes], "&gt;="&amp;M$1,
  desp.m.ik[mes], "&lt;"&amp;EOMONTH(M$1,0)+1
)</f>
        <v>0</v>
      </c>
      <c r="N138" s="186">
        <f ca="1">-SUMIFS(
  desp.m.ik[valor],
  desp.m.ik[nucleo], $B138,
  desp.m.ik[variavel], $B$126,
  desp.m.ik[mes], "&gt;="&amp;N$1,
  desp.m.ik[mes], "&lt;"&amp;EOMONTH(N$1,0)+1
)</f>
        <v>0</v>
      </c>
      <c r="O138" s="186">
        <f ca="1">-SUMIFS(
  desp.m.ik[valor],
  desp.m.ik[nucleo], $B138,
  desp.m.ik[variavel], $B$126,
  desp.m.ik[mes], "&gt;="&amp;O$1,
  desp.m.ik[mes], "&lt;"&amp;EOMONTH(O$1,0)+1
)</f>
        <v>0</v>
      </c>
      <c r="P138" s="186">
        <f ca="1">-SUMIFS(
  desp.m.ik[valor],
  desp.m.ik[nucleo], $B138,
  desp.m.ik[variavel], $B$126,
  desp.m.ik[mes], "&gt;="&amp;P$1,
  desp.m.ik[mes], "&lt;"&amp;EOMONTH(P$1,0)+1
)</f>
        <v>0</v>
      </c>
      <c r="Q138" s="186">
        <f ca="1">-SUMIFS(
  desp.m.ik[valor],
  desp.m.ik[nucleo], $B138,
  desp.m.ik[variavel], $B$126,
  desp.m.ik[mes], "&gt;="&amp;Q$1,
  desp.m.ik[mes], "&lt;"&amp;EOMONTH(Q$1,0)+1
)</f>
        <v>0</v>
      </c>
      <c r="R138" s="186">
        <f ca="1">-SUMIFS(
  desp.m.ik[valor],
  desp.m.ik[nucleo], $B138,
  desp.m.ik[variavel], $B$126,
  desp.m.ik[mes], "&gt;="&amp;R$1,
  desp.m.ik[mes], "&lt;"&amp;EOMONTH(R$1,0)+1
)</f>
        <v>0</v>
      </c>
      <c r="S138" s="186">
        <f ca="1">-SUMIFS(
  desp.m.ik[valor],
  desp.m.ik[nucleo], $B138,
  desp.m.ik[variavel], $B$126,
  desp.m.ik[mes], "&gt;="&amp;S$1,
  desp.m.ik[mes], "&lt;"&amp;EOMONTH(S$1,0)+1
)</f>
        <v>0</v>
      </c>
      <c r="T138" s="186">
        <f ca="1">-SUMIFS(
  desp.m.ik[valor],
  desp.m.ik[nucleo], $B138,
  desp.m.ik[variavel], $B$126,
  desp.m.ik[mes], "&gt;="&amp;T$1,
  desp.m.ik[mes], "&lt;"&amp;EOMONTH(T$1,0)+1
)</f>
        <v>0</v>
      </c>
      <c r="U138" s="186">
        <f ca="1">-SUMIFS(
  desp.m.ik[valor],
  desp.m.ik[nucleo], $B138,
  desp.m.ik[variavel], $B$126,
  desp.m.ik[mes], "&gt;="&amp;U$1,
  desp.m.ik[mes], "&lt;"&amp;EOMONTH(U$1,0)+1
)</f>
        <v>0</v>
      </c>
      <c r="V138" s="186">
        <f ca="1">-SUMIFS(
  desp.m.ik[valor],
  desp.m.ik[nucleo], $B138,
  desp.m.ik[variavel], $B$126,
  desp.m.ik[mes], "&gt;="&amp;V$1,
  desp.m.ik[mes], "&lt;"&amp;EOMONTH(V$1,0)+1
)</f>
        <v>0</v>
      </c>
      <c r="W138" s="186">
        <f ca="1">-SUMIFS(
  desp.m.ik[valor],
  desp.m.ik[nucleo], $B138,
  desp.m.ik[variavel], $B$126,
  desp.m.ik[mes], "&gt;="&amp;W$1,
  desp.m.ik[mes], "&lt;"&amp;EOMONTH(W$1,0)+1
)</f>
        <v>0</v>
      </c>
      <c r="X138" s="186">
        <f ca="1">-SUMIFS(
  desp.m.ik[valor],
  desp.m.ik[nucleo], $B138,
  desp.m.ik[variavel], $B$126,
  desp.m.ik[mes], "&gt;="&amp;X$1,
  desp.m.ik[mes], "&lt;"&amp;EOMONTH(X$1,0)+1
)</f>
        <v>0</v>
      </c>
      <c r="Y138" s="186">
        <f ca="1">-SUMIFS(
  desp.m.ik[valor],
  desp.m.ik[nucleo], $B138,
  desp.m.ik[variavel], $B$126,
  desp.m.ik[mes], "&gt;="&amp;Y$1,
  desp.m.ik[mes], "&lt;"&amp;EOMONTH(Y$1,0)+1
)</f>
        <v>0</v>
      </c>
      <c r="Z138" s="186">
        <f ca="1">-SUMIFS(
  desp.m.ik[valor],
  desp.m.ik[nucleo], $B138,
  desp.m.ik[variavel], $B$126,
  desp.m.ik[mes], "&gt;="&amp;Z$1,
  desp.m.ik[mes], "&lt;"&amp;EOMONTH(Z$1,0)+1
)</f>
        <v>0</v>
      </c>
      <c r="AA138" s="186">
        <f ca="1">-SUMIFS(
  desp.m.ik[valor],
  desp.m.ik[nucleo], $B138,
  desp.m.ik[variavel], $B$126,
  desp.m.ik[mes], "&gt;="&amp;AA$1,
  desp.m.ik[mes], "&lt;"&amp;EOMONTH(AA$1,0)+1
)</f>
        <v>0</v>
      </c>
      <c r="AC138" s="178">
        <f t="shared" ca="1" si="31"/>
        <v>0</v>
      </c>
      <c r="AE138" s="178">
        <f t="shared" ca="1" si="19"/>
        <v>0</v>
      </c>
    </row>
    <row r="139" spans="1:31" hidden="1" outlineLevel="2" x14ac:dyDescent="0.25">
      <c r="A139" s="185" t="s">
        <v>1167</v>
      </c>
      <c r="B139" s="185" t="s">
        <v>561</v>
      </c>
      <c r="C139" s="138" t="s">
        <v>514</v>
      </c>
      <c r="D139" s="186">
        <f ca="1">-SUMIFS(
  desp.m.ik[valor],
  desp.m.ik[nucleo], $B139,
  desp.m.ik[variavel], $B$126,
  desp.m.ik[mes], "&gt;="&amp;D$1,
  desp.m.ik[mes], "&lt;"&amp;EOMONTH(D$1,0)+1
)</f>
        <v>0</v>
      </c>
      <c r="E139" s="186">
        <f ca="1">-SUMIFS(
  desp.m.ik[valor],
  desp.m.ik[nucleo], $B139,
  desp.m.ik[variavel], $B$126,
  desp.m.ik[mes], "&gt;="&amp;E$1,
  desp.m.ik[mes], "&lt;"&amp;EOMONTH(E$1,0)+1
)</f>
        <v>0</v>
      </c>
      <c r="F139" s="186">
        <f ca="1">-SUMIFS(
  desp.m.ik[valor],
  desp.m.ik[nucleo], $B139,
  desp.m.ik[variavel], $B$126,
  desp.m.ik[mes], "&gt;="&amp;F$1,
  desp.m.ik[mes], "&lt;"&amp;EOMONTH(F$1,0)+1
)</f>
        <v>0</v>
      </c>
      <c r="G139" s="186">
        <f ca="1">-SUMIFS(
  desp.m.ik[valor],
  desp.m.ik[nucleo], $B139,
  desp.m.ik[variavel], $B$126,
  desp.m.ik[mes], "&gt;="&amp;G$1,
  desp.m.ik[mes], "&lt;"&amp;EOMONTH(G$1,0)+1
)</f>
        <v>0</v>
      </c>
      <c r="H139" s="186">
        <f ca="1">-SUMIFS(
  desp.m.ik[valor],
  desp.m.ik[nucleo], $B139,
  desp.m.ik[variavel], $B$126,
  desp.m.ik[mes], "&gt;="&amp;H$1,
  desp.m.ik[mes], "&lt;"&amp;EOMONTH(H$1,0)+1
)</f>
        <v>0</v>
      </c>
      <c r="I139" s="186">
        <f ca="1">-SUMIFS(
  desp.m.ik[valor],
  desp.m.ik[nucleo], $B139,
  desp.m.ik[variavel], $B$126,
  desp.m.ik[mes], "&gt;="&amp;I$1,
  desp.m.ik[mes], "&lt;"&amp;EOMONTH(I$1,0)+1
)</f>
        <v>0</v>
      </c>
      <c r="J139" s="186">
        <f ca="1">-SUMIFS(
  desp.m.ik[valor],
  desp.m.ik[nucleo], $B139,
  desp.m.ik[variavel], $B$126,
  desp.m.ik[mes], "&gt;="&amp;J$1,
  desp.m.ik[mes], "&lt;"&amp;EOMONTH(J$1,0)+1
)</f>
        <v>0</v>
      </c>
      <c r="K139" s="186">
        <f ca="1">-SUMIFS(
  desp.m.ik[valor],
  desp.m.ik[nucleo], $B139,
  desp.m.ik[variavel], $B$126,
  desp.m.ik[mes], "&gt;="&amp;K$1,
  desp.m.ik[mes], "&lt;"&amp;EOMONTH(K$1,0)+1
)</f>
        <v>0</v>
      </c>
      <c r="L139" s="186">
        <f ca="1">-SUMIFS(
  desp.m.ik[valor],
  desp.m.ik[nucleo], $B139,
  desp.m.ik[variavel], $B$126,
  desp.m.ik[mes], "&gt;="&amp;L$1,
  desp.m.ik[mes], "&lt;"&amp;EOMONTH(L$1,0)+1
)</f>
        <v>0</v>
      </c>
      <c r="M139" s="186">
        <f ca="1">-SUMIFS(
  desp.m.ik[valor],
  desp.m.ik[nucleo], $B139,
  desp.m.ik[variavel], $B$126,
  desp.m.ik[mes], "&gt;="&amp;M$1,
  desp.m.ik[mes], "&lt;"&amp;EOMONTH(M$1,0)+1
)</f>
        <v>0</v>
      </c>
      <c r="N139" s="186">
        <f ca="1">-SUMIFS(
  desp.m.ik[valor],
  desp.m.ik[nucleo], $B139,
  desp.m.ik[variavel], $B$126,
  desp.m.ik[mes], "&gt;="&amp;N$1,
  desp.m.ik[mes], "&lt;"&amp;EOMONTH(N$1,0)+1
)</f>
        <v>0</v>
      </c>
      <c r="O139" s="186">
        <f ca="1">-SUMIFS(
  desp.m.ik[valor],
  desp.m.ik[nucleo], $B139,
  desp.m.ik[variavel], $B$126,
  desp.m.ik[mes], "&gt;="&amp;O$1,
  desp.m.ik[mes], "&lt;"&amp;EOMONTH(O$1,0)+1
)</f>
        <v>0</v>
      </c>
      <c r="P139" s="186">
        <f ca="1">-SUMIFS(
  desp.m.ik[valor],
  desp.m.ik[nucleo], $B139,
  desp.m.ik[variavel], $B$126,
  desp.m.ik[mes], "&gt;="&amp;P$1,
  desp.m.ik[mes], "&lt;"&amp;EOMONTH(P$1,0)+1
)</f>
        <v>0</v>
      </c>
      <c r="Q139" s="186">
        <f ca="1">-SUMIFS(
  desp.m.ik[valor],
  desp.m.ik[nucleo], $B139,
  desp.m.ik[variavel], $B$126,
  desp.m.ik[mes], "&gt;="&amp;Q$1,
  desp.m.ik[mes], "&lt;"&amp;EOMONTH(Q$1,0)+1
)</f>
        <v>0</v>
      </c>
      <c r="R139" s="186">
        <f ca="1">-SUMIFS(
  desp.m.ik[valor],
  desp.m.ik[nucleo], $B139,
  desp.m.ik[variavel], $B$126,
  desp.m.ik[mes], "&gt;="&amp;R$1,
  desp.m.ik[mes], "&lt;"&amp;EOMONTH(R$1,0)+1
)</f>
        <v>0</v>
      </c>
      <c r="S139" s="186">
        <f ca="1">-SUMIFS(
  desp.m.ik[valor],
  desp.m.ik[nucleo], $B139,
  desp.m.ik[variavel], $B$126,
  desp.m.ik[mes], "&gt;="&amp;S$1,
  desp.m.ik[mes], "&lt;"&amp;EOMONTH(S$1,0)+1
)</f>
        <v>0</v>
      </c>
      <c r="T139" s="186">
        <f ca="1">-SUMIFS(
  desp.m.ik[valor],
  desp.m.ik[nucleo], $B139,
  desp.m.ik[variavel], $B$126,
  desp.m.ik[mes], "&gt;="&amp;T$1,
  desp.m.ik[mes], "&lt;"&amp;EOMONTH(T$1,0)+1
)</f>
        <v>0</v>
      </c>
      <c r="U139" s="186">
        <f ca="1">-SUMIFS(
  desp.m.ik[valor],
  desp.m.ik[nucleo], $B139,
  desp.m.ik[variavel], $B$126,
  desp.m.ik[mes], "&gt;="&amp;U$1,
  desp.m.ik[mes], "&lt;"&amp;EOMONTH(U$1,0)+1
)</f>
        <v>0</v>
      </c>
      <c r="V139" s="186">
        <f ca="1">-SUMIFS(
  desp.m.ik[valor],
  desp.m.ik[nucleo], $B139,
  desp.m.ik[variavel], $B$126,
  desp.m.ik[mes], "&gt;="&amp;V$1,
  desp.m.ik[mes], "&lt;"&amp;EOMONTH(V$1,0)+1
)</f>
        <v>0</v>
      </c>
      <c r="W139" s="186">
        <f ca="1">-SUMIFS(
  desp.m.ik[valor],
  desp.m.ik[nucleo], $B139,
  desp.m.ik[variavel], $B$126,
  desp.m.ik[mes], "&gt;="&amp;W$1,
  desp.m.ik[mes], "&lt;"&amp;EOMONTH(W$1,0)+1
)</f>
        <v>0</v>
      </c>
      <c r="X139" s="186">
        <f ca="1">-SUMIFS(
  desp.m.ik[valor],
  desp.m.ik[nucleo], $B139,
  desp.m.ik[variavel], $B$126,
  desp.m.ik[mes], "&gt;="&amp;X$1,
  desp.m.ik[mes], "&lt;"&amp;EOMONTH(X$1,0)+1
)</f>
        <v>0</v>
      </c>
      <c r="Y139" s="186">
        <f ca="1">-SUMIFS(
  desp.m.ik[valor],
  desp.m.ik[nucleo], $B139,
  desp.m.ik[variavel], $B$126,
  desp.m.ik[mes], "&gt;="&amp;Y$1,
  desp.m.ik[mes], "&lt;"&amp;EOMONTH(Y$1,0)+1
)</f>
        <v>0</v>
      </c>
      <c r="Z139" s="186">
        <f ca="1">-SUMIFS(
  desp.m.ik[valor],
  desp.m.ik[nucleo], $B139,
  desp.m.ik[variavel], $B$126,
  desp.m.ik[mes], "&gt;="&amp;Z$1,
  desp.m.ik[mes], "&lt;"&amp;EOMONTH(Z$1,0)+1
)</f>
        <v>0</v>
      </c>
      <c r="AA139" s="186">
        <f ca="1">-SUMIFS(
  desp.m.ik[valor],
  desp.m.ik[nucleo], $B139,
  desp.m.ik[variavel], $B$126,
  desp.m.ik[mes], "&gt;="&amp;AA$1,
  desp.m.ik[mes], "&lt;"&amp;EOMONTH(AA$1,0)+1
)</f>
        <v>0</v>
      </c>
      <c r="AC139" s="178">
        <f t="shared" ca="1" si="31"/>
        <v>0</v>
      </c>
      <c r="AE139" s="178">
        <f t="shared" ca="1" si="19"/>
        <v>0</v>
      </c>
    </row>
    <row r="140" spans="1:31" hidden="1" outlineLevel="2" x14ac:dyDescent="0.25">
      <c r="A140" s="185" t="s">
        <v>1168</v>
      </c>
      <c r="B140" s="185" t="s">
        <v>562</v>
      </c>
      <c r="C140" s="138" t="s">
        <v>514</v>
      </c>
      <c r="D140" s="186">
        <f ca="1">-SUMIFS(
  desp.m.ik[valor],
  desp.m.ik[nucleo], $B140,
  desp.m.ik[variavel], $B$126,
  desp.m.ik[mes], "&gt;="&amp;D$1,
  desp.m.ik[mes], "&lt;"&amp;EOMONTH(D$1,0)+1
)</f>
        <v>0</v>
      </c>
      <c r="E140" s="186">
        <f ca="1">-SUMIFS(
  desp.m.ik[valor],
  desp.m.ik[nucleo], $B140,
  desp.m.ik[variavel], $B$126,
  desp.m.ik[mes], "&gt;="&amp;E$1,
  desp.m.ik[mes], "&lt;"&amp;EOMONTH(E$1,0)+1
)</f>
        <v>0</v>
      </c>
      <c r="F140" s="186">
        <f ca="1">-SUMIFS(
  desp.m.ik[valor],
  desp.m.ik[nucleo], $B140,
  desp.m.ik[variavel], $B$126,
  desp.m.ik[mes], "&gt;="&amp;F$1,
  desp.m.ik[mes], "&lt;"&amp;EOMONTH(F$1,0)+1
)</f>
        <v>0</v>
      </c>
      <c r="G140" s="186">
        <f ca="1">-SUMIFS(
  desp.m.ik[valor],
  desp.m.ik[nucleo], $B140,
  desp.m.ik[variavel], $B$126,
  desp.m.ik[mes], "&gt;="&amp;G$1,
  desp.m.ik[mes], "&lt;"&amp;EOMONTH(G$1,0)+1
)</f>
        <v>0</v>
      </c>
      <c r="H140" s="186">
        <f ca="1">-SUMIFS(
  desp.m.ik[valor],
  desp.m.ik[nucleo], $B140,
  desp.m.ik[variavel], $B$126,
  desp.m.ik[mes], "&gt;="&amp;H$1,
  desp.m.ik[mes], "&lt;"&amp;EOMONTH(H$1,0)+1
)</f>
        <v>0</v>
      </c>
      <c r="I140" s="186">
        <f ca="1">-SUMIFS(
  desp.m.ik[valor],
  desp.m.ik[nucleo], $B140,
  desp.m.ik[variavel], $B$126,
  desp.m.ik[mes], "&gt;="&amp;I$1,
  desp.m.ik[mes], "&lt;"&amp;EOMONTH(I$1,0)+1
)</f>
        <v>0</v>
      </c>
      <c r="J140" s="186">
        <f ca="1">-SUMIFS(
  desp.m.ik[valor],
  desp.m.ik[nucleo], $B140,
  desp.m.ik[variavel], $B$126,
  desp.m.ik[mes], "&gt;="&amp;J$1,
  desp.m.ik[mes], "&lt;"&amp;EOMONTH(J$1,0)+1
)</f>
        <v>0</v>
      </c>
      <c r="K140" s="186">
        <f ca="1">-SUMIFS(
  desp.m.ik[valor],
  desp.m.ik[nucleo], $B140,
  desp.m.ik[variavel], $B$126,
  desp.m.ik[mes], "&gt;="&amp;K$1,
  desp.m.ik[mes], "&lt;"&amp;EOMONTH(K$1,0)+1
)</f>
        <v>0</v>
      </c>
      <c r="L140" s="186">
        <f ca="1">-SUMIFS(
  desp.m.ik[valor],
  desp.m.ik[nucleo], $B140,
  desp.m.ik[variavel], $B$126,
  desp.m.ik[mes], "&gt;="&amp;L$1,
  desp.m.ik[mes], "&lt;"&amp;EOMONTH(L$1,0)+1
)</f>
        <v>0</v>
      </c>
      <c r="M140" s="186">
        <f ca="1">-SUMIFS(
  desp.m.ik[valor],
  desp.m.ik[nucleo], $B140,
  desp.m.ik[variavel], $B$126,
  desp.m.ik[mes], "&gt;="&amp;M$1,
  desp.m.ik[mes], "&lt;"&amp;EOMONTH(M$1,0)+1
)</f>
        <v>0</v>
      </c>
      <c r="N140" s="186">
        <f ca="1">-SUMIFS(
  desp.m.ik[valor],
  desp.m.ik[nucleo], $B140,
  desp.m.ik[variavel], $B$126,
  desp.m.ik[mes], "&gt;="&amp;N$1,
  desp.m.ik[mes], "&lt;"&amp;EOMONTH(N$1,0)+1
)</f>
        <v>0</v>
      </c>
      <c r="O140" s="186">
        <f ca="1">-SUMIFS(
  desp.m.ik[valor],
  desp.m.ik[nucleo], $B140,
  desp.m.ik[variavel], $B$126,
  desp.m.ik[mes], "&gt;="&amp;O$1,
  desp.m.ik[mes], "&lt;"&amp;EOMONTH(O$1,0)+1
)</f>
        <v>0</v>
      </c>
      <c r="P140" s="186">
        <f ca="1">-SUMIFS(
  desp.m.ik[valor],
  desp.m.ik[nucleo], $B140,
  desp.m.ik[variavel], $B$126,
  desp.m.ik[mes], "&gt;="&amp;P$1,
  desp.m.ik[mes], "&lt;"&amp;EOMONTH(P$1,0)+1
)</f>
        <v>0</v>
      </c>
      <c r="Q140" s="186">
        <f ca="1">-SUMIFS(
  desp.m.ik[valor],
  desp.m.ik[nucleo], $B140,
  desp.m.ik[variavel], $B$126,
  desp.m.ik[mes], "&gt;="&amp;Q$1,
  desp.m.ik[mes], "&lt;"&amp;EOMONTH(Q$1,0)+1
)</f>
        <v>0</v>
      </c>
      <c r="R140" s="186">
        <f ca="1">-SUMIFS(
  desp.m.ik[valor],
  desp.m.ik[nucleo], $B140,
  desp.m.ik[variavel], $B$126,
  desp.m.ik[mes], "&gt;="&amp;R$1,
  desp.m.ik[mes], "&lt;"&amp;EOMONTH(R$1,0)+1
)</f>
        <v>0</v>
      </c>
      <c r="S140" s="186">
        <f ca="1">-SUMIFS(
  desp.m.ik[valor],
  desp.m.ik[nucleo], $B140,
  desp.m.ik[variavel], $B$126,
  desp.m.ik[mes], "&gt;="&amp;S$1,
  desp.m.ik[mes], "&lt;"&amp;EOMONTH(S$1,0)+1
)</f>
        <v>0</v>
      </c>
      <c r="T140" s="186">
        <f ca="1">-SUMIFS(
  desp.m.ik[valor],
  desp.m.ik[nucleo], $B140,
  desp.m.ik[variavel], $B$126,
  desp.m.ik[mes], "&gt;="&amp;T$1,
  desp.m.ik[mes], "&lt;"&amp;EOMONTH(T$1,0)+1
)</f>
        <v>0</v>
      </c>
      <c r="U140" s="186">
        <f ca="1">-SUMIFS(
  desp.m.ik[valor],
  desp.m.ik[nucleo], $B140,
  desp.m.ik[variavel], $B$126,
  desp.m.ik[mes], "&gt;="&amp;U$1,
  desp.m.ik[mes], "&lt;"&amp;EOMONTH(U$1,0)+1
)</f>
        <v>0</v>
      </c>
      <c r="V140" s="186">
        <f ca="1">-SUMIFS(
  desp.m.ik[valor],
  desp.m.ik[nucleo], $B140,
  desp.m.ik[variavel], $B$126,
  desp.m.ik[mes], "&gt;="&amp;V$1,
  desp.m.ik[mes], "&lt;"&amp;EOMONTH(V$1,0)+1
)</f>
        <v>0</v>
      </c>
      <c r="W140" s="186">
        <f ca="1">-SUMIFS(
  desp.m.ik[valor],
  desp.m.ik[nucleo], $B140,
  desp.m.ik[variavel], $B$126,
  desp.m.ik[mes], "&gt;="&amp;W$1,
  desp.m.ik[mes], "&lt;"&amp;EOMONTH(W$1,0)+1
)</f>
        <v>0</v>
      </c>
      <c r="X140" s="186">
        <f ca="1">-SUMIFS(
  desp.m.ik[valor],
  desp.m.ik[nucleo], $B140,
  desp.m.ik[variavel], $B$126,
  desp.m.ik[mes], "&gt;="&amp;X$1,
  desp.m.ik[mes], "&lt;"&amp;EOMONTH(X$1,0)+1
)</f>
        <v>0</v>
      </c>
      <c r="Y140" s="186">
        <f ca="1">-SUMIFS(
  desp.m.ik[valor],
  desp.m.ik[nucleo], $B140,
  desp.m.ik[variavel], $B$126,
  desp.m.ik[mes], "&gt;="&amp;Y$1,
  desp.m.ik[mes], "&lt;"&amp;EOMONTH(Y$1,0)+1
)</f>
        <v>0</v>
      </c>
      <c r="Z140" s="186">
        <f ca="1">-SUMIFS(
  desp.m.ik[valor],
  desp.m.ik[nucleo], $B140,
  desp.m.ik[variavel], $B$126,
  desp.m.ik[mes], "&gt;="&amp;Z$1,
  desp.m.ik[mes], "&lt;"&amp;EOMONTH(Z$1,0)+1
)</f>
        <v>0</v>
      </c>
      <c r="AA140" s="186">
        <f ca="1">-SUMIFS(
  desp.m.ik[valor],
  desp.m.ik[nucleo], $B140,
  desp.m.ik[variavel], $B$126,
  desp.m.ik[mes], "&gt;="&amp;AA$1,
  desp.m.ik[mes], "&lt;"&amp;EOMONTH(AA$1,0)+1
)</f>
        <v>0</v>
      </c>
      <c r="AC140" s="178">
        <f t="shared" ca="1" si="31"/>
        <v>0</v>
      </c>
      <c r="AE140" s="178">
        <f t="shared" ref="AE140:AE193" ca="1" si="32">SUM(D140:AA140)</f>
        <v>0</v>
      </c>
    </row>
    <row r="141" spans="1:31" hidden="1" outlineLevel="2" x14ac:dyDescent="0.25">
      <c r="A141" s="185" t="s">
        <v>1171</v>
      </c>
      <c r="B141" s="185" t="s">
        <v>574</v>
      </c>
      <c r="C141" s="138" t="s">
        <v>514</v>
      </c>
      <c r="D141" s="186">
        <f ca="1">-SUMIFS(
  desp.m.ik[valor],
  desp.m.ik[nucleo], $B141,
  desp.m.ik[variavel], $B$126,
  desp.m.ik[mes], "&gt;="&amp;D$1,
  desp.m.ik[mes], "&lt;"&amp;EOMONTH(D$1,0)+1
)</f>
        <v>0</v>
      </c>
      <c r="E141" s="186">
        <f ca="1">-SUMIFS(
  desp.m.ik[valor],
  desp.m.ik[nucleo], $B141,
  desp.m.ik[variavel], $B$126,
  desp.m.ik[mes], "&gt;="&amp;E$1,
  desp.m.ik[mes], "&lt;"&amp;EOMONTH(E$1,0)+1
)</f>
        <v>0</v>
      </c>
      <c r="F141" s="186">
        <f ca="1">-SUMIFS(
  desp.m.ik[valor],
  desp.m.ik[nucleo], $B141,
  desp.m.ik[variavel], $B$126,
  desp.m.ik[mes], "&gt;="&amp;F$1,
  desp.m.ik[mes], "&lt;"&amp;EOMONTH(F$1,0)+1
)</f>
        <v>0</v>
      </c>
      <c r="G141" s="186">
        <f ca="1">-SUMIFS(
  desp.m.ik[valor],
  desp.m.ik[nucleo], $B141,
  desp.m.ik[variavel], $B$126,
  desp.m.ik[mes], "&gt;="&amp;G$1,
  desp.m.ik[mes], "&lt;"&amp;EOMONTH(G$1,0)+1
)</f>
        <v>0</v>
      </c>
      <c r="H141" s="186">
        <f ca="1">-SUMIFS(
  desp.m.ik[valor],
  desp.m.ik[nucleo], $B141,
  desp.m.ik[variavel], $B$126,
  desp.m.ik[mes], "&gt;="&amp;H$1,
  desp.m.ik[mes], "&lt;"&amp;EOMONTH(H$1,0)+1
)</f>
        <v>0</v>
      </c>
      <c r="I141" s="186">
        <f ca="1">-SUMIFS(
  desp.m.ik[valor],
  desp.m.ik[nucleo], $B141,
  desp.m.ik[variavel], $B$126,
  desp.m.ik[mes], "&gt;="&amp;I$1,
  desp.m.ik[mes], "&lt;"&amp;EOMONTH(I$1,0)+1
)</f>
        <v>0</v>
      </c>
      <c r="J141" s="186">
        <f ca="1">-SUMIFS(
  desp.m.ik[valor],
  desp.m.ik[nucleo], $B141,
  desp.m.ik[variavel], $B$126,
  desp.m.ik[mes], "&gt;="&amp;J$1,
  desp.m.ik[mes], "&lt;"&amp;EOMONTH(J$1,0)+1
)</f>
        <v>0</v>
      </c>
      <c r="K141" s="186">
        <f ca="1">-SUMIFS(
  desp.m.ik[valor],
  desp.m.ik[nucleo], $B141,
  desp.m.ik[variavel], $B$126,
  desp.m.ik[mes], "&gt;="&amp;K$1,
  desp.m.ik[mes], "&lt;"&amp;EOMONTH(K$1,0)+1
)</f>
        <v>0</v>
      </c>
      <c r="L141" s="186">
        <f ca="1">-SUMIFS(
  desp.m.ik[valor],
  desp.m.ik[nucleo], $B141,
  desp.m.ik[variavel], $B$126,
  desp.m.ik[mes], "&gt;="&amp;L$1,
  desp.m.ik[mes], "&lt;"&amp;EOMONTH(L$1,0)+1
)</f>
        <v>0</v>
      </c>
      <c r="M141" s="186">
        <f ca="1">-SUMIFS(
  desp.m.ik[valor],
  desp.m.ik[nucleo], $B141,
  desp.m.ik[variavel], $B$126,
  desp.m.ik[mes], "&gt;="&amp;M$1,
  desp.m.ik[mes], "&lt;"&amp;EOMONTH(M$1,0)+1
)</f>
        <v>0</v>
      </c>
      <c r="N141" s="186">
        <f ca="1">-SUMIFS(
  desp.m.ik[valor],
  desp.m.ik[nucleo], $B141,
  desp.m.ik[variavel], $B$126,
  desp.m.ik[mes], "&gt;="&amp;N$1,
  desp.m.ik[mes], "&lt;"&amp;EOMONTH(N$1,0)+1
)</f>
        <v>0</v>
      </c>
      <c r="O141" s="186">
        <f ca="1">-SUMIFS(
  desp.m.ik[valor],
  desp.m.ik[nucleo], $B141,
  desp.m.ik[variavel], $B$126,
  desp.m.ik[mes], "&gt;="&amp;O$1,
  desp.m.ik[mes], "&lt;"&amp;EOMONTH(O$1,0)+1
)</f>
        <v>0</v>
      </c>
      <c r="P141" s="186">
        <f ca="1">-SUMIFS(
  desp.m.ik[valor],
  desp.m.ik[nucleo], $B141,
  desp.m.ik[variavel], $B$126,
  desp.m.ik[mes], "&gt;="&amp;P$1,
  desp.m.ik[mes], "&lt;"&amp;EOMONTH(P$1,0)+1
)</f>
        <v>0</v>
      </c>
      <c r="Q141" s="186">
        <f ca="1">-SUMIFS(
  desp.m.ik[valor],
  desp.m.ik[nucleo], $B141,
  desp.m.ik[variavel], $B$126,
  desp.m.ik[mes], "&gt;="&amp;Q$1,
  desp.m.ik[mes], "&lt;"&amp;EOMONTH(Q$1,0)+1
)</f>
        <v>0</v>
      </c>
      <c r="R141" s="186">
        <f ca="1">-SUMIFS(
  desp.m.ik[valor],
  desp.m.ik[nucleo], $B141,
  desp.m.ik[variavel], $B$126,
  desp.m.ik[mes], "&gt;="&amp;R$1,
  desp.m.ik[mes], "&lt;"&amp;EOMONTH(R$1,0)+1
)</f>
        <v>0</v>
      </c>
      <c r="S141" s="186">
        <f ca="1">-SUMIFS(
  desp.m.ik[valor],
  desp.m.ik[nucleo], $B141,
  desp.m.ik[variavel], $B$126,
  desp.m.ik[mes], "&gt;="&amp;S$1,
  desp.m.ik[mes], "&lt;"&amp;EOMONTH(S$1,0)+1
)</f>
        <v>0</v>
      </c>
      <c r="T141" s="186">
        <f ca="1">-SUMIFS(
  desp.m.ik[valor],
  desp.m.ik[nucleo], $B141,
  desp.m.ik[variavel], $B$126,
  desp.m.ik[mes], "&gt;="&amp;T$1,
  desp.m.ik[mes], "&lt;"&amp;EOMONTH(T$1,0)+1
)</f>
        <v>0</v>
      </c>
      <c r="U141" s="186">
        <f ca="1">-SUMIFS(
  desp.m.ik[valor],
  desp.m.ik[nucleo], $B141,
  desp.m.ik[variavel], $B$126,
  desp.m.ik[mes], "&gt;="&amp;U$1,
  desp.m.ik[mes], "&lt;"&amp;EOMONTH(U$1,0)+1
)</f>
        <v>0</v>
      </c>
      <c r="V141" s="186">
        <f ca="1">-SUMIFS(
  desp.m.ik[valor],
  desp.m.ik[nucleo], $B141,
  desp.m.ik[variavel], $B$126,
  desp.m.ik[mes], "&gt;="&amp;V$1,
  desp.m.ik[mes], "&lt;"&amp;EOMONTH(V$1,0)+1
)</f>
        <v>0</v>
      </c>
      <c r="W141" s="186">
        <f ca="1">-SUMIFS(
  desp.m.ik[valor],
  desp.m.ik[nucleo], $B141,
  desp.m.ik[variavel], $B$126,
  desp.m.ik[mes], "&gt;="&amp;W$1,
  desp.m.ik[mes], "&lt;"&amp;EOMONTH(W$1,0)+1
)</f>
        <v>0</v>
      </c>
      <c r="X141" s="186">
        <f ca="1">-SUMIFS(
  desp.m.ik[valor],
  desp.m.ik[nucleo], $B141,
  desp.m.ik[variavel], $B$126,
  desp.m.ik[mes], "&gt;="&amp;X$1,
  desp.m.ik[mes], "&lt;"&amp;EOMONTH(X$1,0)+1
)</f>
        <v>0</v>
      </c>
      <c r="Y141" s="186">
        <f ca="1">-SUMIFS(
  desp.m.ik[valor],
  desp.m.ik[nucleo], $B141,
  desp.m.ik[variavel], $B$126,
  desp.m.ik[mes], "&gt;="&amp;Y$1,
  desp.m.ik[mes], "&lt;"&amp;EOMONTH(Y$1,0)+1
)</f>
        <v>0</v>
      </c>
      <c r="Z141" s="186">
        <f ca="1">-SUMIFS(
  desp.m.ik[valor],
  desp.m.ik[nucleo], $B141,
  desp.m.ik[variavel], $B$126,
  desp.m.ik[mes], "&gt;="&amp;Z$1,
  desp.m.ik[mes], "&lt;"&amp;EOMONTH(Z$1,0)+1
)</f>
        <v>0</v>
      </c>
      <c r="AA141" s="186">
        <f ca="1">-SUMIFS(
  desp.m.ik[valor],
  desp.m.ik[nucleo], $B141,
  desp.m.ik[variavel], $B$126,
  desp.m.ik[mes], "&gt;="&amp;AA$1,
  desp.m.ik[mes], "&lt;"&amp;EOMONTH(AA$1,0)+1
)</f>
        <v>0</v>
      </c>
      <c r="AC141" s="178">
        <f t="shared" ca="1" si="31"/>
        <v>0</v>
      </c>
      <c r="AE141" s="178">
        <f t="shared" ca="1" si="32"/>
        <v>0</v>
      </c>
    </row>
    <row r="142" spans="1:31" hidden="1" outlineLevel="2" x14ac:dyDescent="0.25">
      <c r="A142" s="185" t="s">
        <v>1172</v>
      </c>
      <c r="B142" s="185" t="s">
        <v>575</v>
      </c>
      <c r="C142" s="138" t="s">
        <v>514</v>
      </c>
      <c r="D142" s="186">
        <f ca="1">-SUMIFS(
  desp.m.ik[valor],
  desp.m.ik[nucleo], $B142,
  desp.m.ik[variavel], $B$126,
  desp.m.ik[mes], "&gt;="&amp;D$1,
  desp.m.ik[mes], "&lt;"&amp;EOMONTH(D$1,0)+1
)</f>
        <v>0</v>
      </c>
      <c r="E142" s="186">
        <f ca="1">-SUMIFS(
  desp.m.ik[valor],
  desp.m.ik[nucleo], $B142,
  desp.m.ik[variavel], $B$126,
  desp.m.ik[mes], "&gt;="&amp;E$1,
  desp.m.ik[mes], "&lt;"&amp;EOMONTH(E$1,0)+1
)</f>
        <v>0</v>
      </c>
      <c r="F142" s="186">
        <f ca="1">-SUMIFS(
  desp.m.ik[valor],
  desp.m.ik[nucleo], $B142,
  desp.m.ik[variavel], $B$126,
  desp.m.ik[mes], "&gt;="&amp;F$1,
  desp.m.ik[mes], "&lt;"&amp;EOMONTH(F$1,0)+1
)</f>
        <v>0</v>
      </c>
      <c r="G142" s="186">
        <f ca="1">-SUMIFS(
  desp.m.ik[valor],
  desp.m.ik[nucleo], $B142,
  desp.m.ik[variavel], $B$126,
  desp.m.ik[mes], "&gt;="&amp;G$1,
  desp.m.ik[mes], "&lt;"&amp;EOMONTH(G$1,0)+1
)</f>
        <v>0</v>
      </c>
      <c r="H142" s="186">
        <f ca="1">-SUMIFS(
  desp.m.ik[valor],
  desp.m.ik[nucleo], $B142,
  desp.m.ik[variavel], $B$126,
  desp.m.ik[mes], "&gt;="&amp;H$1,
  desp.m.ik[mes], "&lt;"&amp;EOMONTH(H$1,0)+1
)</f>
        <v>0</v>
      </c>
      <c r="I142" s="186">
        <f ca="1">-SUMIFS(
  desp.m.ik[valor],
  desp.m.ik[nucleo], $B142,
  desp.m.ik[variavel], $B$126,
  desp.m.ik[mes], "&gt;="&amp;I$1,
  desp.m.ik[mes], "&lt;"&amp;EOMONTH(I$1,0)+1
)</f>
        <v>0</v>
      </c>
      <c r="J142" s="186">
        <f ca="1">-SUMIFS(
  desp.m.ik[valor],
  desp.m.ik[nucleo], $B142,
  desp.m.ik[variavel], $B$126,
  desp.m.ik[mes], "&gt;="&amp;J$1,
  desp.m.ik[mes], "&lt;"&amp;EOMONTH(J$1,0)+1
)</f>
        <v>0</v>
      </c>
      <c r="K142" s="186">
        <f ca="1">-SUMIFS(
  desp.m.ik[valor],
  desp.m.ik[nucleo], $B142,
  desp.m.ik[variavel], $B$126,
  desp.m.ik[mes], "&gt;="&amp;K$1,
  desp.m.ik[mes], "&lt;"&amp;EOMONTH(K$1,0)+1
)</f>
        <v>0</v>
      </c>
      <c r="L142" s="186">
        <f ca="1">-SUMIFS(
  desp.m.ik[valor],
  desp.m.ik[nucleo], $B142,
  desp.m.ik[variavel], $B$126,
  desp.m.ik[mes], "&gt;="&amp;L$1,
  desp.m.ik[mes], "&lt;"&amp;EOMONTH(L$1,0)+1
)</f>
        <v>0</v>
      </c>
      <c r="M142" s="186">
        <f ca="1">-SUMIFS(
  desp.m.ik[valor],
  desp.m.ik[nucleo], $B142,
  desp.m.ik[variavel], $B$126,
  desp.m.ik[mes], "&gt;="&amp;M$1,
  desp.m.ik[mes], "&lt;"&amp;EOMONTH(M$1,0)+1
)</f>
        <v>0</v>
      </c>
      <c r="N142" s="186">
        <f ca="1">-SUMIFS(
  desp.m.ik[valor],
  desp.m.ik[nucleo], $B142,
  desp.m.ik[variavel], $B$126,
  desp.m.ik[mes], "&gt;="&amp;N$1,
  desp.m.ik[mes], "&lt;"&amp;EOMONTH(N$1,0)+1
)</f>
        <v>0</v>
      </c>
      <c r="O142" s="186">
        <f ca="1">-SUMIFS(
  desp.m.ik[valor],
  desp.m.ik[nucleo], $B142,
  desp.m.ik[variavel], $B$126,
  desp.m.ik[mes], "&gt;="&amp;O$1,
  desp.m.ik[mes], "&lt;"&amp;EOMONTH(O$1,0)+1
)</f>
        <v>0</v>
      </c>
      <c r="P142" s="186">
        <f ca="1">-SUMIFS(
  desp.m.ik[valor],
  desp.m.ik[nucleo], $B142,
  desp.m.ik[variavel], $B$126,
  desp.m.ik[mes], "&gt;="&amp;P$1,
  desp.m.ik[mes], "&lt;"&amp;EOMONTH(P$1,0)+1
)</f>
        <v>0</v>
      </c>
      <c r="Q142" s="186">
        <f ca="1">-SUMIFS(
  desp.m.ik[valor],
  desp.m.ik[nucleo], $B142,
  desp.m.ik[variavel], $B$126,
  desp.m.ik[mes], "&gt;="&amp;Q$1,
  desp.m.ik[mes], "&lt;"&amp;EOMONTH(Q$1,0)+1
)</f>
        <v>0</v>
      </c>
      <c r="R142" s="186">
        <f ca="1">-SUMIFS(
  desp.m.ik[valor],
  desp.m.ik[nucleo], $B142,
  desp.m.ik[variavel], $B$126,
  desp.m.ik[mes], "&gt;="&amp;R$1,
  desp.m.ik[mes], "&lt;"&amp;EOMONTH(R$1,0)+1
)</f>
        <v>0</v>
      </c>
      <c r="S142" s="186">
        <f ca="1">-SUMIFS(
  desp.m.ik[valor],
  desp.m.ik[nucleo], $B142,
  desp.m.ik[variavel], $B$126,
  desp.m.ik[mes], "&gt;="&amp;S$1,
  desp.m.ik[mes], "&lt;"&amp;EOMONTH(S$1,0)+1
)</f>
        <v>0</v>
      </c>
      <c r="T142" s="186">
        <f ca="1">-SUMIFS(
  desp.m.ik[valor],
  desp.m.ik[nucleo], $B142,
  desp.m.ik[variavel], $B$126,
  desp.m.ik[mes], "&gt;="&amp;T$1,
  desp.m.ik[mes], "&lt;"&amp;EOMONTH(T$1,0)+1
)</f>
        <v>0</v>
      </c>
      <c r="U142" s="186">
        <f ca="1">-SUMIFS(
  desp.m.ik[valor],
  desp.m.ik[nucleo], $B142,
  desp.m.ik[variavel], $B$126,
  desp.m.ik[mes], "&gt;="&amp;U$1,
  desp.m.ik[mes], "&lt;"&amp;EOMONTH(U$1,0)+1
)</f>
        <v>0</v>
      </c>
      <c r="V142" s="186">
        <f ca="1">-SUMIFS(
  desp.m.ik[valor],
  desp.m.ik[nucleo], $B142,
  desp.m.ik[variavel], $B$126,
  desp.m.ik[mes], "&gt;="&amp;V$1,
  desp.m.ik[mes], "&lt;"&amp;EOMONTH(V$1,0)+1
)</f>
        <v>0</v>
      </c>
      <c r="W142" s="186">
        <f ca="1">-SUMIFS(
  desp.m.ik[valor],
  desp.m.ik[nucleo], $B142,
  desp.m.ik[variavel], $B$126,
  desp.m.ik[mes], "&gt;="&amp;W$1,
  desp.m.ik[mes], "&lt;"&amp;EOMONTH(W$1,0)+1
)</f>
        <v>0</v>
      </c>
      <c r="X142" s="186">
        <f ca="1">-SUMIFS(
  desp.m.ik[valor],
  desp.m.ik[nucleo], $B142,
  desp.m.ik[variavel], $B$126,
  desp.m.ik[mes], "&gt;="&amp;X$1,
  desp.m.ik[mes], "&lt;"&amp;EOMONTH(X$1,0)+1
)</f>
        <v>0</v>
      </c>
      <c r="Y142" s="186">
        <f ca="1">-SUMIFS(
  desp.m.ik[valor],
  desp.m.ik[nucleo], $B142,
  desp.m.ik[variavel], $B$126,
  desp.m.ik[mes], "&gt;="&amp;Y$1,
  desp.m.ik[mes], "&lt;"&amp;EOMONTH(Y$1,0)+1
)</f>
        <v>0</v>
      </c>
      <c r="Z142" s="186">
        <f ca="1">-SUMIFS(
  desp.m.ik[valor],
  desp.m.ik[nucleo], $B142,
  desp.m.ik[variavel], $B$126,
  desp.m.ik[mes], "&gt;="&amp;Z$1,
  desp.m.ik[mes], "&lt;"&amp;EOMONTH(Z$1,0)+1
)</f>
        <v>0</v>
      </c>
      <c r="AA142" s="186">
        <f ca="1">-SUMIFS(
  desp.m.ik[valor],
  desp.m.ik[nucleo], $B142,
  desp.m.ik[variavel], $B$126,
  desp.m.ik[mes], "&gt;="&amp;AA$1,
  desp.m.ik[mes], "&lt;"&amp;EOMONTH(AA$1,0)+1
)</f>
        <v>0</v>
      </c>
      <c r="AC142" s="178">
        <f t="shared" ca="1" si="31"/>
        <v>0</v>
      </c>
      <c r="AE142" s="178">
        <f t="shared" ca="1" si="32"/>
        <v>0</v>
      </c>
    </row>
    <row r="143" spans="1:31" hidden="1" outlineLevel="2" x14ac:dyDescent="0.25">
      <c r="A143" s="185" t="s">
        <v>1170</v>
      </c>
      <c r="B143" s="185" t="s">
        <v>1040</v>
      </c>
      <c r="C143" s="138" t="s">
        <v>514</v>
      </c>
      <c r="D143" s="186">
        <f ca="1">-SUMIFS(
  desp.m.ik[valor],
  desp.m.ik[nucleo], $B143,
  desp.m.ik[variavel], $B$126,
  desp.m.ik[mes], "&gt;="&amp;D$1,
  desp.m.ik[mes], "&lt;"&amp;EOMONTH(D$1,0)+1
)</f>
        <v>0</v>
      </c>
      <c r="E143" s="186">
        <f ca="1">-SUMIFS(
  desp.m.ik[valor],
  desp.m.ik[nucleo], $B143,
  desp.m.ik[variavel], $B$126,
  desp.m.ik[mes], "&gt;="&amp;E$1,
  desp.m.ik[mes], "&lt;"&amp;EOMONTH(E$1,0)+1
)</f>
        <v>0</v>
      </c>
      <c r="F143" s="186">
        <f ca="1">-SUMIFS(
  desp.m.ik[valor],
  desp.m.ik[nucleo], $B143,
  desp.m.ik[variavel], $B$126,
  desp.m.ik[mes], "&gt;="&amp;F$1,
  desp.m.ik[mes], "&lt;"&amp;EOMONTH(F$1,0)+1
)</f>
        <v>0</v>
      </c>
      <c r="G143" s="186">
        <f ca="1">-SUMIFS(
  desp.m.ik[valor],
  desp.m.ik[nucleo], $B143,
  desp.m.ik[variavel], $B$126,
  desp.m.ik[mes], "&gt;="&amp;G$1,
  desp.m.ik[mes], "&lt;"&amp;EOMONTH(G$1,0)+1
)</f>
        <v>0</v>
      </c>
      <c r="H143" s="186">
        <f ca="1">-SUMIFS(
  desp.m.ik[valor],
  desp.m.ik[nucleo], $B143,
  desp.m.ik[variavel], $B$126,
  desp.m.ik[mes], "&gt;="&amp;H$1,
  desp.m.ik[mes], "&lt;"&amp;EOMONTH(H$1,0)+1
)</f>
        <v>0</v>
      </c>
      <c r="I143" s="186">
        <f ca="1">-SUMIFS(
  desp.m.ik[valor],
  desp.m.ik[nucleo], $B143,
  desp.m.ik[variavel], $B$126,
  desp.m.ik[mes], "&gt;="&amp;I$1,
  desp.m.ik[mes], "&lt;"&amp;EOMONTH(I$1,0)+1
)</f>
        <v>0</v>
      </c>
      <c r="J143" s="186">
        <f ca="1">-SUMIFS(
  desp.m.ik[valor],
  desp.m.ik[nucleo], $B143,
  desp.m.ik[variavel], $B$126,
  desp.m.ik[mes], "&gt;="&amp;J$1,
  desp.m.ik[mes], "&lt;"&amp;EOMONTH(J$1,0)+1
)</f>
        <v>0</v>
      </c>
      <c r="K143" s="186">
        <f ca="1">-SUMIFS(
  desp.m.ik[valor],
  desp.m.ik[nucleo], $B143,
  desp.m.ik[variavel], $B$126,
  desp.m.ik[mes], "&gt;="&amp;K$1,
  desp.m.ik[mes], "&lt;"&amp;EOMONTH(K$1,0)+1
)</f>
        <v>0</v>
      </c>
      <c r="L143" s="186">
        <f ca="1">-SUMIFS(
  desp.m.ik[valor],
  desp.m.ik[nucleo], $B143,
  desp.m.ik[variavel], $B$126,
  desp.m.ik[mes], "&gt;="&amp;L$1,
  desp.m.ik[mes], "&lt;"&amp;EOMONTH(L$1,0)+1
)</f>
        <v>0</v>
      </c>
      <c r="M143" s="186">
        <f ca="1">-SUMIFS(
  desp.m.ik[valor],
  desp.m.ik[nucleo], $B143,
  desp.m.ik[variavel], $B$126,
  desp.m.ik[mes], "&gt;="&amp;M$1,
  desp.m.ik[mes], "&lt;"&amp;EOMONTH(M$1,0)+1
)</f>
        <v>0</v>
      </c>
      <c r="N143" s="186">
        <f ca="1">-SUMIFS(
  desp.m.ik[valor],
  desp.m.ik[nucleo], $B143,
  desp.m.ik[variavel], $B$126,
  desp.m.ik[mes], "&gt;="&amp;N$1,
  desp.m.ik[mes], "&lt;"&amp;EOMONTH(N$1,0)+1
)</f>
        <v>0</v>
      </c>
      <c r="O143" s="186">
        <f ca="1">-SUMIFS(
  desp.m.ik[valor],
  desp.m.ik[nucleo], $B143,
  desp.m.ik[variavel], $B$126,
  desp.m.ik[mes], "&gt;="&amp;O$1,
  desp.m.ik[mes], "&lt;"&amp;EOMONTH(O$1,0)+1
)</f>
        <v>0</v>
      </c>
      <c r="P143" s="186">
        <f ca="1">-SUMIFS(
  desp.m.ik[valor],
  desp.m.ik[nucleo], $B143,
  desp.m.ik[variavel], $B$126,
  desp.m.ik[mes], "&gt;="&amp;P$1,
  desp.m.ik[mes], "&lt;"&amp;EOMONTH(P$1,0)+1
)</f>
        <v>0</v>
      </c>
      <c r="Q143" s="186">
        <f ca="1">-SUMIFS(
  desp.m.ik[valor],
  desp.m.ik[nucleo], $B143,
  desp.m.ik[variavel], $B$126,
  desp.m.ik[mes], "&gt;="&amp;Q$1,
  desp.m.ik[mes], "&lt;"&amp;EOMONTH(Q$1,0)+1
)</f>
        <v>0</v>
      </c>
      <c r="R143" s="186">
        <f ca="1">-SUMIFS(
  desp.m.ik[valor],
  desp.m.ik[nucleo], $B143,
  desp.m.ik[variavel], $B$126,
  desp.m.ik[mes], "&gt;="&amp;R$1,
  desp.m.ik[mes], "&lt;"&amp;EOMONTH(R$1,0)+1
)</f>
        <v>0</v>
      </c>
      <c r="S143" s="186">
        <f ca="1">-SUMIFS(
  desp.m.ik[valor],
  desp.m.ik[nucleo], $B143,
  desp.m.ik[variavel], $B$126,
  desp.m.ik[mes], "&gt;="&amp;S$1,
  desp.m.ik[mes], "&lt;"&amp;EOMONTH(S$1,0)+1
)</f>
        <v>0</v>
      </c>
      <c r="T143" s="186">
        <f ca="1">-SUMIFS(
  desp.m.ik[valor],
  desp.m.ik[nucleo], $B143,
  desp.m.ik[variavel], $B$126,
  desp.m.ik[mes], "&gt;="&amp;T$1,
  desp.m.ik[mes], "&lt;"&amp;EOMONTH(T$1,0)+1
)</f>
        <v>0</v>
      </c>
      <c r="U143" s="186">
        <f ca="1">-SUMIFS(
  desp.m.ik[valor],
  desp.m.ik[nucleo], $B143,
  desp.m.ik[variavel], $B$126,
  desp.m.ik[mes], "&gt;="&amp;U$1,
  desp.m.ik[mes], "&lt;"&amp;EOMONTH(U$1,0)+1
)</f>
        <v>0</v>
      </c>
      <c r="V143" s="186">
        <f ca="1">-SUMIFS(
  desp.m.ik[valor],
  desp.m.ik[nucleo], $B143,
  desp.m.ik[variavel], $B$126,
  desp.m.ik[mes], "&gt;="&amp;V$1,
  desp.m.ik[mes], "&lt;"&amp;EOMONTH(V$1,0)+1
)</f>
        <v>0</v>
      </c>
      <c r="W143" s="186">
        <f ca="1">-SUMIFS(
  desp.m.ik[valor],
  desp.m.ik[nucleo], $B143,
  desp.m.ik[variavel], $B$126,
  desp.m.ik[mes], "&gt;="&amp;W$1,
  desp.m.ik[mes], "&lt;"&amp;EOMONTH(W$1,0)+1
)</f>
        <v>0</v>
      </c>
      <c r="X143" s="186">
        <f ca="1">-SUMIFS(
  desp.m.ik[valor],
  desp.m.ik[nucleo], $B143,
  desp.m.ik[variavel], $B$126,
  desp.m.ik[mes], "&gt;="&amp;X$1,
  desp.m.ik[mes], "&lt;"&amp;EOMONTH(X$1,0)+1
)</f>
        <v>0</v>
      </c>
      <c r="Y143" s="186">
        <f ca="1">-SUMIFS(
  desp.m.ik[valor],
  desp.m.ik[nucleo], $B143,
  desp.m.ik[variavel], $B$126,
  desp.m.ik[mes], "&gt;="&amp;Y$1,
  desp.m.ik[mes], "&lt;"&amp;EOMONTH(Y$1,0)+1
)</f>
        <v>0</v>
      </c>
      <c r="Z143" s="186">
        <f ca="1">-SUMIFS(
  desp.m.ik[valor],
  desp.m.ik[nucleo], $B143,
  desp.m.ik[variavel], $B$126,
  desp.m.ik[mes], "&gt;="&amp;Z$1,
  desp.m.ik[mes], "&lt;"&amp;EOMONTH(Z$1,0)+1
)</f>
        <v>0</v>
      </c>
      <c r="AA143" s="186">
        <f ca="1">-SUMIFS(
  desp.m.ik[valor],
  desp.m.ik[nucleo], $B143,
  desp.m.ik[variavel], $B$126,
  desp.m.ik[mes], "&gt;="&amp;AA$1,
  desp.m.ik[mes], "&lt;"&amp;EOMONTH(AA$1,0)+1
)</f>
        <v>0</v>
      </c>
      <c r="AC143" s="178">
        <f t="shared" ca="1" si="31"/>
        <v>0</v>
      </c>
      <c r="AE143" s="178">
        <f ca="1">SUM(D143:AA143)</f>
        <v>0</v>
      </c>
    </row>
    <row r="144" spans="1:31" hidden="1" outlineLevel="2" x14ac:dyDescent="0.25">
      <c r="A144" s="185" t="s">
        <v>1173</v>
      </c>
      <c r="B144" s="185" t="s">
        <v>556</v>
      </c>
      <c r="C144" s="138" t="s">
        <v>514</v>
      </c>
      <c r="D144" s="186">
        <f ca="1">-SUMIFS(
  desp.m.ik[valor],
  desp.m.ik[nucleo], $B144,
  desp.m.ik[variavel], $B$126,
  desp.m.ik[mes], "&gt;="&amp;D$1,
  desp.m.ik[mes], "&lt;"&amp;EOMONTH(D$1,0)+1
)</f>
        <v>0</v>
      </c>
      <c r="E144" s="186">
        <f ca="1">-SUMIFS(
  desp.m.ik[valor],
  desp.m.ik[nucleo], $B144,
  desp.m.ik[variavel], $B$126,
  desp.m.ik[mes], "&gt;="&amp;E$1,
  desp.m.ik[mes], "&lt;"&amp;EOMONTH(E$1,0)+1
)</f>
        <v>0</v>
      </c>
      <c r="F144" s="186">
        <f ca="1">-SUMIFS(
  desp.m.ik[valor],
  desp.m.ik[nucleo], $B144,
  desp.m.ik[variavel], $B$126,
  desp.m.ik[mes], "&gt;="&amp;F$1,
  desp.m.ik[mes], "&lt;"&amp;EOMONTH(F$1,0)+1
)</f>
        <v>0</v>
      </c>
      <c r="G144" s="186">
        <f ca="1">-SUMIFS(
  desp.m.ik[valor],
  desp.m.ik[nucleo], $B144,
  desp.m.ik[variavel], $B$126,
  desp.m.ik[mes], "&gt;="&amp;G$1,
  desp.m.ik[mes], "&lt;"&amp;EOMONTH(G$1,0)+1
)</f>
        <v>0</v>
      </c>
      <c r="H144" s="186">
        <f ca="1">-SUMIFS(
  desp.m.ik[valor],
  desp.m.ik[nucleo], $B144,
  desp.m.ik[variavel], $B$126,
  desp.m.ik[mes], "&gt;="&amp;H$1,
  desp.m.ik[mes], "&lt;"&amp;EOMONTH(H$1,0)+1
)</f>
        <v>0</v>
      </c>
      <c r="I144" s="186">
        <f ca="1">-SUMIFS(
  desp.m.ik[valor],
  desp.m.ik[nucleo], $B144,
  desp.m.ik[variavel], $B$126,
  desp.m.ik[mes], "&gt;="&amp;I$1,
  desp.m.ik[mes], "&lt;"&amp;EOMONTH(I$1,0)+1
)</f>
        <v>0</v>
      </c>
      <c r="J144" s="186">
        <f ca="1">-SUMIFS(
  desp.m.ik[valor],
  desp.m.ik[nucleo], $B144,
  desp.m.ik[variavel], $B$126,
  desp.m.ik[mes], "&gt;="&amp;J$1,
  desp.m.ik[mes], "&lt;"&amp;EOMONTH(J$1,0)+1
)</f>
        <v>0</v>
      </c>
      <c r="K144" s="186">
        <f ca="1">-SUMIFS(
  desp.m.ik[valor],
  desp.m.ik[nucleo], $B144,
  desp.m.ik[variavel], $B$126,
  desp.m.ik[mes], "&gt;="&amp;K$1,
  desp.m.ik[mes], "&lt;"&amp;EOMONTH(K$1,0)+1
)</f>
        <v>0</v>
      </c>
      <c r="L144" s="186">
        <f ca="1">-SUMIFS(
  desp.m.ik[valor],
  desp.m.ik[nucleo], $B144,
  desp.m.ik[variavel], $B$126,
  desp.m.ik[mes], "&gt;="&amp;L$1,
  desp.m.ik[mes], "&lt;"&amp;EOMONTH(L$1,0)+1
)</f>
        <v>0</v>
      </c>
      <c r="M144" s="186">
        <f ca="1">-SUMIFS(
  desp.m.ik[valor],
  desp.m.ik[nucleo], $B144,
  desp.m.ik[variavel], $B$126,
  desp.m.ik[mes], "&gt;="&amp;M$1,
  desp.m.ik[mes], "&lt;"&amp;EOMONTH(M$1,0)+1
)</f>
        <v>0</v>
      </c>
      <c r="N144" s="186">
        <f ca="1">-SUMIFS(
  desp.m.ik[valor],
  desp.m.ik[nucleo], $B144,
  desp.m.ik[variavel], $B$126,
  desp.m.ik[mes], "&gt;="&amp;N$1,
  desp.m.ik[mes], "&lt;"&amp;EOMONTH(N$1,0)+1
)</f>
        <v>0</v>
      </c>
      <c r="O144" s="186">
        <f ca="1">-SUMIFS(
  desp.m.ik[valor],
  desp.m.ik[nucleo], $B144,
  desp.m.ik[variavel], $B$126,
  desp.m.ik[mes], "&gt;="&amp;O$1,
  desp.m.ik[mes], "&lt;"&amp;EOMONTH(O$1,0)+1
)</f>
        <v>0</v>
      </c>
      <c r="P144" s="186">
        <f ca="1">-SUMIFS(
  desp.m.ik[valor],
  desp.m.ik[nucleo], $B144,
  desp.m.ik[variavel], $B$126,
  desp.m.ik[mes], "&gt;="&amp;P$1,
  desp.m.ik[mes], "&lt;"&amp;EOMONTH(P$1,0)+1
)</f>
        <v>0</v>
      </c>
      <c r="Q144" s="186">
        <f ca="1">-SUMIFS(
  desp.m.ik[valor],
  desp.m.ik[nucleo], $B144,
  desp.m.ik[variavel], $B$126,
  desp.m.ik[mes], "&gt;="&amp;Q$1,
  desp.m.ik[mes], "&lt;"&amp;EOMONTH(Q$1,0)+1
)</f>
        <v>0</v>
      </c>
      <c r="R144" s="186">
        <f ca="1">-SUMIFS(
  desp.m.ik[valor],
  desp.m.ik[nucleo], $B144,
  desp.m.ik[variavel], $B$126,
  desp.m.ik[mes], "&gt;="&amp;R$1,
  desp.m.ik[mes], "&lt;"&amp;EOMONTH(R$1,0)+1
)</f>
        <v>0</v>
      </c>
      <c r="S144" s="186">
        <f ca="1">-SUMIFS(
  desp.m.ik[valor],
  desp.m.ik[nucleo], $B144,
  desp.m.ik[variavel], $B$126,
  desp.m.ik[mes], "&gt;="&amp;S$1,
  desp.m.ik[mes], "&lt;"&amp;EOMONTH(S$1,0)+1
)</f>
        <v>0</v>
      </c>
      <c r="T144" s="186">
        <f ca="1">-SUMIFS(
  desp.m.ik[valor],
  desp.m.ik[nucleo], $B144,
  desp.m.ik[variavel], $B$126,
  desp.m.ik[mes], "&gt;="&amp;T$1,
  desp.m.ik[mes], "&lt;"&amp;EOMONTH(T$1,0)+1
)</f>
        <v>0</v>
      </c>
      <c r="U144" s="186">
        <f ca="1">-SUMIFS(
  desp.m.ik[valor],
  desp.m.ik[nucleo], $B144,
  desp.m.ik[variavel], $B$126,
  desp.m.ik[mes], "&gt;="&amp;U$1,
  desp.m.ik[mes], "&lt;"&amp;EOMONTH(U$1,0)+1
)</f>
        <v>0</v>
      </c>
      <c r="V144" s="186">
        <f ca="1">-SUMIFS(
  desp.m.ik[valor],
  desp.m.ik[nucleo], $B144,
  desp.m.ik[variavel], $B$126,
  desp.m.ik[mes], "&gt;="&amp;V$1,
  desp.m.ik[mes], "&lt;"&amp;EOMONTH(V$1,0)+1
)</f>
        <v>0</v>
      </c>
      <c r="W144" s="186">
        <f ca="1">-SUMIFS(
  desp.m.ik[valor],
  desp.m.ik[nucleo], $B144,
  desp.m.ik[variavel], $B$126,
  desp.m.ik[mes], "&gt;="&amp;W$1,
  desp.m.ik[mes], "&lt;"&amp;EOMONTH(W$1,0)+1
)</f>
        <v>0</v>
      </c>
      <c r="X144" s="186">
        <f ca="1">-SUMIFS(
  desp.m.ik[valor],
  desp.m.ik[nucleo], $B144,
  desp.m.ik[variavel], $B$126,
  desp.m.ik[mes], "&gt;="&amp;X$1,
  desp.m.ik[mes], "&lt;"&amp;EOMONTH(X$1,0)+1
)</f>
        <v>0</v>
      </c>
      <c r="Y144" s="186">
        <f ca="1">-SUMIFS(
  desp.m.ik[valor],
  desp.m.ik[nucleo], $B144,
  desp.m.ik[variavel], $B$126,
  desp.m.ik[mes], "&gt;="&amp;Y$1,
  desp.m.ik[mes], "&lt;"&amp;EOMONTH(Y$1,0)+1
)</f>
        <v>0</v>
      </c>
      <c r="Z144" s="186">
        <f ca="1">-SUMIFS(
  desp.m.ik[valor],
  desp.m.ik[nucleo], $B144,
  desp.m.ik[variavel], $B$126,
  desp.m.ik[mes], "&gt;="&amp;Z$1,
  desp.m.ik[mes], "&lt;"&amp;EOMONTH(Z$1,0)+1
)</f>
        <v>0</v>
      </c>
      <c r="AA144" s="186">
        <f ca="1">-SUMIFS(
  desp.m.ik[valor],
  desp.m.ik[nucleo], $B144,
  desp.m.ik[variavel], $B$126,
  desp.m.ik[mes], "&gt;="&amp;AA$1,
  desp.m.ik[mes], "&lt;"&amp;EOMONTH(AA$1,0)+1
)</f>
        <v>0</v>
      </c>
      <c r="AC144" s="178">
        <f t="shared" ca="1" si="31"/>
        <v>0</v>
      </c>
      <c r="AE144" s="178">
        <f t="shared" ca="1" si="32"/>
        <v>0</v>
      </c>
    </row>
    <row r="145" spans="1:31" hidden="1" outlineLevel="2" x14ac:dyDescent="0.25">
      <c r="A145" s="185" t="s">
        <v>1174</v>
      </c>
      <c r="B145" s="185" t="s">
        <v>706</v>
      </c>
      <c r="C145" s="138" t="s">
        <v>514</v>
      </c>
      <c r="D145" s="186">
        <f ca="1">-SUMIFS(
  desp.m.ik[valor],
  desp.m.ik[nucleo], $B145,
  desp.m.ik[variavel], $B$126,
  desp.m.ik[mes], "&gt;="&amp;D$1,
  desp.m.ik[mes], "&lt;"&amp;EOMONTH(D$1,0)+1
)</f>
        <v>0</v>
      </c>
      <c r="E145" s="186">
        <f ca="1">-SUMIFS(
  desp.m.ik[valor],
  desp.m.ik[nucleo], $B145,
  desp.m.ik[variavel], $B$126,
  desp.m.ik[mes], "&gt;="&amp;E$1,
  desp.m.ik[mes], "&lt;"&amp;EOMONTH(E$1,0)+1
)</f>
        <v>0</v>
      </c>
      <c r="F145" s="186">
        <f ca="1">-SUMIFS(
  desp.m.ik[valor],
  desp.m.ik[nucleo], $B145,
  desp.m.ik[variavel], $B$126,
  desp.m.ik[mes], "&gt;="&amp;F$1,
  desp.m.ik[mes], "&lt;"&amp;EOMONTH(F$1,0)+1
)</f>
        <v>0</v>
      </c>
      <c r="G145" s="186">
        <f ca="1">-SUMIFS(
  desp.m.ik[valor],
  desp.m.ik[nucleo], $B145,
  desp.m.ik[variavel], $B$126,
  desp.m.ik[mes], "&gt;="&amp;G$1,
  desp.m.ik[mes], "&lt;"&amp;EOMONTH(G$1,0)+1
)</f>
        <v>0</v>
      </c>
      <c r="H145" s="186">
        <f ca="1">-SUMIFS(
  desp.m.ik[valor],
  desp.m.ik[nucleo], $B145,
  desp.m.ik[variavel], $B$126,
  desp.m.ik[mes], "&gt;="&amp;H$1,
  desp.m.ik[mes], "&lt;"&amp;EOMONTH(H$1,0)+1
)</f>
        <v>0</v>
      </c>
      <c r="I145" s="186">
        <f ca="1">-SUMIFS(
  desp.m.ik[valor],
  desp.m.ik[nucleo], $B145,
  desp.m.ik[variavel], $B$126,
  desp.m.ik[mes], "&gt;="&amp;I$1,
  desp.m.ik[mes], "&lt;"&amp;EOMONTH(I$1,0)+1
)</f>
        <v>0</v>
      </c>
      <c r="J145" s="186">
        <f ca="1">-SUMIFS(
  desp.m.ik[valor],
  desp.m.ik[nucleo], $B145,
  desp.m.ik[variavel], $B$126,
  desp.m.ik[mes], "&gt;="&amp;J$1,
  desp.m.ik[mes], "&lt;"&amp;EOMONTH(J$1,0)+1
)</f>
        <v>0</v>
      </c>
      <c r="K145" s="186">
        <f ca="1">-SUMIFS(
  desp.m.ik[valor],
  desp.m.ik[nucleo], $B145,
  desp.m.ik[variavel], $B$126,
  desp.m.ik[mes], "&gt;="&amp;K$1,
  desp.m.ik[mes], "&lt;"&amp;EOMONTH(K$1,0)+1
)</f>
        <v>0</v>
      </c>
      <c r="L145" s="186">
        <f ca="1">-SUMIFS(
  desp.m.ik[valor],
  desp.m.ik[nucleo], $B145,
  desp.m.ik[variavel], $B$126,
  desp.m.ik[mes], "&gt;="&amp;L$1,
  desp.m.ik[mes], "&lt;"&amp;EOMONTH(L$1,0)+1
)</f>
        <v>0</v>
      </c>
      <c r="M145" s="186">
        <f ca="1">-SUMIFS(
  desp.m.ik[valor],
  desp.m.ik[nucleo], $B145,
  desp.m.ik[variavel], $B$126,
  desp.m.ik[mes], "&gt;="&amp;M$1,
  desp.m.ik[mes], "&lt;"&amp;EOMONTH(M$1,0)+1
)</f>
        <v>0</v>
      </c>
      <c r="N145" s="186">
        <f ca="1">-SUMIFS(
  desp.m.ik[valor],
  desp.m.ik[nucleo], $B145,
  desp.m.ik[variavel], $B$126,
  desp.m.ik[mes], "&gt;="&amp;N$1,
  desp.m.ik[mes], "&lt;"&amp;EOMONTH(N$1,0)+1
)</f>
        <v>0</v>
      </c>
      <c r="O145" s="186">
        <f ca="1">-SUMIFS(
  desp.m.ik[valor],
  desp.m.ik[nucleo], $B145,
  desp.m.ik[variavel], $B$126,
  desp.m.ik[mes], "&gt;="&amp;O$1,
  desp.m.ik[mes], "&lt;"&amp;EOMONTH(O$1,0)+1
)</f>
        <v>0</v>
      </c>
      <c r="P145" s="186">
        <f ca="1">-SUMIFS(
  desp.m.ik[valor],
  desp.m.ik[nucleo], $B145,
  desp.m.ik[variavel], $B$126,
  desp.m.ik[mes], "&gt;="&amp;P$1,
  desp.m.ik[mes], "&lt;"&amp;EOMONTH(P$1,0)+1
)</f>
        <v>0</v>
      </c>
      <c r="Q145" s="186">
        <f ca="1">-SUMIFS(
  desp.m.ik[valor],
  desp.m.ik[nucleo], $B145,
  desp.m.ik[variavel], $B$126,
  desp.m.ik[mes], "&gt;="&amp;Q$1,
  desp.m.ik[mes], "&lt;"&amp;EOMONTH(Q$1,0)+1
)</f>
        <v>0</v>
      </c>
      <c r="R145" s="186">
        <f ca="1">-SUMIFS(
  desp.m.ik[valor],
  desp.m.ik[nucleo], $B145,
  desp.m.ik[variavel], $B$126,
  desp.m.ik[mes], "&gt;="&amp;R$1,
  desp.m.ik[mes], "&lt;"&amp;EOMONTH(R$1,0)+1
)</f>
        <v>0</v>
      </c>
      <c r="S145" s="186">
        <f ca="1">-SUMIFS(
  desp.m.ik[valor],
  desp.m.ik[nucleo], $B145,
  desp.m.ik[variavel], $B$126,
  desp.m.ik[mes], "&gt;="&amp;S$1,
  desp.m.ik[mes], "&lt;"&amp;EOMONTH(S$1,0)+1
)</f>
        <v>0</v>
      </c>
      <c r="T145" s="186">
        <f ca="1">-SUMIFS(
  desp.m.ik[valor],
  desp.m.ik[nucleo], $B145,
  desp.m.ik[variavel], $B$126,
  desp.m.ik[mes], "&gt;="&amp;T$1,
  desp.m.ik[mes], "&lt;"&amp;EOMONTH(T$1,0)+1
)</f>
        <v>0</v>
      </c>
      <c r="U145" s="186">
        <f ca="1">-SUMIFS(
  desp.m.ik[valor],
  desp.m.ik[nucleo], $B145,
  desp.m.ik[variavel], $B$126,
  desp.m.ik[mes], "&gt;="&amp;U$1,
  desp.m.ik[mes], "&lt;"&amp;EOMONTH(U$1,0)+1
)</f>
        <v>0</v>
      </c>
      <c r="V145" s="186">
        <f ca="1">-SUMIFS(
  desp.m.ik[valor],
  desp.m.ik[nucleo], $B145,
  desp.m.ik[variavel], $B$126,
  desp.m.ik[mes], "&gt;="&amp;V$1,
  desp.m.ik[mes], "&lt;"&amp;EOMONTH(V$1,0)+1
)</f>
        <v>0</v>
      </c>
      <c r="W145" s="186">
        <f ca="1">-SUMIFS(
  desp.m.ik[valor],
  desp.m.ik[nucleo], $B145,
  desp.m.ik[variavel], $B$126,
  desp.m.ik[mes], "&gt;="&amp;W$1,
  desp.m.ik[mes], "&lt;"&amp;EOMONTH(W$1,0)+1
)</f>
        <v>0</v>
      </c>
      <c r="X145" s="186">
        <f ca="1">-SUMIFS(
  desp.m.ik[valor],
  desp.m.ik[nucleo], $B145,
  desp.m.ik[variavel], $B$126,
  desp.m.ik[mes], "&gt;="&amp;X$1,
  desp.m.ik[mes], "&lt;"&amp;EOMONTH(X$1,0)+1
)</f>
        <v>0</v>
      </c>
      <c r="Y145" s="186">
        <f ca="1">-SUMIFS(
  desp.m.ik[valor],
  desp.m.ik[nucleo], $B145,
  desp.m.ik[variavel], $B$126,
  desp.m.ik[mes], "&gt;="&amp;Y$1,
  desp.m.ik[mes], "&lt;"&amp;EOMONTH(Y$1,0)+1
)</f>
        <v>0</v>
      </c>
      <c r="Z145" s="186">
        <f ca="1">-SUMIFS(
  desp.m.ik[valor],
  desp.m.ik[nucleo], $B145,
  desp.m.ik[variavel], $B$126,
  desp.m.ik[mes], "&gt;="&amp;Z$1,
  desp.m.ik[mes], "&lt;"&amp;EOMONTH(Z$1,0)+1
)</f>
        <v>0</v>
      </c>
      <c r="AA145" s="186">
        <f ca="1">-SUMIFS(
  desp.m.ik[valor],
  desp.m.ik[nucleo], $B145,
  desp.m.ik[variavel], $B$126,
  desp.m.ik[mes], "&gt;="&amp;AA$1,
  desp.m.ik[mes], "&lt;"&amp;EOMONTH(AA$1,0)+1
)</f>
        <v>0</v>
      </c>
      <c r="AC145" s="178">
        <f t="shared" ca="1" si="31"/>
        <v>0</v>
      </c>
      <c r="AE145" s="178">
        <f t="shared" ca="1" si="32"/>
        <v>0</v>
      </c>
    </row>
    <row r="146" spans="1:31" hidden="1" outlineLevel="2" x14ac:dyDescent="0.25">
      <c r="A146" s="185" t="s">
        <v>1175</v>
      </c>
      <c r="B146" s="185" t="s">
        <v>576</v>
      </c>
      <c r="C146" s="138" t="s">
        <v>514</v>
      </c>
      <c r="D146" s="186">
        <f ca="1">-SUMIFS(
  desp.m.ik[valor],
  desp.m.ik[nucleo], $B146,
  desp.m.ik[variavel], $B$126,
  desp.m.ik[mes], "&gt;="&amp;D$1,
  desp.m.ik[mes], "&lt;"&amp;EOMONTH(D$1,0)+1
)</f>
        <v>0</v>
      </c>
      <c r="E146" s="186">
        <f ca="1">-SUMIFS(
  desp.m.ik[valor],
  desp.m.ik[nucleo], $B146,
  desp.m.ik[variavel], $B$126,
  desp.m.ik[mes], "&gt;="&amp;E$1,
  desp.m.ik[mes], "&lt;"&amp;EOMONTH(E$1,0)+1
)</f>
        <v>0</v>
      </c>
      <c r="F146" s="186">
        <f ca="1">-SUMIFS(
  desp.m.ik[valor],
  desp.m.ik[nucleo], $B146,
  desp.m.ik[variavel], $B$126,
  desp.m.ik[mes], "&gt;="&amp;F$1,
  desp.m.ik[mes], "&lt;"&amp;EOMONTH(F$1,0)+1
)</f>
        <v>0</v>
      </c>
      <c r="G146" s="186">
        <f ca="1">-SUMIFS(
  desp.m.ik[valor],
  desp.m.ik[nucleo], $B146,
  desp.m.ik[variavel], $B$126,
  desp.m.ik[mes], "&gt;="&amp;G$1,
  desp.m.ik[mes], "&lt;"&amp;EOMONTH(G$1,0)+1
)</f>
        <v>0</v>
      </c>
      <c r="H146" s="186">
        <f ca="1">-SUMIFS(
  desp.m.ik[valor],
  desp.m.ik[nucleo], $B146,
  desp.m.ik[variavel], $B$126,
  desp.m.ik[mes], "&gt;="&amp;H$1,
  desp.m.ik[mes], "&lt;"&amp;EOMONTH(H$1,0)+1
)</f>
        <v>0</v>
      </c>
      <c r="I146" s="186">
        <f ca="1">-SUMIFS(
  desp.m.ik[valor],
  desp.m.ik[nucleo], $B146,
  desp.m.ik[variavel], $B$126,
  desp.m.ik[mes], "&gt;="&amp;I$1,
  desp.m.ik[mes], "&lt;"&amp;EOMONTH(I$1,0)+1
)</f>
        <v>0</v>
      </c>
      <c r="J146" s="186">
        <f ca="1">-SUMIFS(
  desp.m.ik[valor],
  desp.m.ik[nucleo], $B146,
  desp.m.ik[variavel], $B$126,
  desp.m.ik[mes], "&gt;="&amp;J$1,
  desp.m.ik[mes], "&lt;"&amp;EOMONTH(J$1,0)+1
)</f>
        <v>0</v>
      </c>
      <c r="K146" s="186">
        <f ca="1">-SUMIFS(
  desp.m.ik[valor],
  desp.m.ik[nucleo], $B146,
  desp.m.ik[variavel], $B$126,
  desp.m.ik[mes], "&gt;="&amp;K$1,
  desp.m.ik[mes], "&lt;"&amp;EOMONTH(K$1,0)+1
)</f>
        <v>0</v>
      </c>
      <c r="L146" s="186">
        <f ca="1">-SUMIFS(
  desp.m.ik[valor],
  desp.m.ik[nucleo], $B146,
  desp.m.ik[variavel], $B$126,
  desp.m.ik[mes], "&gt;="&amp;L$1,
  desp.m.ik[mes], "&lt;"&amp;EOMONTH(L$1,0)+1
)</f>
        <v>0</v>
      </c>
      <c r="M146" s="186">
        <f ca="1">-SUMIFS(
  desp.m.ik[valor],
  desp.m.ik[nucleo], $B146,
  desp.m.ik[variavel], $B$126,
  desp.m.ik[mes], "&gt;="&amp;M$1,
  desp.m.ik[mes], "&lt;"&amp;EOMONTH(M$1,0)+1
)</f>
        <v>0</v>
      </c>
      <c r="N146" s="186">
        <f ca="1">-SUMIFS(
  desp.m.ik[valor],
  desp.m.ik[nucleo], $B146,
  desp.m.ik[variavel], $B$126,
  desp.m.ik[mes], "&gt;="&amp;N$1,
  desp.m.ik[mes], "&lt;"&amp;EOMONTH(N$1,0)+1
)</f>
        <v>0</v>
      </c>
      <c r="O146" s="186">
        <f ca="1">-SUMIFS(
  desp.m.ik[valor],
  desp.m.ik[nucleo], $B146,
  desp.m.ik[variavel], $B$126,
  desp.m.ik[mes], "&gt;="&amp;O$1,
  desp.m.ik[mes], "&lt;"&amp;EOMONTH(O$1,0)+1
)</f>
        <v>0</v>
      </c>
      <c r="P146" s="186">
        <f ca="1">-SUMIFS(
  desp.m.ik[valor],
  desp.m.ik[nucleo], $B146,
  desp.m.ik[variavel], $B$126,
  desp.m.ik[mes], "&gt;="&amp;P$1,
  desp.m.ik[mes], "&lt;"&amp;EOMONTH(P$1,0)+1
)</f>
        <v>0</v>
      </c>
      <c r="Q146" s="186">
        <f ca="1">-SUMIFS(
  desp.m.ik[valor],
  desp.m.ik[nucleo], $B146,
  desp.m.ik[variavel], $B$126,
  desp.m.ik[mes], "&gt;="&amp;Q$1,
  desp.m.ik[mes], "&lt;"&amp;EOMONTH(Q$1,0)+1
)</f>
        <v>0</v>
      </c>
      <c r="R146" s="186">
        <f ca="1">-SUMIFS(
  desp.m.ik[valor],
  desp.m.ik[nucleo], $B146,
  desp.m.ik[variavel], $B$126,
  desp.m.ik[mes], "&gt;="&amp;R$1,
  desp.m.ik[mes], "&lt;"&amp;EOMONTH(R$1,0)+1
)</f>
        <v>0</v>
      </c>
      <c r="S146" s="186">
        <f ca="1">-SUMIFS(
  desp.m.ik[valor],
  desp.m.ik[nucleo], $B146,
  desp.m.ik[variavel], $B$126,
  desp.m.ik[mes], "&gt;="&amp;S$1,
  desp.m.ik[mes], "&lt;"&amp;EOMONTH(S$1,0)+1
)</f>
        <v>0</v>
      </c>
      <c r="T146" s="186">
        <f ca="1">-SUMIFS(
  desp.m.ik[valor],
  desp.m.ik[nucleo], $B146,
  desp.m.ik[variavel], $B$126,
  desp.m.ik[mes], "&gt;="&amp;T$1,
  desp.m.ik[mes], "&lt;"&amp;EOMONTH(T$1,0)+1
)</f>
        <v>0</v>
      </c>
      <c r="U146" s="186">
        <f ca="1">-SUMIFS(
  desp.m.ik[valor],
  desp.m.ik[nucleo], $B146,
  desp.m.ik[variavel], $B$126,
  desp.m.ik[mes], "&gt;="&amp;U$1,
  desp.m.ik[mes], "&lt;"&amp;EOMONTH(U$1,0)+1
)</f>
        <v>0</v>
      </c>
      <c r="V146" s="186">
        <f ca="1">-SUMIFS(
  desp.m.ik[valor],
  desp.m.ik[nucleo], $B146,
  desp.m.ik[variavel], $B$126,
  desp.m.ik[mes], "&gt;="&amp;V$1,
  desp.m.ik[mes], "&lt;"&amp;EOMONTH(V$1,0)+1
)</f>
        <v>0</v>
      </c>
      <c r="W146" s="186">
        <f ca="1">-SUMIFS(
  desp.m.ik[valor],
  desp.m.ik[nucleo], $B146,
  desp.m.ik[variavel], $B$126,
  desp.m.ik[mes], "&gt;="&amp;W$1,
  desp.m.ik[mes], "&lt;"&amp;EOMONTH(W$1,0)+1
)</f>
        <v>0</v>
      </c>
      <c r="X146" s="186">
        <f ca="1">-SUMIFS(
  desp.m.ik[valor],
  desp.m.ik[nucleo], $B146,
  desp.m.ik[variavel], $B$126,
  desp.m.ik[mes], "&gt;="&amp;X$1,
  desp.m.ik[mes], "&lt;"&amp;EOMONTH(X$1,0)+1
)</f>
        <v>0</v>
      </c>
      <c r="Y146" s="186">
        <f ca="1">-SUMIFS(
  desp.m.ik[valor],
  desp.m.ik[nucleo], $B146,
  desp.m.ik[variavel], $B$126,
  desp.m.ik[mes], "&gt;="&amp;Y$1,
  desp.m.ik[mes], "&lt;"&amp;EOMONTH(Y$1,0)+1
)</f>
        <v>0</v>
      </c>
      <c r="Z146" s="186">
        <f ca="1">-SUMIFS(
  desp.m.ik[valor],
  desp.m.ik[nucleo], $B146,
  desp.m.ik[variavel], $B$126,
  desp.m.ik[mes], "&gt;="&amp;Z$1,
  desp.m.ik[mes], "&lt;"&amp;EOMONTH(Z$1,0)+1
)</f>
        <v>0</v>
      </c>
      <c r="AA146" s="186">
        <f ca="1">-SUMIFS(
  desp.m.ik[valor],
  desp.m.ik[nucleo], $B146,
  desp.m.ik[variavel], $B$126,
  desp.m.ik[mes], "&gt;="&amp;AA$1,
  desp.m.ik[mes], "&lt;"&amp;EOMONTH(AA$1,0)+1
)</f>
        <v>0</v>
      </c>
      <c r="AC146" s="178">
        <f t="shared" ca="1" si="31"/>
        <v>0</v>
      </c>
      <c r="AE146" s="178">
        <f t="shared" ca="1" si="32"/>
        <v>0</v>
      </c>
    </row>
    <row r="147" spans="1:31" hidden="1" outlineLevel="2" x14ac:dyDescent="0.25">
      <c r="A147" s="185" t="s">
        <v>1174</v>
      </c>
      <c r="B147" s="185" t="s">
        <v>577</v>
      </c>
      <c r="C147" s="138" t="s">
        <v>514</v>
      </c>
      <c r="D147" s="186">
        <f ca="1">-SUMIFS(
  desp.m.ik[valor],
  desp.m.ik[nucleo], $B147,
  desp.m.ik[variavel], $B$126,
  desp.m.ik[mes], "&gt;="&amp;D$1,
  desp.m.ik[mes], "&lt;"&amp;EOMONTH(D$1,0)+1
)</f>
        <v>0</v>
      </c>
      <c r="E147" s="186">
        <f ca="1">-SUMIFS(
  desp.m.ik[valor],
  desp.m.ik[nucleo], $B147,
  desp.m.ik[variavel], $B$126,
  desp.m.ik[mes], "&gt;="&amp;E$1,
  desp.m.ik[mes], "&lt;"&amp;EOMONTH(E$1,0)+1
)</f>
        <v>0</v>
      </c>
      <c r="F147" s="186">
        <f ca="1">-SUMIFS(
  desp.m.ik[valor],
  desp.m.ik[nucleo], $B147,
  desp.m.ik[variavel], $B$126,
  desp.m.ik[mes], "&gt;="&amp;F$1,
  desp.m.ik[mes], "&lt;"&amp;EOMONTH(F$1,0)+1
)</f>
        <v>0</v>
      </c>
      <c r="G147" s="186">
        <f ca="1">-SUMIFS(
  desp.m.ik[valor],
  desp.m.ik[nucleo], $B147,
  desp.m.ik[variavel], $B$126,
  desp.m.ik[mes], "&gt;="&amp;G$1,
  desp.m.ik[mes], "&lt;"&amp;EOMONTH(G$1,0)+1
)</f>
        <v>0</v>
      </c>
      <c r="H147" s="186">
        <f ca="1">-SUMIFS(
  desp.m.ik[valor],
  desp.m.ik[nucleo], $B147,
  desp.m.ik[variavel], $B$126,
  desp.m.ik[mes], "&gt;="&amp;H$1,
  desp.m.ik[mes], "&lt;"&amp;EOMONTH(H$1,0)+1
)</f>
        <v>0</v>
      </c>
      <c r="I147" s="186">
        <f ca="1">-SUMIFS(
  desp.m.ik[valor],
  desp.m.ik[nucleo], $B147,
  desp.m.ik[variavel], $B$126,
  desp.m.ik[mes], "&gt;="&amp;I$1,
  desp.m.ik[mes], "&lt;"&amp;EOMONTH(I$1,0)+1
)</f>
        <v>0</v>
      </c>
      <c r="J147" s="186">
        <f ca="1">-SUMIFS(
  desp.m.ik[valor],
  desp.m.ik[nucleo], $B147,
  desp.m.ik[variavel], $B$126,
  desp.m.ik[mes], "&gt;="&amp;J$1,
  desp.m.ik[mes], "&lt;"&amp;EOMONTH(J$1,0)+1
)</f>
        <v>0</v>
      </c>
      <c r="K147" s="186">
        <f ca="1">-SUMIFS(
  desp.m.ik[valor],
  desp.m.ik[nucleo], $B147,
  desp.m.ik[variavel], $B$126,
  desp.m.ik[mes], "&gt;="&amp;K$1,
  desp.m.ik[mes], "&lt;"&amp;EOMONTH(K$1,0)+1
)</f>
        <v>0</v>
      </c>
      <c r="L147" s="186">
        <f ca="1">-SUMIFS(
  desp.m.ik[valor],
  desp.m.ik[nucleo], $B147,
  desp.m.ik[variavel], $B$126,
  desp.m.ik[mes], "&gt;="&amp;L$1,
  desp.m.ik[mes], "&lt;"&amp;EOMONTH(L$1,0)+1
)</f>
        <v>0</v>
      </c>
      <c r="M147" s="186">
        <f ca="1">-SUMIFS(
  desp.m.ik[valor],
  desp.m.ik[nucleo], $B147,
  desp.m.ik[variavel], $B$126,
  desp.m.ik[mes], "&gt;="&amp;M$1,
  desp.m.ik[mes], "&lt;"&amp;EOMONTH(M$1,0)+1
)</f>
        <v>0</v>
      </c>
      <c r="N147" s="186">
        <f ca="1">-SUMIFS(
  desp.m.ik[valor],
  desp.m.ik[nucleo], $B147,
  desp.m.ik[variavel], $B$126,
  desp.m.ik[mes], "&gt;="&amp;N$1,
  desp.m.ik[mes], "&lt;"&amp;EOMONTH(N$1,0)+1
)</f>
        <v>0</v>
      </c>
      <c r="O147" s="186">
        <f ca="1">-SUMIFS(
  desp.m.ik[valor],
  desp.m.ik[nucleo], $B147,
  desp.m.ik[variavel], $B$126,
  desp.m.ik[mes], "&gt;="&amp;O$1,
  desp.m.ik[mes], "&lt;"&amp;EOMONTH(O$1,0)+1
)</f>
        <v>0</v>
      </c>
      <c r="P147" s="186">
        <f ca="1">-SUMIFS(
  desp.m.ik[valor],
  desp.m.ik[nucleo], $B147,
  desp.m.ik[variavel], $B$126,
  desp.m.ik[mes], "&gt;="&amp;P$1,
  desp.m.ik[mes], "&lt;"&amp;EOMONTH(P$1,0)+1
)</f>
        <v>0</v>
      </c>
      <c r="Q147" s="186">
        <f ca="1">-SUMIFS(
  desp.m.ik[valor],
  desp.m.ik[nucleo], $B147,
  desp.m.ik[variavel], $B$126,
  desp.m.ik[mes], "&gt;="&amp;Q$1,
  desp.m.ik[mes], "&lt;"&amp;EOMONTH(Q$1,0)+1
)</f>
        <v>0</v>
      </c>
      <c r="R147" s="186">
        <f ca="1">-SUMIFS(
  desp.m.ik[valor],
  desp.m.ik[nucleo], $B147,
  desp.m.ik[variavel], $B$126,
  desp.m.ik[mes], "&gt;="&amp;R$1,
  desp.m.ik[mes], "&lt;"&amp;EOMONTH(R$1,0)+1
)</f>
        <v>0</v>
      </c>
      <c r="S147" s="186">
        <f ca="1">-SUMIFS(
  desp.m.ik[valor],
  desp.m.ik[nucleo], $B147,
  desp.m.ik[variavel], $B$126,
  desp.m.ik[mes], "&gt;="&amp;S$1,
  desp.m.ik[mes], "&lt;"&amp;EOMONTH(S$1,0)+1
)</f>
        <v>0</v>
      </c>
      <c r="T147" s="186">
        <f ca="1">-SUMIFS(
  desp.m.ik[valor],
  desp.m.ik[nucleo], $B147,
  desp.m.ik[variavel], $B$126,
  desp.m.ik[mes], "&gt;="&amp;T$1,
  desp.m.ik[mes], "&lt;"&amp;EOMONTH(T$1,0)+1
)</f>
        <v>0</v>
      </c>
      <c r="U147" s="186">
        <f ca="1">-SUMIFS(
  desp.m.ik[valor],
  desp.m.ik[nucleo], $B147,
  desp.m.ik[variavel], $B$126,
  desp.m.ik[mes], "&gt;="&amp;U$1,
  desp.m.ik[mes], "&lt;"&amp;EOMONTH(U$1,0)+1
)</f>
        <v>0</v>
      </c>
      <c r="V147" s="186">
        <f ca="1">-SUMIFS(
  desp.m.ik[valor],
  desp.m.ik[nucleo], $B147,
  desp.m.ik[variavel], $B$126,
  desp.m.ik[mes], "&gt;="&amp;V$1,
  desp.m.ik[mes], "&lt;"&amp;EOMONTH(V$1,0)+1
)</f>
        <v>0</v>
      </c>
      <c r="W147" s="186">
        <f ca="1">-SUMIFS(
  desp.m.ik[valor],
  desp.m.ik[nucleo], $B147,
  desp.m.ik[variavel], $B$126,
  desp.m.ik[mes], "&gt;="&amp;W$1,
  desp.m.ik[mes], "&lt;"&amp;EOMONTH(W$1,0)+1
)</f>
        <v>0</v>
      </c>
      <c r="X147" s="186">
        <f ca="1">-SUMIFS(
  desp.m.ik[valor],
  desp.m.ik[nucleo], $B147,
  desp.m.ik[variavel], $B$126,
  desp.m.ik[mes], "&gt;="&amp;X$1,
  desp.m.ik[mes], "&lt;"&amp;EOMONTH(X$1,0)+1
)</f>
        <v>0</v>
      </c>
      <c r="Y147" s="186">
        <f ca="1">-SUMIFS(
  desp.m.ik[valor],
  desp.m.ik[nucleo], $B147,
  desp.m.ik[variavel], $B$126,
  desp.m.ik[mes], "&gt;="&amp;Y$1,
  desp.m.ik[mes], "&lt;"&amp;EOMONTH(Y$1,0)+1
)</f>
        <v>0</v>
      </c>
      <c r="Z147" s="186">
        <f ca="1">-SUMIFS(
  desp.m.ik[valor],
  desp.m.ik[nucleo], $B147,
  desp.m.ik[variavel], $B$126,
  desp.m.ik[mes], "&gt;="&amp;Z$1,
  desp.m.ik[mes], "&lt;"&amp;EOMONTH(Z$1,0)+1
)</f>
        <v>0</v>
      </c>
      <c r="AA147" s="186">
        <f ca="1">-SUMIFS(
  desp.m.ik[valor],
  desp.m.ik[nucleo], $B147,
  desp.m.ik[variavel], $B$126,
  desp.m.ik[mes], "&gt;="&amp;AA$1,
  desp.m.ik[mes], "&lt;"&amp;EOMONTH(AA$1,0)+1
)</f>
        <v>0</v>
      </c>
      <c r="AC147" s="178">
        <f t="shared" ca="1" si="31"/>
        <v>0</v>
      </c>
      <c r="AE147" s="178">
        <f t="shared" ca="1" si="32"/>
        <v>0</v>
      </c>
    </row>
    <row r="148" spans="1:31" hidden="1" outlineLevel="2" x14ac:dyDescent="0.25">
      <c r="A148" s="185" t="s">
        <v>1176</v>
      </c>
      <c r="B148" s="185" t="s">
        <v>580</v>
      </c>
      <c r="C148" s="138" t="s">
        <v>514</v>
      </c>
      <c r="D148" s="186">
        <f ca="1">-SUMIFS(
  desp.m.ik[valor],
  desp.m.ik[nucleo], $B148,
  desp.m.ik[variavel], $B$126,
  desp.m.ik[mes], "&gt;="&amp;D$1,
  desp.m.ik[mes], "&lt;"&amp;EOMONTH(D$1,0)+1
)</f>
        <v>0</v>
      </c>
      <c r="E148" s="186">
        <f ca="1">-SUMIFS(
  desp.m.ik[valor],
  desp.m.ik[nucleo], $B148,
  desp.m.ik[variavel], $B$126,
  desp.m.ik[mes], "&gt;="&amp;E$1,
  desp.m.ik[mes], "&lt;"&amp;EOMONTH(E$1,0)+1
)</f>
        <v>0</v>
      </c>
      <c r="F148" s="186">
        <f ca="1">-SUMIFS(
  desp.m.ik[valor],
  desp.m.ik[nucleo], $B148,
  desp.m.ik[variavel], $B$126,
  desp.m.ik[mes], "&gt;="&amp;F$1,
  desp.m.ik[mes], "&lt;"&amp;EOMONTH(F$1,0)+1
)</f>
        <v>0</v>
      </c>
      <c r="G148" s="186">
        <f ca="1">-SUMIFS(
  desp.m.ik[valor],
  desp.m.ik[nucleo], $B148,
  desp.m.ik[variavel], $B$126,
  desp.m.ik[mes], "&gt;="&amp;G$1,
  desp.m.ik[mes], "&lt;"&amp;EOMONTH(G$1,0)+1
)</f>
        <v>0</v>
      </c>
      <c r="H148" s="186">
        <f ca="1">-SUMIFS(
  desp.m.ik[valor],
  desp.m.ik[nucleo], $B148,
  desp.m.ik[variavel], $B$126,
  desp.m.ik[mes], "&gt;="&amp;H$1,
  desp.m.ik[mes], "&lt;"&amp;EOMONTH(H$1,0)+1
)</f>
        <v>0</v>
      </c>
      <c r="I148" s="186">
        <f ca="1">-SUMIFS(
  desp.m.ik[valor],
  desp.m.ik[nucleo], $B148,
  desp.m.ik[variavel], $B$126,
  desp.m.ik[mes], "&gt;="&amp;I$1,
  desp.m.ik[mes], "&lt;"&amp;EOMONTH(I$1,0)+1
)</f>
        <v>0</v>
      </c>
      <c r="J148" s="186">
        <f ca="1">-SUMIFS(
  desp.m.ik[valor],
  desp.m.ik[nucleo], $B148,
  desp.m.ik[variavel], $B$126,
  desp.m.ik[mes], "&gt;="&amp;J$1,
  desp.m.ik[mes], "&lt;"&amp;EOMONTH(J$1,0)+1
)</f>
        <v>0</v>
      </c>
      <c r="K148" s="186">
        <f ca="1">-SUMIFS(
  desp.m.ik[valor],
  desp.m.ik[nucleo], $B148,
  desp.m.ik[variavel], $B$126,
  desp.m.ik[mes], "&gt;="&amp;K$1,
  desp.m.ik[mes], "&lt;"&amp;EOMONTH(K$1,0)+1
)</f>
        <v>0</v>
      </c>
      <c r="L148" s="186">
        <f ca="1">-SUMIFS(
  desp.m.ik[valor],
  desp.m.ik[nucleo], $B148,
  desp.m.ik[variavel], $B$126,
  desp.m.ik[mes], "&gt;="&amp;L$1,
  desp.m.ik[mes], "&lt;"&amp;EOMONTH(L$1,0)+1
)</f>
        <v>0</v>
      </c>
      <c r="M148" s="186">
        <f ca="1">-SUMIFS(
  desp.m.ik[valor],
  desp.m.ik[nucleo], $B148,
  desp.m.ik[variavel], $B$126,
  desp.m.ik[mes], "&gt;="&amp;M$1,
  desp.m.ik[mes], "&lt;"&amp;EOMONTH(M$1,0)+1
)</f>
        <v>0</v>
      </c>
      <c r="N148" s="186">
        <f ca="1">-SUMIFS(
  desp.m.ik[valor],
  desp.m.ik[nucleo], $B148,
  desp.m.ik[variavel], $B$126,
  desp.m.ik[mes], "&gt;="&amp;N$1,
  desp.m.ik[mes], "&lt;"&amp;EOMONTH(N$1,0)+1
)</f>
        <v>0</v>
      </c>
      <c r="O148" s="186">
        <f ca="1">-SUMIFS(
  desp.m.ik[valor],
  desp.m.ik[nucleo], $B148,
  desp.m.ik[variavel], $B$126,
  desp.m.ik[mes], "&gt;="&amp;O$1,
  desp.m.ik[mes], "&lt;"&amp;EOMONTH(O$1,0)+1
)</f>
        <v>0</v>
      </c>
      <c r="P148" s="186">
        <f ca="1">-SUMIFS(
  desp.m.ik[valor],
  desp.m.ik[nucleo], $B148,
  desp.m.ik[variavel], $B$126,
  desp.m.ik[mes], "&gt;="&amp;P$1,
  desp.m.ik[mes], "&lt;"&amp;EOMONTH(P$1,0)+1
)</f>
        <v>0</v>
      </c>
      <c r="Q148" s="186">
        <f ca="1">-SUMIFS(
  desp.m.ik[valor],
  desp.m.ik[nucleo], $B148,
  desp.m.ik[variavel], $B$126,
  desp.m.ik[mes], "&gt;="&amp;Q$1,
  desp.m.ik[mes], "&lt;"&amp;EOMONTH(Q$1,0)+1
)</f>
        <v>0</v>
      </c>
      <c r="R148" s="186">
        <f ca="1">-SUMIFS(
  desp.m.ik[valor],
  desp.m.ik[nucleo], $B148,
  desp.m.ik[variavel], $B$126,
  desp.m.ik[mes], "&gt;="&amp;R$1,
  desp.m.ik[mes], "&lt;"&amp;EOMONTH(R$1,0)+1
)</f>
        <v>0</v>
      </c>
      <c r="S148" s="186">
        <f ca="1">-SUMIFS(
  desp.m.ik[valor],
  desp.m.ik[nucleo], $B148,
  desp.m.ik[variavel], $B$126,
  desp.m.ik[mes], "&gt;="&amp;S$1,
  desp.m.ik[mes], "&lt;"&amp;EOMONTH(S$1,0)+1
)</f>
        <v>0</v>
      </c>
      <c r="T148" s="186">
        <f ca="1">-SUMIFS(
  desp.m.ik[valor],
  desp.m.ik[nucleo], $B148,
  desp.m.ik[variavel], $B$126,
  desp.m.ik[mes], "&gt;="&amp;T$1,
  desp.m.ik[mes], "&lt;"&amp;EOMONTH(T$1,0)+1
)</f>
        <v>0</v>
      </c>
      <c r="U148" s="186">
        <f ca="1">-SUMIFS(
  desp.m.ik[valor],
  desp.m.ik[nucleo], $B148,
  desp.m.ik[variavel], $B$126,
  desp.m.ik[mes], "&gt;="&amp;U$1,
  desp.m.ik[mes], "&lt;"&amp;EOMONTH(U$1,0)+1
)</f>
        <v>0</v>
      </c>
      <c r="V148" s="186">
        <f ca="1">-SUMIFS(
  desp.m.ik[valor],
  desp.m.ik[nucleo], $B148,
  desp.m.ik[variavel], $B$126,
  desp.m.ik[mes], "&gt;="&amp;V$1,
  desp.m.ik[mes], "&lt;"&amp;EOMONTH(V$1,0)+1
)</f>
        <v>0</v>
      </c>
      <c r="W148" s="186">
        <f ca="1">-SUMIFS(
  desp.m.ik[valor],
  desp.m.ik[nucleo], $B148,
  desp.m.ik[variavel], $B$126,
  desp.m.ik[mes], "&gt;="&amp;W$1,
  desp.m.ik[mes], "&lt;"&amp;EOMONTH(W$1,0)+1
)</f>
        <v>0</v>
      </c>
      <c r="X148" s="186">
        <f ca="1">-SUMIFS(
  desp.m.ik[valor],
  desp.m.ik[nucleo], $B148,
  desp.m.ik[variavel], $B$126,
  desp.m.ik[mes], "&gt;="&amp;X$1,
  desp.m.ik[mes], "&lt;"&amp;EOMONTH(X$1,0)+1
)</f>
        <v>0</v>
      </c>
      <c r="Y148" s="186">
        <f ca="1">-SUMIFS(
  desp.m.ik[valor],
  desp.m.ik[nucleo], $B148,
  desp.m.ik[variavel], $B$126,
  desp.m.ik[mes], "&gt;="&amp;Y$1,
  desp.m.ik[mes], "&lt;"&amp;EOMONTH(Y$1,0)+1
)</f>
        <v>0</v>
      </c>
      <c r="Z148" s="186">
        <f ca="1">-SUMIFS(
  desp.m.ik[valor],
  desp.m.ik[nucleo], $B148,
  desp.m.ik[variavel], $B$126,
  desp.m.ik[mes], "&gt;="&amp;Z$1,
  desp.m.ik[mes], "&lt;"&amp;EOMONTH(Z$1,0)+1
)</f>
        <v>0</v>
      </c>
      <c r="AA148" s="186">
        <f ca="1">-SUMIFS(
  desp.m.ik[valor],
  desp.m.ik[nucleo], $B148,
  desp.m.ik[variavel], $B$126,
  desp.m.ik[mes], "&gt;="&amp;AA$1,
  desp.m.ik[mes], "&lt;"&amp;EOMONTH(AA$1,0)+1
)</f>
        <v>0</v>
      </c>
      <c r="AC148" s="178">
        <f t="shared" ca="1" si="31"/>
        <v>0</v>
      </c>
      <c r="AE148" s="178">
        <f t="shared" ca="1" si="32"/>
        <v>0</v>
      </c>
    </row>
    <row r="149" spans="1:31" hidden="1" outlineLevel="2" x14ac:dyDescent="0.25">
      <c r="A149" s="185" t="s">
        <v>1177</v>
      </c>
      <c r="B149" s="185" t="s">
        <v>578</v>
      </c>
      <c r="C149" s="138" t="s">
        <v>514</v>
      </c>
      <c r="D149" s="186">
        <f ca="1">-SUMIFS(
  desp.m.ik[valor],
  desp.m.ik[nucleo], $B149,
  desp.m.ik[variavel], $B$126,
  desp.m.ik[mes], "&gt;="&amp;D$1,
  desp.m.ik[mes], "&lt;"&amp;EOMONTH(D$1,0)+1
)</f>
        <v>0</v>
      </c>
      <c r="E149" s="186">
        <f ca="1">-SUMIFS(
  desp.m.ik[valor],
  desp.m.ik[nucleo], $B149,
  desp.m.ik[variavel], $B$126,
  desp.m.ik[mes], "&gt;="&amp;E$1,
  desp.m.ik[mes], "&lt;"&amp;EOMONTH(E$1,0)+1
)</f>
        <v>0</v>
      </c>
      <c r="F149" s="186">
        <f ca="1">-SUMIFS(
  desp.m.ik[valor],
  desp.m.ik[nucleo], $B149,
  desp.m.ik[variavel], $B$126,
  desp.m.ik[mes], "&gt;="&amp;F$1,
  desp.m.ik[mes], "&lt;"&amp;EOMONTH(F$1,0)+1
)</f>
        <v>0</v>
      </c>
      <c r="G149" s="186">
        <f ca="1">-SUMIFS(
  desp.m.ik[valor],
  desp.m.ik[nucleo], $B149,
  desp.m.ik[variavel], $B$126,
  desp.m.ik[mes], "&gt;="&amp;G$1,
  desp.m.ik[mes], "&lt;"&amp;EOMONTH(G$1,0)+1
)</f>
        <v>0</v>
      </c>
      <c r="H149" s="186">
        <f ca="1">-SUMIFS(
  desp.m.ik[valor],
  desp.m.ik[nucleo], $B149,
  desp.m.ik[variavel], $B$126,
  desp.m.ik[mes], "&gt;="&amp;H$1,
  desp.m.ik[mes], "&lt;"&amp;EOMONTH(H$1,0)+1
)</f>
        <v>0</v>
      </c>
      <c r="I149" s="186">
        <f ca="1">-SUMIFS(
  desp.m.ik[valor],
  desp.m.ik[nucleo], $B149,
  desp.m.ik[variavel], $B$126,
  desp.m.ik[mes], "&gt;="&amp;I$1,
  desp.m.ik[mes], "&lt;"&amp;EOMONTH(I$1,0)+1
)</f>
        <v>0</v>
      </c>
      <c r="J149" s="186">
        <f ca="1">-SUMIFS(
  desp.m.ik[valor],
  desp.m.ik[nucleo], $B149,
  desp.m.ik[variavel], $B$126,
  desp.m.ik[mes], "&gt;="&amp;J$1,
  desp.m.ik[mes], "&lt;"&amp;EOMONTH(J$1,0)+1
)</f>
        <v>0</v>
      </c>
      <c r="K149" s="186">
        <f ca="1">-SUMIFS(
  desp.m.ik[valor],
  desp.m.ik[nucleo], $B149,
  desp.m.ik[variavel], $B$126,
  desp.m.ik[mes], "&gt;="&amp;K$1,
  desp.m.ik[mes], "&lt;"&amp;EOMONTH(K$1,0)+1
)</f>
        <v>0</v>
      </c>
      <c r="L149" s="186">
        <f ca="1">-SUMIFS(
  desp.m.ik[valor],
  desp.m.ik[nucleo], $B149,
  desp.m.ik[variavel], $B$126,
  desp.m.ik[mes], "&gt;="&amp;L$1,
  desp.m.ik[mes], "&lt;"&amp;EOMONTH(L$1,0)+1
)</f>
        <v>0</v>
      </c>
      <c r="M149" s="186">
        <f ca="1">-SUMIFS(
  desp.m.ik[valor],
  desp.m.ik[nucleo], $B149,
  desp.m.ik[variavel], $B$126,
  desp.m.ik[mes], "&gt;="&amp;M$1,
  desp.m.ik[mes], "&lt;"&amp;EOMONTH(M$1,0)+1
)</f>
        <v>0</v>
      </c>
      <c r="N149" s="186">
        <f ca="1">-SUMIFS(
  desp.m.ik[valor],
  desp.m.ik[nucleo], $B149,
  desp.m.ik[variavel], $B$126,
  desp.m.ik[mes], "&gt;="&amp;N$1,
  desp.m.ik[mes], "&lt;"&amp;EOMONTH(N$1,0)+1
)</f>
        <v>0</v>
      </c>
      <c r="O149" s="186">
        <f ca="1">-SUMIFS(
  desp.m.ik[valor],
  desp.m.ik[nucleo], $B149,
  desp.m.ik[variavel], $B$126,
  desp.m.ik[mes], "&gt;="&amp;O$1,
  desp.m.ik[mes], "&lt;"&amp;EOMONTH(O$1,0)+1
)</f>
        <v>0</v>
      </c>
      <c r="P149" s="186">
        <f ca="1">-SUMIFS(
  desp.m.ik[valor],
  desp.m.ik[nucleo], $B149,
  desp.m.ik[variavel], $B$126,
  desp.m.ik[mes], "&gt;="&amp;P$1,
  desp.m.ik[mes], "&lt;"&amp;EOMONTH(P$1,0)+1
)</f>
        <v>0</v>
      </c>
      <c r="Q149" s="186">
        <f ca="1">-SUMIFS(
  desp.m.ik[valor],
  desp.m.ik[nucleo], $B149,
  desp.m.ik[variavel], $B$126,
  desp.m.ik[mes], "&gt;="&amp;Q$1,
  desp.m.ik[mes], "&lt;"&amp;EOMONTH(Q$1,0)+1
)</f>
        <v>0</v>
      </c>
      <c r="R149" s="186">
        <f ca="1">-SUMIFS(
  desp.m.ik[valor],
  desp.m.ik[nucleo], $B149,
  desp.m.ik[variavel], $B$126,
  desp.m.ik[mes], "&gt;="&amp;R$1,
  desp.m.ik[mes], "&lt;"&amp;EOMONTH(R$1,0)+1
)</f>
        <v>0</v>
      </c>
      <c r="S149" s="186">
        <f ca="1">-SUMIFS(
  desp.m.ik[valor],
  desp.m.ik[nucleo], $B149,
  desp.m.ik[variavel], $B$126,
  desp.m.ik[mes], "&gt;="&amp;S$1,
  desp.m.ik[mes], "&lt;"&amp;EOMONTH(S$1,0)+1
)</f>
        <v>0</v>
      </c>
      <c r="T149" s="186">
        <f ca="1">-SUMIFS(
  desp.m.ik[valor],
  desp.m.ik[nucleo], $B149,
  desp.m.ik[variavel], $B$126,
  desp.m.ik[mes], "&gt;="&amp;T$1,
  desp.m.ik[mes], "&lt;"&amp;EOMONTH(T$1,0)+1
)</f>
        <v>0</v>
      </c>
      <c r="U149" s="186">
        <f ca="1">-SUMIFS(
  desp.m.ik[valor],
  desp.m.ik[nucleo], $B149,
  desp.m.ik[variavel], $B$126,
  desp.m.ik[mes], "&gt;="&amp;U$1,
  desp.m.ik[mes], "&lt;"&amp;EOMONTH(U$1,0)+1
)</f>
        <v>0</v>
      </c>
      <c r="V149" s="186">
        <f ca="1">-SUMIFS(
  desp.m.ik[valor],
  desp.m.ik[nucleo], $B149,
  desp.m.ik[variavel], $B$126,
  desp.m.ik[mes], "&gt;="&amp;V$1,
  desp.m.ik[mes], "&lt;"&amp;EOMONTH(V$1,0)+1
)</f>
        <v>0</v>
      </c>
      <c r="W149" s="186">
        <f ca="1">-SUMIFS(
  desp.m.ik[valor],
  desp.m.ik[nucleo], $B149,
  desp.m.ik[variavel], $B$126,
  desp.m.ik[mes], "&gt;="&amp;W$1,
  desp.m.ik[mes], "&lt;"&amp;EOMONTH(W$1,0)+1
)</f>
        <v>0</v>
      </c>
      <c r="X149" s="186">
        <f ca="1">-SUMIFS(
  desp.m.ik[valor],
  desp.m.ik[nucleo], $B149,
  desp.m.ik[variavel], $B$126,
  desp.m.ik[mes], "&gt;="&amp;X$1,
  desp.m.ik[mes], "&lt;"&amp;EOMONTH(X$1,0)+1
)</f>
        <v>0</v>
      </c>
      <c r="Y149" s="186">
        <f ca="1">-SUMIFS(
  desp.m.ik[valor],
  desp.m.ik[nucleo], $B149,
  desp.m.ik[variavel], $B$126,
  desp.m.ik[mes], "&gt;="&amp;Y$1,
  desp.m.ik[mes], "&lt;"&amp;EOMONTH(Y$1,0)+1
)</f>
        <v>0</v>
      </c>
      <c r="Z149" s="186">
        <f ca="1">-SUMIFS(
  desp.m.ik[valor],
  desp.m.ik[nucleo], $B149,
  desp.m.ik[variavel], $B$126,
  desp.m.ik[mes], "&gt;="&amp;Z$1,
  desp.m.ik[mes], "&lt;"&amp;EOMONTH(Z$1,0)+1
)</f>
        <v>0</v>
      </c>
      <c r="AA149" s="186">
        <f ca="1">-SUMIFS(
  desp.m.ik[valor],
  desp.m.ik[nucleo], $B149,
  desp.m.ik[variavel], $B$126,
  desp.m.ik[mes], "&gt;="&amp;AA$1,
  desp.m.ik[mes], "&lt;"&amp;EOMONTH(AA$1,0)+1
)</f>
        <v>0</v>
      </c>
      <c r="AC149" s="178">
        <f t="shared" ca="1" si="31"/>
        <v>0</v>
      </c>
      <c r="AE149" s="178">
        <f t="shared" ca="1" si="32"/>
        <v>0</v>
      </c>
    </row>
    <row r="150" spans="1:31" hidden="1" outlineLevel="2" x14ac:dyDescent="0.25">
      <c r="A150" s="185" t="s">
        <v>1178</v>
      </c>
      <c r="B150" s="185" t="s">
        <v>579</v>
      </c>
      <c r="C150" s="138" t="s">
        <v>514</v>
      </c>
      <c r="D150" s="186">
        <f ca="1">-SUMIFS(
  desp.m.ik[valor],
  desp.m.ik[nucleo], $B150,
  desp.m.ik[variavel], $B$126,
  desp.m.ik[mes], "&gt;="&amp;D$1,
  desp.m.ik[mes], "&lt;"&amp;EOMONTH(D$1,0)+1
)</f>
        <v>0</v>
      </c>
      <c r="E150" s="186">
        <f ca="1">-SUMIFS(
  desp.m.ik[valor],
  desp.m.ik[nucleo], $B150,
  desp.m.ik[variavel], $B$126,
  desp.m.ik[mes], "&gt;="&amp;E$1,
  desp.m.ik[mes], "&lt;"&amp;EOMONTH(E$1,0)+1
)</f>
        <v>0</v>
      </c>
      <c r="F150" s="186">
        <f ca="1">-SUMIFS(
  desp.m.ik[valor],
  desp.m.ik[nucleo], $B150,
  desp.m.ik[variavel], $B$126,
  desp.m.ik[mes], "&gt;="&amp;F$1,
  desp.m.ik[mes], "&lt;"&amp;EOMONTH(F$1,0)+1
)</f>
        <v>0</v>
      </c>
      <c r="G150" s="186">
        <f ca="1">-SUMIFS(
  desp.m.ik[valor],
  desp.m.ik[nucleo], $B150,
  desp.m.ik[variavel], $B$126,
  desp.m.ik[mes], "&gt;="&amp;G$1,
  desp.m.ik[mes], "&lt;"&amp;EOMONTH(G$1,0)+1
)</f>
        <v>0</v>
      </c>
      <c r="H150" s="186">
        <f ca="1">-SUMIFS(
  desp.m.ik[valor],
  desp.m.ik[nucleo], $B150,
  desp.m.ik[variavel], $B$126,
  desp.m.ik[mes], "&gt;="&amp;H$1,
  desp.m.ik[mes], "&lt;"&amp;EOMONTH(H$1,0)+1
)</f>
        <v>0</v>
      </c>
      <c r="I150" s="186">
        <f ca="1">-SUMIFS(
  desp.m.ik[valor],
  desp.m.ik[nucleo], $B150,
  desp.m.ik[variavel], $B$126,
  desp.m.ik[mes], "&gt;="&amp;I$1,
  desp.m.ik[mes], "&lt;"&amp;EOMONTH(I$1,0)+1
)</f>
        <v>0</v>
      </c>
      <c r="J150" s="186">
        <f ca="1">-SUMIFS(
  desp.m.ik[valor],
  desp.m.ik[nucleo], $B150,
  desp.m.ik[variavel], $B$126,
  desp.m.ik[mes], "&gt;="&amp;J$1,
  desp.m.ik[mes], "&lt;"&amp;EOMONTH(J$1,0)+1
)</f>
        <v>0</v>
      </c>
      <c r="K150" s="186">
        <f ca="1">-SUMIFS(
  desp.m.ik[valor],
  desp.m.ik[nucleo], $B150,
  desp.m.ik[variavel], $B$126,
  desp.m.ik[mes], "&gt;="&amp;K$1,
  desp.m.ik[mes], "&lt;"&amp;EOMONTH(K$1,0)+1
)</f>
        <v>0</v>
      </c>
      <c r="L150" s="186">
        <f ca="1">-SUMIFS(
  desp.m.ik[valor],
  desp.m.ik[nucleo], $B150,
  desp.m.ik[variavel], $B$126,
  desp.m.ik[mes], "&gt;="&amp;L$1,
  desp.m.ik[mes], "&lt;"&amp;EOMONTH(L$1,0)+1
)</f>
        <v>0</v>
      </c>
      <c r="M150" s="186">
        <f ca="1">-SUMIFS(
  desp.m.ik[valor],
  desp.m.ik[nucleo], $B150,
  desp.m.ik[variavel], $B$126,
  desp.m.ik[mes], "&gt;="&amp;M$1,
  desp.m.ik[mes], "&lt;"&amp;EOMONTH(M$1,0)+1
)</f>
        <v>0</v>
      </c>
      <c r="N150" s="186">
        <f ca="1">-SUMIFS(
  desp.m.ik[valor],
  desp.m.ik[nucleo], $B150,
  desp.m.ik[variavel], $B$126,
  desp.m.ik[mes], "&gt;="&amp;N$1,
  desp.m.ik[mes], "&lt;"&amp;EOMONTH(N$1,0)+1
)</f>
        <v>0</v>
      </c>
      <c r="O150" s="186">
        <f ca="1">-SUMIFS(
  desp.m.ik[valor],
  desp.m.ik[nucleo], $B150,
  desp.m.ik[variavel], $B$126,
  desp.m.ik[mes], "&gt;="&amp;O$1,
  desp.m.ik[mes], "&lt;"&amp;EOMONTH(O$1,0)+1
)</f>
        <v>0</v>
      </c>
      <c r="P150" s="186">
        <f ca="1">-SUMIFS(
  desp.m.ik[valor],
  desp.m.ik[nucleo], $B150,
  desp.m.ik[variavel], $B$126,
  desp.m.ik[mes], "&gt;="&amp;P$1,
  desp.m.ik[mes], "&lt;"&amp;EOMONTH(P$1,0)+1
)</f>
        <v>0</v>
      </c>
      <c r="Q150" s="186">
        <f ca="1">-SUMIFS(
  desp.m.ik[valor],
  desp.m.ik[nucleo], $B150,
  desp.m.ik[variavel], $B$126,
  desp.m.ik[mes], "&gt;="&amp;Q$1,
  desp.m.ik[mes], "&lt;"&amp;EOMONTH(Q$1,0)+1
)</f>
        <v>0</v>
      </c>
      <c r="R150" s="186">
        <f ca="1">-SUMIFS(
  desp.m.ik[valor],
  desp.m.ik[nucleo], $B150,
  desp.m.ik[variavel], $B$126,
  desp.m.ik[mes], "&gt;="&amp;R$1,
  desp.m.ik[mes], "&lt;"&amp;EOMONTH(R$1,0)+1
)</f>
        <v>0</v>
      </c>
      <c r="S150" s="186">
        <f ca="1">-SUMIFS(
  desp.m.ik[valor],
  desp.m.ik[nucleo], $B150,
  desp.m.ik[variavel], $B$126,
  desp.m.ik[mes], "&gt;="&amp;S$1,
  desp.m.ik[mes], "&lt;"&amp;EOMONTH(S$1,0)+1
)</f>
        <v>0</v>
      </c>
      <c r="T150" s="186">
        <f ca="1">-SUMIFS(
  desp.m.ik[valor],
  desp.m.ik[nucleo], $B150,
  desp.m.ik[variavel], $B$126,
  desp.m.ik[mes], "&gt;="&amp;T$1,
  desp.m.ik[mes], "&lt;"&amp;EOMONTH(T$1,0)+1
)</f>
        <v>0</v>
      </c>
      <c r="U150" s="186">
        <f ca="1">-SUMIFS(
  desp.m.ik[valor],
  desp.m.ik[nucleo], $B150,
  desp.m.ik[variavel], $B$126,
  desp.m.ik[mes], "&gt;="&amp;U$1,
  desp.m.ik[mes], "&lt;"&amp;EOMONTH(U$1,0)+1
)</f>
        <v>0</v>
      </c>
      <c r="V150" s="186">
        <f ca="1">-SUMIFS(
  desp.m.ik[valor],
  desp.m.ik[nucleo], $B150,
  desp.m.ik[variavel], $B$126,
  desp.m.ik[mes], "&gt;="&amp;V$1,
  desp.m.ik[mes], "&lt;"&amp;EOMONTH(V$1,0)+1
)</f>
        <v>0</v>
      </c>
      <c r="W150" s="186">
        <f ca="1">-SUMIFS(
  desp.m.ik[valor],
  desp.m.ik[nucleo], $B150,
  desp.m.ik[variavel], $B$126,
  desp.m.ik[mes], "&gt;="&amp;W$1,
  desp.m.ik[mes], "&lt;"&amp;EOMONTH(W$1,0)+1
)</f>
        <v>0</v>
      </c>
      <c r="X150" s="186">
        <f ca="1">-SUMIFS(
  desp.m.ik[valor],
  desp.m.ik[nucleo], $B150,
  desp.m.ik[variavel], $B$126,
  desp.m.ik[mes], "&gt;="&amp;X$1,
  desp.m.ik[mes], "&lt;"&amp;EOMONTH(X$1,0)+1
)</f>
        <v>0</v>
      </c>
      <c r="Y150" s="186">
        <f ca="1">-SUMIFS(
  desp.m.ik[valor],
  desp.m.ik[nucleo], $B150,
  desp.m.ik[variavel], $B$126,
  desp.m.ik[mes], "&gt;="&amp;Y$1,
  desp.m.ik[mes], "&lt;"&amp;EOMONTH(Y$1,0)+1
)</f>
        <v>0</v>
      </c>
      <c r="Z150" s="186">
        <f ca="1">-SUMIFS(
  desp.m.ik[valor],
  desp.m.ik[nucleo], $B150,
  desp.m.ik[variavel], $B$126,
  desp.m.ik[mes], "&gt;="&amp;Z$1,
  desp.m.ik[mes], "&lt;"&amp;EOMONTH(Z$1,0)+1
)</f>
        <v>0</v>
      </c>
      <c r="AA150" s="186">
        <f ca="1">-SUMIFS(
  desp.m.ik[valor],
  desp.m.ik[nucleo], $B150,
  desp.m.ik[variavel], $B$126,
  desp.m.ik[mes], "&gt;="&amp;AA$1,
  desp.m.ik[mes], "&lt;"&amp;EOMONTH(AA$1,0)+1
)</f>
        <v>0</v>
      </c>
      <c r="AC150" s="178">
        <f t="shared" ca="1" si="31"/>
        <v>0</v>
      </c>
      <c r="AE150" s="178">
        <f t="shared" ca="1" si="32"/>
        <v>0</v>
      </c>
    </row>
    <row r="151" spans="1:31" hidden="1" outlineLevel="2" x14ac:dyDescent="0.25">
      <c r="A151" s="185" t="s">
        <v>1174</v>
      </c>
      <c r="B151" s="185" t="s">
        <v>569</v>
      </c>
      <c r="C151" s="138" t="s">
        <v>514</v>
      </c>
      <c r="D151" s="186">
        <f ca="1">-SUMIFS(
  desp.m.ik[valor],
  desp.m.ik[nucleo], $B151,
  desp.m.ik[variavel], $B$126,
  desp.m.ik[mes], "&gt;="&amp;D$1,
  desp.m.ik[mes], "&lt;"&amp;EOMONTH(D$1,0)+1
)</f>
        <v>0</v>
      </c>
      <c r="E151" s="186">
        <f ca="1">-SUMIFS(
  desp.m.ik[valor],
  desp.m.ik[nucleo], $B151,
  desp.m.ik[variavel], $B$126,
  desp.m.ik[mes], "&gt;="&amp;E$1,
  desp.m.ik[mes], "&lt;"&amp;EOMONTH(E$1,0)+1
)</f>
        <v>0</v>
      </c>
      <c r="F151" s="186">
        <f ca="1">-SUMIFS(
  desp.m.ik[valor],
  desp.m.ik[nucleo], $B151,
  desp.m.ik[variavel], $B$126,
  desp.m.ik[mes], "&gt;="&amp;F$1,
  desp.m.ik[mes], "&lt;"&amp;EOMONTH(F$1,0)+1
)</f>
        <v>0</v>
      </c>
      <c r="G151" s="186">
        <f ca="1">-SUMIFS(
  desp.m.ik[valor],
  desp.m.ik[nucleo], $B151,
  desp.m.ik[variavel], $B$126,
  desp.m.ik[mes], "&gt;="&amp;G$1,
  desp.m.ik[mes], "&lt;"&amp;EOMONTH(G$1,0)+1
)</f>
        <v>0</v>
      </c>
      <c r="H151" s="186">
        <f ca="1">-SUMIFS(
  desp.m.ik[valor],
  desp.m.ik[nucleo], $B151,
  desp.m.ik[variavel], $B$126,
  desp.m.ik[mes], "&gt;="&amp;H$1,
  desp.m.ik[mes], "&lt;"&amp;EOMONTH(H$1,0)+1
)</f>
        <v>0</v>
      </c>
      <c r="I151" s="186">
        <f ca="1">-SUMIFS(
  desp.m.ik[valor],
  desp.m.ik[nucleo], $B151,
  desp.m.ik[variavel], $B$126,
  desp.m.ik[mes], "&gt;="&amp;I$1,
  desp.m.ik[mes], "&lt;"&amp;EOMONTH(I$1,0)+1
)</f>
        <v>0</v>
      </c>
      <c r="J151" s="186">
        <f ca="1">-SUMIFS(
  desp.m.ik[valor],
  desp.m.ik[nucleo], $B151,
  desp.m.ik[variavel], $B$126,
  desp.m.ik[mes], "&gt;="&amp;J$1,
  desp.m.ik[mes], "&lt;"&amp;EOMONTH(J$1,0)+1
)</f>
        <v>0</v>
      </c>
      <c r="K151" s="186">
        <f ca="1">-SUMIFS(
  desp.m.ik[valor],
  desp.m.ik[nucleo], $B151,
  desp.m.ik[variavel], $B$126,
  desp.m.ik[mes], "&gt;="&amp;K$1,
  desp.m.ik[mes], "&lt;"&amp;EOMONTH(K$1,0)+1
)</f>
        <v>0</v>
      </c>
      <c r="L151" s="186">
        <f ca="1">-SUMIFS(
  desp.m.ik[valor],
  desp.m.ik[nucleo], $B151,
  desp.m.ik[variavel], $B$126,
  desp.m.ik[mes], "&gt;="&amp;L$1,
  desp.m.ik[mes], "&lt;"&amp;EOMONTH(L$1,0)+1
)</f>
        <v>0</v>
      </c>
      <c r="M151" s="186">
        <f ca="1">-SUMIFS(
  desp.m.ik[valor],
  desp.m.ik[nucleo], $B151,
  desp.m.ik[variavel], $B$126,
  desp.m.ik[mes], "&gt;="&amp;M$1,
  desp.m.ik[mes], "&lt;"&amp;EOMONTH(M$1,0)+1
)</f>
        <v>0</v>
      </c>
      <c r="N151" s="186">
        <f ca="1">-SUMIFS(
  desp.m.ik[valor],
  desp.m.ik[nucleo], $B151,
  desp.m.ik[variavel], $B$126,
  desp.m.ik[mes], "&gt;="&amp;N$1,
  desp.m.ik[mes], "&lt;"&amp;EOMONTH(N$1,0)+1
)</f>
        <v>0</v>
      </c>
      <c r="O151" s="186">
        <f ca="1">-SUMIFS(
  desp.m.ik[valor],
  desp.m.ik[nucleo], $B151,
  desp.m.ik[variavel], $B$126,
  desp.m.ik[mes], "&gt;="&amp;O$1,
  desp.m.ik[mes], "&lt;"&amp;EOMONTH(O$1,0)+1
)</f>
        <v>0</v>
      </c>
      <c r="P151" s="186">
        <f ca="1">-SUMIFS(
  desp.m.ik[valor],
  desp.m.ik[nucleo], $B151,
  desp.m.ik[variavel], $B$126,
  desp.m.ik[mes], "&gt;="&amp;P$1,
  desp.m.ik[mes], "&lt;"&amp;EOMONTH(P$1,0)+1
)</f>
        <v>0</v>
      </c>
      <c r="Q151" s="186">
        <f ca="1">-SUMIFS(
  desp.m.ik[valor],
  desp.m.ik[nucleo], $B151,
  desp.m.ik[variavel], $B$126,
  desp.m.ik[mes], "&gt;="&amp;Q$1,
  desp.m.ik[mes], "&lt;"&amp;EOMONTH(Q$1,0)+1
)</f>
        <v>0</v>
      </c>
      <c r="R151" s="186">
        <f ca="1">-SUMIFS(
  desp.m.ik[valor],
  desp.m.ik[nucleo], $B151,
  desp.m.ik[variavel], $B$126,
  desp.m.ik[mes], "&gt;="&amp;R$1,
  desp.m.ik[mes], "&lt;"&amp;EOMONTH(R$1,0)+1
)</f>
        <v>0</v>
      </c>
      <c r="S151" s="186">
        <f ca="1">-SUMIFS(
  desp.m.ik[valor],
  desp.m.ik[nucleo], $B151,
  desp.m.ik[variavel], $B$126,
  desp.m.ik[mes], "&gt;="&amp;S$1,
  desp.m.ik[mes], "&lt;"&amp;EOMONTH(S$1,0)+1
)</f>
        <v>0</v>
      </c>
      <c r="T151" s="186">
        <f ca="1">-SUMIFS(
  desp.m.ik[valor],
  desp.m.ik[nucleo], $B151,
  desp.m.ik[variavel], $B$126,
  desp.m.ik[mes], "&gt;="&amp;T$1,
  desp.m.ik[mes], "&lt;"&amp;EOMONTH(T$1,0)+1
)</f>
        <v>0</v>
      </c>
      <c r="U151" s="186">
        <f ca="1">-SUMIFS(
  desp.m.ik[valor],
  desp.m.ik[nucleo], $B151,
  desp.m.ik[variavel], $B$126,
  desp.m.ik[mes], "&gt;="&amp;U$1,
  desp.m.ik[mes], "&lt;"&amp;EOMONTH(U$1,0)+1
)</f>
        <v>0</v>
      </c>
      <c r="V151" s="186">
        <f ca="1">-SUMIFS(
  desp.m.ik[valor],
  desp.m.ik[nucleo], $B151,
  desp.m.ik[variavel], $B$126,
  desp.m.ik[mes], "&gt;="&amp;V$1,
  desp.m.ik[mes], "&lt;"&amp;EOMONTH(V$1,0)+1
)</f>
        <v>0</v>
      </c>
      <c r="W151" s="186">
        <f ca="1">-SUMIFS(
  desp.m.ik[valor],
  desp.m.ik[nucleo], $B151,
  desp.m.ik[variavel], $B$126,
  desp.m.ik[mes], "&gt;="&amp;W$1,
  desp.m.ik[mes], "&lt;"&amp;EOMONTH(W$1,0)+1
)</f>
        <v>0</v>
      </c>
      <c r="X151" s="186">
        <f ca="1">-SUMIFS(
  desp.m.ik[valor],
  desp.m.ik[nucleo], $B151,
  desp.m.ik[variavel], $B$126,
  desp.m.ik[mes], "&gt;="&amp;X$1,
  desp.m.ik[mes], "&lt;"&amp;EOMONTH(X$1,0)+1
)</f>
        <v>0</v>
      </c>
      <c r="Y151" s="186">
        <f ca="1">-SUMIFS(
  desp.m.ik[valor],
  desp.m.ik[nucleo], $B151,
  desp.m.ik[variavel], $B$126,
  desp.m.ik[mes], "&gt;="&amp;Y$1,
  desp.m.ik[mes], "&lt;"&amp;EOMONTH(Y$1,0)+1
)</f>
        <v>0</v>
      </c>
      <c r="Z151" s="186">
        <f ca="1">-SUMIFS(
  desp.m.ik[valor],
  desp.m.ik[nucleo], $B151,
  desp.m.ik[variavel], $B$126,
  desp.m.ik[mes], "&gt;="&amp;Z$1,
  desp.m.ik[mes], "&lt;"&amp;EOMONTH(Z$1,0)+1
)</f>
        <v>0</v>
      </c>
      <c r="AA151" s="186">
        <f ca="1">-SUMIFS(
  desp.m.ik[valor],
  desp.m.ik[nucleo], $B151,
  desp.m.ik[variavel], $B$126,
  desp.m.ik[mes], "&gt;="&amp;AA$1,
  desp.m.ik[mes], "&lt;"&amp;EOMONTH(AA$1,0)+1
)</f>
        <v>0</v>
      </c>
      <c r="AC151" s="178">
        <f t="shared" ca="1" si="31"/>
        <v>0</v>
      </c>
      <c r="AE151" s="178">
        <f ca="1">SUM(D151:AA151)</f>
        <v>0</v>
      </c>
    </row>
    <row r="152" spans="1:31" hidden="1" outlineLevel="2" x14ac:dyDescent="0.25">
      <c r="A152" s="185" t="s">
        <v>1174</v>
      </c>
      <c r="B152" s="185" t="s">
        <v>581</v>
      </c>
      <c r="C152" s="138" t="s">
        <v>514</v>
      </c>
      <c r="D152" s="186">
        <f ca="1">-SUMIFS(
  desp.m.ik[valor],
  desp.m.ik[nucleo], $B152,
  desp.m.ik[variavel], $B$126,
  desp.m.ik[mes], "&gt;="&amp;D$1,
  desp.m.ik[mes], "&lt;"&amp;EOMONTH(D$1,0)+1
)</f>
        <v>0</v>
      </c>
      <c r="E152" s="186">
        <f ca="1">-SUMIFS(
  desp.m.ik[valor],
  desp.m.ik[nucleo], $B152,
  desp.m.ik[variavel], $B$126,
  desp.m.ik[mes], "&gt;="&amp;E$1,
  desp.m.ik[mes], "&lt;"&amp;EOMONTH(E$1,0)+1
)</f>
        <v>0</v>
      </c>
      <c r="F152" s="186">
        <f ca="1">-SUMIFS(
  desp.m.ik[valor],
  desp.m.ik[nucleo], $B152,
  desp.m.ik[variavel], $B$126,
  desp.m.ik[mes], "&gt;="&amp;F$1,
  desp.m.ik[mes], "&lt;"&amp;EOMONTH(F$1,0)+1
)</f>
        <v>0</v>
      </c>
      <c r="G152" s="186">
        <f ca="1">-SUMIFS(
  desp.m.ik[valor],
  desp.m.ik[nucleo], $B152,
  desp.m.ik[variavel], $B$126,
  desp.m.ik[mes], "&gt;="&amp;G$1,
  desp.m.ik[mes], "&lt;"&amp;EOMONTH(G$1,0)+1
)</f>
        <v>0</v>
      </c>
      <c r="H152" s="186">
        <f ca="1">-SUMIFS(
  desp.m.ik[valor],
  desp.m.ik[nucleo], $B152,
  desp.m.ik[variavel], $B$126,
  desp.m.ik[mes], "&gt;="&amp;H$1,
  desp.m.ik[mes], "&lt;"&amp;EOMONTH(H$1,0)+1
)</f>
        <v>0</v>
      </c>
      <c r="I152" s="186">
        <f ca="1">-SUMIFS(
  desp.m.ik[valor],
  desp.m.ik[nucleo], $B152,
  desp.m.ik[variavel], $B$126,
  desp.m.ik[mes], "&gt;="&amp;I$1,
  desp.m.ik[mes], "&lt;"&amp;EOMONTH(I$1,0)+1
)</f>
        <v>0</v>
      </c>
      <c r="J152" s="186">
        <f ca="1">-SUMIFS(
  desp.m.ik[valor],
  desp.m.ik[nucleo], $B152,
  desp.m.ik[variavel], $B$126,
  desp.m.ik[mes], "&gt;="&amp;J$1,
  desp.m.ik[mes], "&lt;"&amp;EOMONTH(J$1,0)+1
)</f>
        <v>0</v>
      </c>
      <c r="K152" s="186">
        <f ca="1">-SUMIFS(
  desp.m.ik[valor],
  desp.m.ik[nucleo], $B152,
  desp.m.ik[variavel], $B$126,
  desp.m.ik[mes], "&gt;="&amp;K$1,
  desp.m.ik[mes], "&lt;"&amp;EOMONTH(K$1,0)+1
)</f>
        <v>0</v>
      </c>
      <c r="L152" s="186">
        <f ca="1">-SUMIFS(
  desp.m.ik[valor],
  desp.m.ik[nucleo], $B152,
  desp.m.ik[variavel], $B$126,
  desp.m.ik[mes], "&gt;="&amp;L$1,
  desp.m.ik[mes], "&lt;"&amp;EOMONTH(L$1,0)+1
)</f>
        <v>0</v>
      </c>
      <c r="M152" s="186">
        <f ca="1">-SUMIFS(
  desp.m.ik[valor],
  desp.m.ik[nucleo], $B152,
  desp.m.ik[variavel], $B$126,
  desp.m.ik[mes], "&gt;="&amp;M$1,
  desp.m.ik[mes], "&lt;"&amp;EOMONTH(M$1,0)+1
)</f>
        <v>0</v>
      </c>
      <c r="N152" s="186">
        <f ca="1">-SUMIFS(
  desp.m.ik[valor],
  desp.m.ik[nucleo], $B152,
  desp.m.ik[variavel], $B$126,
  desp.m.ik[mes], "&gt;="&amp;N$1,
  desp.m.ik[mes], "&lt;"&amp;EOMONTH(N$1,0)+1
)</f>
        <v>0</v>
      </c>
      <c r="O152" s="186">
        <f ca="1">-SUMIFS(
  desp.m.ik[valor],
  desp.m.ik[nucleo], $B152,
  desp.m.ik[variavel], $B$126,
  desp.m.ik[mes], "&gt;="&amp;O$1,
  desp.m.ik[mes], "&lt;"&amp;EOMONTH(O$1,0)+1
)</f>
        <v>0</v>
      </c>
      <c r="P152" s="186">
        <f ca="1">-SUMIFS(
  desp.m.ik[valor],
  desp.m.ik[nucleo], $B152,
  desp.m.ik[variavel], $B$126,
  desp.m.ik[mes], "&gt;="&amp;P$1,
  desp.m.ik[mes], "&lt;"&amp;EOMONTH(P$1,0)+1
)</f>
        <v>0</v>
      </c>
      <c r="Q152" s="186">
        <f ca="1">-SUMIFS(
  desp.m.ik[valor],
  desp.m.ik[nucleo], $B152,
  desp.m.ik[variavel], $B$126,
  desp.m.ik[mes], "&gt;="&amp;Q$1,
  desp.m.ik[mes], "&lt;"&amp;EOMONTH(Q$1,0)+1
)</f>
        <v>0</v>
      </c>
      <c r="R152" s="186">
        <f ca="1">-SUMIFS(
  desp.m.ik[valor],
  desp.m.ik[nucleo], $B152,
  desp.m.ik[variavel], $B$126,
  desp.m.ik[mes], "&gt;="&amp;R$1,
  desp.m.ik[mes], "&lt;"&amp;EOMONTH(R$1,0)+1
)</f>
        <v>0</v>
      </c>
      <c r="S152" s="186">
        <f ca="1">-SUMIFS(
  desp.m.ik[valor],
  desp.m.ik[nucleo], $B152,
  desp.m.ik[variavel], $B$126,
  desp.m.ik[mes], "&gt;="&amp;S$1,
  desp.m.ik[mes], "&lt;"&amp;EOMONTH(S$1,0)+1
)</f>
        <v>0</v>
      </c>
      <c r="T152" s="186">
        <f ca="1">-SUMIFS(
  desp.m.ik[valor],
  desp.m.ik[nucleo], $B152,
  desp.m.ik[variavel], $B$126,
  desp.m.ik[mes], "&gt;="&amp;T$1,
  desp.m.ik[mes], "&lt;"&amp;EOMONTH(T$1,0)+1
)</f>
        <v>0</v>
      </c>
      <c r="U152" s="186">
        <f ca="1">-SUMIFS(
  desp.m.ik[valor],
  desp.m.ik[nucleo], $B152,
  desp.m.ik[variavel], $B$126,
  desp.m.ik[mes], "&gt;="&amp;U$1,
  desp.m.ik[mes], "&lt;"&amp;EOMONTH(U$1,0)+1
)</f>
        <v>0</v>
      </c>
      <c r="V152" s="186">
        <f ca="1">-SUMIFS(
  desp.m.ik[valor],
  desp.m.ik[nucleo], $B152,
  desp.m.ik[variavel], $B$126,
  desp.m.ik[mes], "&gt;="&amp;V$1,
  desp.m.ik[mes], "&lt;"&amp;EOMONTH(V$1,0)+1
)</f>
        <v>0</v>
      </c>
      <c r="W152" s="186">
        <f ca="1">-SUMIFS(
  desp.m.ik[valor],
  desp.m.ik[nucleo], $B152,
  desp.m.ik[variavel], $B$126,
  desp.m.ik[mes], "&gt;="&amp;W$1,
  desp.m.ik[mes], "&lt;"&amp;EOMONTH(W$1,0)+1
)</f>
        <v>0</v>
      </c>
      <c r="X152" s="186">
        <f ca="1">-SUMIFS(
  desp.m.ik[valor],
  desp.m.ik[nucleo], $B152,
  desp.m.ik[variavel], $B$126,
  desp.m.ik[mes], "&gt;="&amp;X$1,
  desp.m.ik[mes], "&lt;"&amp;EOMONTH(X$1,0)+1
)</f>
        <v>0</v>
      </c>
      <c r="Y152" s="186">
        <f ca="1">-SUMIFS(
  desp.m.ik[valor],
  desp.m.ik[nucleo], $B152,
  desp.m.ik[variavel], $B$126,
  desp.m.ik[mes], "&gt;="&amp;Y$1,
  desp.m.ik[mes], "&lt;"&amp;EOMONTH(Y$1,0)+1
)</f>
        <v>0</v>
      </c>
      <c r="Z152" s="186">
        <f ca="1">-SUMIFS(
  desp.m.ik[valor],
  desp.m.ik[nucleo], $B152,
  desp.m.ik[variavel], $B$126,
  desp.m.ik[mes], "&gt;="&amp;Z$1,
  desp.m.ik[mes], "&lt;"&amp;EOMONTH(Z$1,0)+1
)</f>
        <v>0</v>
      </c>
      <c r="AA152" s="186">
        <f ca="1">-SUMIFS(
  desp.m.ik[valor],
  desp.m.ik[nucleo], $B152,
  desp.m.ik[variavel], $B$126,
  desp.m.ik[mes], "&gt;="&amp;AA$1,
  desp.m.ik[mes], "&lt;"&amp;EOMONTH(AA$1,0)+1
)</f>
        <v>0</v>
      </c>
      <c r="AC152" s="178">
        <f t="shared" ca="1" si="31"/>
        <v>0</v>
      </c>
      <c r="AE152" s="178">
        <f t="shared" ca="1" si="32"/>
        <v>0</v>
      </c>
    </row>
    <row r="153" spans="1:31" hidden="1" outlineLevel="1" x14ac:dyDescent="0.25">
      <c r="A153" s="182" t="s">
        <v>570</v>
      </c>
      <c r="B153" s="182" t="s">
        <v>396</v>
      </c>
      <c r="C153" s="183" t="s">
        <v>514</v>
      </c>
      <c r="D153" s="184">
        <f t="shared" ref="D153:AA153" ca="1" si="33">SUM(D$154:D$163)</f>
        <v>0</v>
      </c>
      <c r="E153" s="184">
        <f t="shared" ca="1" si="33"/>
        <v>0</v>
      </c>
      <c r="F153" s="184">
        <f t="shared" ca="1" si="33"/>
        <v>0</v>
      </c>
      <c r="G153" s="184">
        <f t="shared" ca="1" si="33"/>
        <v>0</v>
      </c>
      <c r="H153" s="184">
        <f t="shared" ca="1" si="33"/>
        <v>0</v>
      </c>
      <c r="I153" s="184">
        <f t="shared" ca="1" si="33"/>
        <v>0</v>
      </c>
      <c r="J153" s="184">
        <f t="shared" ca="1" si="33"/>
        <v>0</v>
      </c>
      <c r="K153" s="184">
        <f t="shared" ca="1" si="33"/>
        <v>0</v>
      </c>
      <c r="L153" s="184">
        <f t="shared" ca="1" si="33"/>
        <v>0</v>
      </c>
      <c r="M153" s="184">
        <f t="shared" ca="1" si="33"/>
        <v>0</v>
      </c>
      <c r="N153" s="184">
        <f t="shared" ca="1" si="33"/>
        <v>0</v>
      </c>
      <c r="O153" s="184">
        <f t="shared" ca="1" si="33"/>
        <v>0</v>
      </c>
      <c r="P153" s="184">
        <f t="shared" ca="1" si="33"/>
        <v>0</v>
      </c>
      <c r="Q153" s="184">
        <f t="shared" ca="1" si="33"/>
        <v>0</v>
      </c>
      <c r="R153" s="184">
        <f t="shared" ca="1" si="33"/>
        <v>0</v>
      </c>
      <c r="S153" s="184">
        <f t="shared" ca="1" si="33"/>
        <v>0</v>
      </c>
      <c r="T153" s="184">
        <f t="shared" ca="1" si="33"/>
        <v>0</v>
      </c>
      <c r="U153" s="184">
        <f t="shared" ca="1" si="33"/>
        <v>0</v>
      </c>
      <c r="V153" s="184">
        <f t="shared" ca="1" si="33"/>
        <v>0</v>
      </c>
      <c r="W153" s="184">
        <f t="shared" ca="1" si="33"/>
        <v>0</v>
      </c>
      <c r="X153" s="184">
        <f t="shared" ca="1" si="33"/>
        <v>0</v>
      </c>
      <c r="Y153" s="184">
        <f t="shared" ca="1" si="33"/>
        <v>0</v>
      </c>
      <c r="Z153" s="184">
        <f t="shared" ca="1" si="33"/>
        <v>0</v>
      </c>
      <c r="AA153" s="184">
        <f t="shared" ca="1" si="33"/>
        <v>0</v>
      </c>
      <c r="AC153" s="280">
        <f t="shared" ca="1" si="31"/>
        <v>0</v>
      </c>
      <c r="AE153" s="280">
        <f t="shared" ca="1" si="32"/>
        <v>0</v>
      </c>
    </row>
    <row r="154" spans="1:31" hidden="1" outlineLevel="2" x14ac:dyDescent="0.25">
      <c r="A154" s="185" t="s">
        <v>955</v>
      </c>
      <c r="B154" s="185" t="s">
        <v>541</v>
      </c>
      <c r="C154" s="138" t="s">
        <v>514</v>
      </c>
      <c r="D154" s="186">
        <f ca="1">-SUMIFS(
  desp.m.ik[valor],
  desp.m.ik[nucleo], $B154,
  desp.m.ik[variavel], $B$153,
  desp.m.ik[mes], "&gt;="&amp;D$1,
  desp.m.ik[mes], "&lt;"&amp;EOMONTH(D$1,0)+1
)</f>
        <v>0</v>
      </c>
      <c r="E154" s="186">
        <f ca="1">-SUMIFS(
  desp.m.ik[valor],
  desp.m.ik[nucleo], $B154,
  desp.m.ik[variavel], $B$153,
  desp.m.ik[mes], "&gt;="&amp;E$1,
  desp.m.ik[mes], "&lt;"&amp;EOMONTH(E$1,0)+1
)</f>
        <v>0</v>
      </c>
      <c r="F154" s="186">
        <f ca="1">-SUMIFS(
  desp.m.ik[valor],
  desp.m.ik[nucleo], $B154,
  desp.m.ik[variavel], $B$153,
  desp.m.ik[mes], "&gt;="&amp;F$1,
  desp.m.ik[mes], "&lt;"&amp;EOMONTH(F$1,0)+1
)</f>
        <v>0</v>
      </c>
      <c r="G154" s="186">
        <f ca="1">-SUMIFS(
  desp.m.ik[valor],
  desp.m.ik[nucleo], $B154,
  desp.m.ik[variavel], $B$153,
  desp.m.ik[mes], "&gt;="&amp;G$1,
  desp.m.ik[mes], "&lt;"&amp;EOMONTH(G$1,0)+1
)</f>
        <v>0</v>
      </c>
      <c r="H154" s="186">
        <f ca="1">-SUMIFS(
  desp.m.ik[valor],
  desp.m.ik[nucleo], $B154,
  desp.m.ik[variavel], $B$153,
  desp.m.ik[mes], "&gt;="&amp;H$1,
  desp.m.ik[mes], "&lt;"&amp;EOMONTH(H$1,0)+1
)</f>
        <v>0</v>
      </c>
      <c r="I154" s="186">
        <f ca="1">-SUMIFS(
  desp.m.ik[valor],
  desp.m.ik[nucleo], $B154,
  desp.m.ik[variavel], $B$153,
  desp.m.ik[mes], "&gt;="&amp;I$1,
  desp.m.ik[mes], "&lt;"&amp;EOMONTH(I$1,0)+1
)</f>
        <v>0</v>
      </c>
      <c r="J154" s="186">
        <f ca="1">-SUMIFS(
  desp.m.ik[valor],
  desp.m.ik[nucleo], $B154,
  desp.m.ik[variavel], $B$153,
  desp.m.ik[mes], "&gt;="&amp;J$1,
  desp.m.ik[mes], "&lt;"&amp;EOMONTH(J$1,0)+1
)</f>
        <v>0</v>
      </c>
      <c r="K154" s="186">
        <f ca="1">-SUMIFS(
  desp.m.ik[valor],
  desp.m.ik[nucleo], $B154,
  desp.m.ik[variavel], $B$153,
  desp.m.ik[mes], "&gt;="&amp;K$1,
  desp.m.ik[mes], "&lt;"&amp;EOMONTH(K$1,0)+1
)</f>
        <v>0</v>
      </c>
      <c r="L154" s="186">
        <f ca="1">-SUMIFS(
  desp.m.ik[valor],
  desp.m.ik[nucleo], $B154,
  desp.m.ik[variavel], $B$153,
  desp.m.ik[mes], "&gt;="&amp;L$1,
  desp.m.ik[mes], "&lt;"&amp;EOMONTH(L$1,0)+1
)</f>
        <v>0</v>
      </c>
      <c r="M154" s="186">
        <f ca="1">-SUMIFS(
  desp.m.ik[valor],
  desp.m.ik[nucleo], $B154,
  desp.m.ik[variavel], $B$153,
  desp.m.ik[mes], "&gt;="&amp;M$1,
  desp.m.ik[mes], "&lt;"&amp;EOMONTH(M$1,0)+1
)</f>
        <v>0</v>
      </c>
      <c r="N154" s="186">
        <f ca="1">-SUMIFS(
  desp.m.ik[valor],
  desp.m.ik[nucleo], $B154,
  desp.m.ik[variavel], $B$153,
  desp.m.ik[mes], "&gt;="&amp;N$1,
  desp.m.ik[mes], "&lt;"&amp;EOMONTH(N$1,0)+1
)</f>
        <v>0</v>
      </c>
      <c r="O154" s="186">
        <f ca="1">-SUMIFS(
  desp.m.ik[valor],
  desp.m.ik[nucleo], $B154,
  desp.m.ik[variavel], $B$153,
  desp.m.ik[mes], "&gt;="&amp;O$1,
  desp.m.ik[mes], "&lt;"&amp;EOMONTH(O$1,0)+1
)</f>
        <v>0</v>
      </c>
      <c r="P154" s="186">
        <f ca="1">-SUMIFS(
  desp.m.ik[valor],
  desp.m.ik[nucleo], $B154,
  desp.m.ik[variavel], $B$153,
  desp.m.ik[mes], "&gt;="&amp;P$1,
  desp.m.ik[mes], "&lt;"&amp;EOMONTH(P$1,0)+1
)</f>
        <v>0</v>
      </c>
      <c r="Q154" s="186">
        <f ca="1">-SUMIFS(
  desp.m.ik[valor],
  desp.m.ik[nucleo], $B154,
  desp.m.ik[variavel], $B$153,
  desp.m.ik[mes], "&gt;="&amp;Q$1,
  desp.m.ik[mes], "&lt;"&amp;EOMONTH(Q$1,0)+1
)</f>
        <v>0</v>
      </c>
      <c r="R154" s="186">
        <f ca="1">-SUMIFS(
  desp.m.ik[valor],
  desp.m.ik[nucleo], $B154,
  desp.m.ik[variavel], $B$153,
  desp.m.ik[mes], "&gt;="&amp;R$1,
  desp.m.ik[mes], "&lt;"&amp;EOMONTH(R$1,0)+1
)</f>
        <v>0</v>
      </c>
      <c r="S154" s="186">
        <f ca="1">-SUMIFS(
  desp.m.ik[valor],
  desp.m.ik[nucleo], $B154,
  desp.m.ik[variavel], $B$153,
  desp.m.ik[mes], "&gt;="&amp;S$1,
  desp.m.ik[mes], "&lt;"&amp;EOMONTH(S$1,0)+1
)</f>
        <v>0</v>
      </c>
      <c r="T154" s="186">
        <f ca="1">-SUMIFS(
  desp.m.ik[valor],
  desp.m.ik[nucleo], $B154,
  desp.m.ik[variavel], $B$153,
  desp.m.ik[mes], "&gt;="&amp;T$1,
  desp.m.ik[mes], "&lt;"&amp;EOMONTH(T$1,0)+1
)</f>
        <v>0</v>
      </c>
      <c r="U154" s="186">
        <f ca="1">-SUMIFS(
  desp.m.ik[valor],
  desp.m.ik[nucleo], $B154,
  desp.m.ik[variavel], $B$153,
  desp.m.ik[mes], "&gt;="&amp;U$1,
  desp.m.ik[mes], "&lt;"&amp;EOMONTH(U$1,0)+1
)</f>
        <v>0</v>
      </c>
      <c r="V154" s="186">
        <f ca="1">-SUMIFS(
  desp.m.ik[valor],
  desp.m.ik[nucleo], $B154,
  desp.m.ik[variavel], $B$153,
  desp.m.ik[mes], "&gt;="&amp;V$1,
  desp.m.ik[mes], "&lt;"&amp;EOMONTH(V$1,0)+1
)</f>
        <v>0</v>
      </c>
      <c r="W154" s="186">
        <f ca="1">-SUMIFS(
  desp.m.ik[valor],
  desp.m.ik[nucleo], $B154,
  desp.m.ik[variavel], $B$153,
  desp.m.ik[mes], "&gt;="&amp;W$1,
  desp.m.ik[mes], "&lt;"&amp;EOMONTH(W$1,0)+1
)</f>
        <v>0</v>
      </c>
      <c r="X154" s="186">
        <f ca="1">-SUMIFS(
  desp.m.ik[valor],
  desp.m.ik[nucleo], $B154,
  desp.m.ik[variavel], $B$153,
  desp.m.ik[mes], "&gt;="&amp;X$1,
  desp.m.ik[mes], "&lt;"&amp;EOMONTH(X$1,0)+1
)</f>
        <v>0</v>
      </c>
      <c r="Y154" s="186">
        <f ca="1">-SUMIFS(
  desp.m.ik[valor],
  desp.m.ik[nucleo], $B154,
  desp.m.ik[variavel], $B$153,
  desp.m.ik[mes], "&gt;="&amp;Y$1,
  desp.m.ik[mes], "&lt;"&amp;EOMONTH(Y$1,0)+1
)</f>
        <v>0</v>
      </c>
      <c r="Z154" s="186">
        <f ca="1">-SUMIFS(
  desp.m.ik[valor],
  desp.m.ik[nucleo], $B154,
  desp.m.ik[variavel], $B$153,
  desp.m.ik[mes], "&gt;="&amp;Z$1,
  desp.m.ik[mes], "&lt;"&amp;EOMONTH(Z$1,0)+1
)</f>
        <v>0</v>
      </c>
      <c r="AA154" s="186">
        <f ca="1">-SUMIFS(
  desp.m.ik[valor],
  desp.m.ik[nucleo], $B154,
  desp.m.ik[variavel], $B$153,
  desp.m.ik[mes], "&gt;="&amp;AA$1,
  desp.m.ik[mes], "&lt;"&amp;EOMONTH(AA$1,0)+1
)</f>
        <v>0</v>
      </c>
      <c r="AC154" s="178">
        <f t="shared" ca="1" si="31"/>
        <v>0</v>
      </c>
      <c r="AE154" s="178">
        <f t="shared" ca="1" si="32"/>
        <v>0</v>
      </c>
    </row>
    <row r="155" spans="1:31" hidden="1" outlineLevel="2" x14ac:dyDescent="0.25">
      <c r="A155" s="185" t="s">
        <v>957</v>
      </c>
      <c r="B155" s="185" t="s">
        <v>1040</v>
      </c>
      <c r="C155" s="138" t="s">
        <v>514</v>
      </c>
      <c r="D155" s="186">
        <f ca="1">-SUMIFS(
  desp.m.ik[valor],
  desp.m.ik[nucleo], $B155,
  desp.m.ik[variavel], $B$153,
  desp.m.ik[mes], "&gt;="&amp;D$1,
  desp.m.ik[mes], "&lt;"&amp;EOMONTH(D$1,0)+1
)</f>
        <v>0</v>
      </c>
      <c r="E155" s="186">
        <f ca="1">-SUMIFS(
  desp.m.ik[valor],
  desp.m.ik[nucleo], $B155,
  desp.m.ik[variavel], $B$153,
  desp.m.ik[mes], "&gt;="&amp;E$1,
  desp.m.ik[mes], "&lt;"&amp;EOMONTH(E$1,0)+1
)</f>
        <v>0</v>
      </c>
      <c r="F155" s="186">
        <f ca="1">-SUMIFS(
  desp.m.ik[valor],
  desp.m.ik[nucleo], $B155,
  desp.m.ik[variavel], $B$153,
  desp.m.ik[mes], "&gt;="&amp;F$1,
  desp.m.ik[mes], "&lt;"&amp;EOMONTH(F$1,0)+1
)</f>
        <v>0</v>
      </c>
      <c r="G155" s="186">
        <f ca="1">-SUMIFS(
  desp.m.ik[valor],
  desp.m.ik[nucleo], $B155,
  desp.m.ik[variavel], $B$153,
  desp.m.ik[mes], "&gt;="&amp;G$1,
  desp.m.ik[mes], "&lt;"&amp;EOMONTH(G$1,0)+1
)</f>
        <v>0</v>
      </c>
      <c r="H155" s="186">
        <f ca="1">-SUMIFS(
  desp.m.ik[valor],
  desp.m.ik[nucleo], $B155,
  desp.m.ik[variavel], $B$153,
  desp.m.ik[mes], "&gt;="&amp;H$1,
  desp.m.ik[mes], "&lt;"&amp;EOMONTH(H$1,0)+1
)</f>
        <v>0</v>
      </c>
      <c r="I155" s="186">
        <f ca="1">-SUMIFS(
  desp.m.ik[valor],
  desp.m.ik[nucleo], $B155,
  desp.m.ik[variavel], $B$153,
  desp.m.ik[mes], "&gt;="&amp;I$1,
  desp.m.ik[mes], "&lt;"&amp;EOMONTH(I$1,0)+1
)</f>
        <v>0</v>
      </c>
      <c r="J155" s="186">
        <f ca="1">-SUMIFS(
  desp.m.ik[valor],
  desp.m.ik[nucleo], $B155,
  desp.m.ik[variavel], $B$153,
  desp.m.ik[mes], "&gt;="&amp;J$1,
  desp.m.ik[mes], "&lt;"&amp;EOMONTH(J$1,0)+1
)</f>
        <v>0</v>
      </c>
      <c r="K155" s="186">
        <f ca="1">-SUMIFS(
  desp.m.ik[valor],
  desp.m.ik[nucleo], $B155,
  desp.m.ik[variavel], $B$153,
  desp.m.ik[mes], "&gt;="&amp;K$1,
  desp.m.ik[mes], "&lt;"&amp;EOMONTH(K$1,0)+1
)</f>
        <v>0</v>
      </c>
      <c r="L155" s="186">
        <f ca="1">-SUMIFS(
  desp.m.ik[valor],
  desp.m.ik[nucleo], $B155,
  desp.m.ik[variavel], $B$153,
  desp.m.ik[mes], "&gt;="&amp;L$1,
  desp.m.ik[mes], "&lt;"&amp;EOMONTH(L$1,0)+1
)</f>
        <v>0</v>
      </c>
      <c r="M155" s="186">
        <f ca="1">-SUMIFS(
  desp.m.ik[valor],
  desp.m.ik[nucleo], $B155,
  desp.m.ik[variavel], $B$153,
  desp.m.ik[mes], "&gt;="&amp;M$1,
  desp.m.ik[mes], "&lt;"&amp;EOMONTH(M$1,0)+1
)</f>
        <v>0</v>
      </c>
      <c r="N155" s="186">
        <f ca="1">-SUMIFS(
  desp.m.ik[valor],
  desp.m.ik[nucleo], $B155,
  desp.m.ik[variavel], $B$153,
  desp.m.ik[mes], "&gt;="&amp;N$1,
  desp.m.ik[mes], "&lt;"&amp;EOMONTH(N$1,0)+1
)</f>
        <v>0</v>
      </c>
      <c r="O155" s="186">
        <f ca="1">-SUMIFS(
  desp.m.ik[valor],
  desp.m.ik[nucleo], $B155,
  desp.m.ik[variavel], $B$153,
  desp.m.ik[mes], "&gt;="&amp;O$1,
  desp.m.ik[mes], "&lt;"&amp;EOMONTH(O$1,0)+1
)</f>
        <v>0</v>
      </c>
      <c r="P155" s="186">
        <f ca="1">-SUMIFS(
  desp.m.ik[valor],
  desp.m.ik[nucleo], $B155,
  desp.m.ik[variavel], $B$153,
  desp.m.ik[mes], "&gt;="&amp;P$1,
  desp.m.ik[mes], "&lt;"&amp;EOMONTH(P$1,0)+1
)</f>
        <v>0</v>
      </c>
      <c r="Q155" s="186">
        <f ca="1">-SUMIFS(
  desp.m.ik[valor],
  desp.m.ik[nucleo], $B155,
  desp.m.ik[variavel], $B$153,
  desp.m.ik[mes], "&gt;="&amp;Q$1,
  desp.m.ik[mes], "&lt;"&amp;EOMONTH(Q$1,0)+1
)</f>
        <v>0</v>
      </c>
      <c r="R155" s="186">
        <f ca="1">-SUMIFS(
  desp.m.ik[valor],
  desp.m.ik[nucleo], $B155,
  desp.m.ik[variavel], $B$153,
  desp.m.ik[mes], "&gt;="&amp;R$1,
  desp.m.ik[mes], "&lt;"&amp;EOMONTH(R$1,0)+1
)</f>
        <v>0</v>
      </c>
      <c r="S155" s="186">
        <f ca="1">-SUMIFS(
  desp.m.ik[valor],
  desp.m.ik[nucleo], $B155,
  desp.m.ik[variavel], $B$153,
  desp.m.ik[mes], "&gt;="&amp;S$1,
  desp.m.ik[mes], "&lt;"&amp;EOMONTH(S$1,0)+1
)</f>
        <v>0</v>
      </c>
      <c r="T155" s="186">
        <f ca="1">-SUMIFS(
  desp.m.ik[valor],
  desp.m.ik[nucleo], $B155,
  desp.m.ik[variavel], $B$153,
  desp.m.ik[mes], "&gt;="&amp;T$1,
  desp.m.ik[mes], "&lt;"&amp;EOMONTH(T$1,0)+1
)</f>
        <v>0</v>
      </c>
      <c r="U155" s="186">
        <f ca="1">-SUMIFS(
  desp.m.ik[valor],
  desp.m.ik[nucleo], $B155,
  desp.m.ik[variavel], $B$153,
  desp.m.ik[mes], "&gt;="&amp;U$1,
  desp.m.ik[mes], "&lt;"&amp;EOMONTH(U$1,0)+1
)</f>
        <v>0</v>
      </c>
      <c r="V155" s="186">
        <f ca="1">-SUMIFS(
  desp.m.ik[valor],
  desp.m.ik[nucleo], $B155,
  desp.m.ik[variavel], $B$153,
  desp.m.ik[mes], "&gt;="&amp;V$1,
  desp.m.ik[mes], "&lt;"&amp;EOMONTH(V$1,0)+1
)</f>
        <v>0</v>
      </c>
      <c r="W155" s="186">
        <f ca="1">-SUMIFS(
  desp.m.ik[valor],
  desp.m.ik[nucleo], $B155,
  desp.m.ik[variavel], $B$153,
  desp.m.ik[mes], "&gt;="&amp;W$1,
  desp.m.ik[mes], "&lt;"&amp;EOMONTH(W$1,0)+1
)</f>
        <v>0</v>
      </c>
      <c r="X155" s="186">
        <f ca="1">-SUMIFS(
  desp.m.ik[valor],
  desp.m.ik[nucleo], $B155,
  desp.m.ik[variavel], $B$153,
  desp.m.ik[mes], "&gt;="&amp;X$1,
  desp.m.ik[mes], "&lt;"&amp;EOMONTH(X$1,0)+1
)</f>
        <v>0</v>
      </c>
      <c r="Y155" s="186">
        <f ca="1">-SUMIFS(
  desp.m.ik[valor],
  desp.m.ik[nucleo], $B155,
  desp.m.ik[variavel], $B$153,
  desp.m.ik[mes], "&gt;="&amp;Y$1,
  desp.m.ik[mes], "&lt;"&amp;EOMONTH(Y$1,0)+1
)</f>
        <v>0</v>
      </c>
      <c r="Z155" s="186">
        <f ca="1">-SUMIFS(
  desp.m.ik[valor],
  desp.m.ik[nucleo], $B155,
  desp.m.ik[variavel], $B$153,
  desp.m.ik[mes], "&gt;="&amp;Z$1,
  desp.m.ik[mes], "&lt;"&amp;EOMONTH(Z$1,0)+1
)</f>
        <v>0</v>
      </c>
      <c r="AA155" s="186">
        <f ca="1">-SUMIFS(
  desp.m.ik[valor],
  desp.m.ik[nucleo], $B155,
  desp.m.ik[variavel], $B$153,
  desp.m.ik[mes], "&gt;="&amp;AA$1,
  desp.m.ik[mes], "&lt;"&amp;EOMONTH(AA$1,0)+1
)</f>
        <v>0</v>
      </c>
      <c r="AC155" s="178">
        <f t="shared" ca="1" si="31"/>
        <v>0</v>
      </c>
      <c r="AE155" s="178">
        <f t="shared" ca="1" si="32"/>
        <v>0</v>
      </c>
    </row>
    <row r="156" spans="1:31" hidden="1" outlineLevel="2" x14ac:dyDescent="0.25">
      <c r="A156" s="185" t="s">
        <v>572</v>
      </c>
      <c r="B156" s="185" t="s">
        <v>537</v>
      </c>
      <c r="C156" s="138" t="s">
        <v>514</v>
      </c>
      <c r="D156" s="186">
        <f ca="1">-SUMIFS(
  desp.m.ik[valor],
  desp.m.ik[nucleo], $B156,
  desp.m.ik[variavel], $B$153,
  desp.m.ik[mes], "&gt;="&amp;D$1,
  desp.m.ik[mes], "&lt;"&amp;EOMONTH(D$1,0)+1
)</f>
        <v>0</v>
      </c>
      <c r="E156" s="186">
        <f ca="1">-SUMIFS(
  desp.m.ik[valor],
  desp.m.ik[nucleo], $B156,
  desp.m.ik[variavel], $B$153,
  desp.m.ik[mes], "&gt;="&amp;E$1,
  desp.m.ik[mes], "&lt;"&amp;EOMONTH(E$1,0)+1
)</f>
        <v>0</v>
      </c>
      <c r="F156" s="186">
        <f ca="1">-SUMIFS(
  desp.m.ik[valor],
  desp.m.ik[nucleo], $B156,
  desp.m.ik[variavel], $B$153,
  desp.m.ik[mes], "&gt;="&amp;F$1,
  desp.m.ik[mes], "&lt;"&amp;EOMONTH(F$1,0)+1
)</f>
        <v>0</v>
      </c>
      <c r="G156" s="186">
        <f ca="1">-SUMIFS(
  desp.m.ik[valor],
  desp.m.ik[nucleo], $B156,
  desp.m.ik[variavel], $B$153,
  desp.m.ik[mes], "&gt;="&amp;G$1,
  desp.m.ik[mes], "&lt;"&amp;EOMONTH(G$1,0)+1
)</f>
        <v>0</v>
      </c>
      <c r="H156" s="186">
        <f ca="1">-SUMIFS(
  desp.m.ik[valor],
  desp.m.ik[nucleo], $B156,
  desp.m.ik[variavel], $B$153,
  desp.m.ik[mes], "&gt;="&amp;H$1,
  desp.m.ik[mes], "&lt;"&amp;EOMONTH(H$1,0)+1
)</f>
        <v>0</v>
      </c>
      <c r="I156" s="186">
        <f ca="1">-SUMIFS(
  desp.m.ik[valor],
  desp.m.ik[nucleo], $B156,
  desp.m.ik[variavel], $B$153,
  desp.m.ik[mes], "&gt;="&amp;I$1,
  desp.m.ik[mes], "&lt;"&amp;EOMONTH(I$1,0)+1
)</f>
        <v>0</v>
      </c>
      <c r="J156" s="186">
        <f ca="1">-SUMIFS(
  desp.m.ik[valor],
  desp.m.ik[nucleo], $B156,
  desp.m.ik[variavel], $B$153,
  desp.m.ik[mes], "&gt;="&amp;J$1,
  desp.m.ik[mes], "&lt;"&amp;EOMONTH(J$1,0)+1
)</f>
        <v>0</v>
      </c>
      <c r="K156" s="186">
        <f ca="1">-SUMIFS(
  desp.m.ik[valor],
  desp.m.ik[nucleo], $B156,
  desp.m.ik[variavel], $B$153,
  desp.m.ik[mes], "&gt;="&amp;K$1,
  desp.m.ik[mes], "&lt;"&amp;EOMONTH(K$1,0)+1
)</f>
        <v>0</v>
      </c>
      <c r="L156" s="186">
        <f ca="1">-SUMIFS(
  desp.m.ik[valor],
  desp.m.ik[nucleo], $B156,
  desp.m.ik[variavel], $B$153,
  desp.m.ik[mes], "&gt;="&amp;L$1,
  desp.m.ik[mes], "&lt;"&amp;EOMONTH(L$1,0)+1
)</f>
        <v>0</v>
      </c>
      <c r="M156" s="186">
        <f ca="1">-SUMIFS(
  desp.m.ik[valor],
  desp.m.ik[nucleo], $B156,
  desp.m.ik[variavel], $B$153,
  desp.m.ik[mes], "&gt;="&amp;M$1,
  desp.m.ik[mes], "&lt;"&amp;EOMONTH(M$1,0)+1
)</f>
        <v>0</v>
      </c>
      <c r="N156" s="186">
        <f ca="1">-SUMIFS(
  desp.m.ik[valor],
  desp.m.ik[nucleo], $B156,
  desp.m.ik[variavel], $B$153,
  desp.m.ik[mes], "&gt;="&amp;N$1,
  desp.m.ik[mes], "&lt;"&amp;EOMONTH(N$1,0)+1
)</f>
        <v>0</v>
      </c>
      <c r="O156" s="186">
        <f ca="1">-SUMIFS(
  desp.m.ik[valor],
  desp.m.ik[nucleo], $B156,
  desp.m.ik[variavel], $B$153,
  desp.m.ik[mes], "&gt;="&amp;O$1,
  desp.m.ik[mes], "&lt;"&amp;EOMONTH(O$1,0)+1
)</f>
        <v>0</v>
      </c>
      <c r="P156" s="186">
        <f ca="1">-SUMIFS(
  desp.m.ik[valor],
  desp.m.ik[nucleo], $B156,
  desp.m.ik[variavel], $B$153,
  desp.m.ik[mes], "&gt;="&amp;P$1,
  desp.m.ik[mes], "&lt;"&amp;EOMONTH(P$1,0)+1
)</f>
        <v>0</v>
      </c>
      <c r="Q156" s="186">
        <f ca="1">-SUMIFS(
  desp.m.ik[valor],
  desp.m.ik[nucleo], $B156,
  desp.m.ik[variavel], $B$153,
  desp.m.ik[mes], "&gt;="&amp;Q$1,
  desp.m.ik[mes], "&lt;"&amp;EOMONTH(Q$1,0)+1
)</f>
        <v>0</v>
      </c>
      <c r="R156" s="186">
        <f ca="1">-SUMIFS(
  desp.m.ik[valor],
  desp.m.ik[nucleo], $B156,
  desp.m.ik[variavel], $B$153,
  desp.m.ik[mes], "&gt;="&amp;R$1,
  desp.m.ik[mes], "&lt;"&amp;EOMONTH(R$1,0)+1
)</f>
        <v>0</v>
      </c>
      <c r="S156" s="186">
        <f ca="1">-SUMIFS(
  desp.m.ik[valor],
  desp.m.ik[nucleo], $B156,
  desp.m.ik[variavel], $B$153,
  desp.m.ik[mes], "&gt;="&amp;S$1,
  desp.m.ik[mes], "&lt;"&amp;EOMONTH(S$1,0)+1
)</f>
        <v>0</v>
      </c>
      <c r="T156" s="186">
        <f ca="1">-SUMIFS(
  desp.m.ik[valor],
  desp.m.ik[nucleo], $B156,
  desp.m.ik[variavel], $B$153,
  desp.m.ik[mes], "&gt;="&amp;T$1,
  desp.m.ik[mes], "&lt;"&amp;EOMONTH(T$1,0)+1
)</f>
        <v>0</v>
      </c>
      <c r="U156" s="186">
        <f ca="1">-SUMIFS(
  desp.m.ik[valor],
  desp.m.ik[nucleo], $B156,
  desp.m.ik[variavel], $B$153,
  desp.m.ik[mes], "&gt;="&amp;U$1,
  desp.m.ik[mes], "&lt;"&amp;EOMONTH(U$1,0)+1
)</f>
        <v>0</v>
      </c>
      <c r="V156" s="186">
        <f ca="1">-SUMIFS(
  desp.m.ik[valor],
  desp.m.ik[nucleo], $B156,
  desp.m.ik[variavel], $B$153,
  desp.m.ik[mes], "&gt;="&amp;V$1,
  desp.m.ik[mes], "&lt;"&amp;EOMONTH(V$1,0)+1
)</f>
        <v>0</v>
      </c>
      <c r="W156" s="186">
        <f ca="1">-SUMIFS(
  desp.m.ik[valor],
  desp.m.ik[nucleo], $B156,
  desp.m.ik[variavel], $B$153,
  desp.m.ik[mes], "&gt;="&amp;W$1,
  desp.m.ik[mes], "&lt;"&amp;EOMONTH(W$1,0)+1
)</f>
        <v>0</v>
      </c>
      <c r="X156" s="186">
        <f ca="1">-SUMIFS(
  desp.m.ik[valor],
  desp.m.ik[nucleo], $B156,
  desp.m.ik[variavel], $B$153,
  desp.m.ik[mes], "&gt;="&amp;X$1,
  desp.m.ik[mes], "&lt;"&amp;EOMONTH(X$1,0)+1
)</f>
        <v>0</v>
      </c>
      <c r="Y156" s="186">
        <f ca="1">-SUMIFS(
  desp.m.ik[valor],
  desp.m.ik[nucleo], $B156,
  desp.m.ik[variavel], $B$153,
  desp.m.ik[mes], "&gt;="&amp;Y$1,
  desp.m.ik[mes], "&lt;"&amp;EOMONTH(Y$1,0)+1
)</f>
        <v>0</v>
      </c>
      <c r="Z156" s="186">
        <f ca="1">-SUMIFS(
  desp.m.ik[valor],
  desp.m.ik[nucleo], $B156,
  desp.m.ik[variavel], $B$153,
  desp.m.ik[mes], "&gt;="&amp;Z$1,
  desp.m.ik[mes], "&lt;"&amp;EOMONTH(Z$1,0)+1
)</f>
        <v>0</v>
      </c>
      <c r="AA156" s="186">
        <f ca="1">-SUMIFS(
  desp.m.ik[valor],
  desp.m.ik[nucleo], $B156,
  desp.m.ik[variavel], $B$153,
  desp.m.ik[mes], "&gt;="&amp;AA$1,
  desp.m.ik[mes], "&lt;"&amp;EOMONTH(AA$1,0)+1
)</f>
        <v>0</v>
      </c>
      <c r="AC156" s="178">
        <f t="shared" ca="1" si="31"/>
        <v>0</v>
      </c>
      <c r="AE156" s="178">
        <f ca="1">SUM(D156:AA156)</f>
        <v>0</v>
      </c>
    </row>
    <row r="157" spans="1:31" hidden="1" outlineLevel="2" x14ac:dyDescent="0.25">
      <c r="A157" s="185" t="s">
        <v>960</v>
      </c>
      <c r="B157" s="185" t="s">
        <v>704</v>
      </c>
      <c r="C157" s="138" t="s">
        <v>514</v>
      </c>
      <c r="D157" s="186">
        <f ca="1">-SUMIFS(
  desp.m.ik[valor],
  desp.m.ik[nucleo], $B157,
  desp.m.ik[variavel], $B$153,
  desp.m.ik[mes], "&gt;="&amp;D$1,
  desp.m.ik[mes], "&lt;"&amp;EOMONTH(D$1,0)+1
)</f>
        <v>0</v>
      </c>
      <c r="E157" s="186">
        <f ca="1">-SUMIFS(
  desp.m.ik[valor],
  desp.m.ik[nucleo], $B157,
  desp.m.ik[variavel], $B$153,
  desp.m.ik[mes], "&gt;="&amp;E$1,
  desp.m.ik[mes], "&lt;"&amp;EOMONTH(E$1,0)+1
)</f>
        <v>0</v>
      </c>
      <c r="F157" s="186">
        <f ca="1">-SUMIFS(
  desp.m.ik[valor],
  desp.m.ik[nucleo], $B157,
  desp.m.ik[variavel], $B$153,
  desp.m.ik[mes], "&gt;="&amp;F$1,
  desp.m.ik[mes], "&lt;"&amp;EOMONTH(F$1,0)+1
)</f>
        <v>0</v>
      </c>
      <c r="G157" s="186">
        <f ca="1">-SUMIFS(
  desp.m.ik[valor],
  desp.m.ik[nucleo], $B157,
  desp.m.ik[variavel], $B$153,
  desp.m.ik[mes], "&gt;="&amp;G$1,
  desp.m.ik[mes], "&lt;"&amp;EOMONTH(G$1,0)+1
)</f>
        <v>0</v>
      </c>
      <c r="H157" s="186">
        <f ca="1">-SUMIFS(
  desp.m.ik[valor],
  desp.m.ik[nucleo], $B157,
  desp.m.ik[variavel], $B$153,
  desp.m.ik[mes], "&gt;="&amp;H$1,
  desp.m.ik[mes], "&lt;"&amp;EOMONTH(H$1,0)+1
)</f>
        <v>0</v>
      </c>
      <c r="I157" s="186">
        <f ca="1">-SUMIFS(
  desp.m.ik[valor],
  desp.m.ik[nucleo], $B157,
  desp.m.ik[variavel], $B$153,
  desp.m.ik[mes], "&gt;="&amp;I$1,
  desp.m.ik[mes], "&lt;"&amp;EOMONTH(I$1,0)+1
)</f>
        <v>0</v>
      </c>
      <c r="J157" s="186">
        <f ca="1">-SUMIFS(
  desp.m.ik[valor],
  desp.m.ik[nucleo], $B157,
  desp.m.ik[variavel], $B$153,
  desp.m.ik[mes], "&gt;="&amp;J$1,
  desp.m.ik[mes], "&lt;"&amp;EOMONTH(J$1,0)+1
)</f>
        <v>0</v>
      </c>
      <c r="K157" s="186">
        <f ca="1">-SUMIFS(
  desp.m.ik[valor],
  desp.m.ik[nucleo], $B157,
  desp.m.ik[variavel], $B$153,
  desp.m.ik[mes], "&gt;="&amp;K$1,
  desp.m.ik[mes], "&lt;"&amp;EOMONTH(K$1,0)+1
)</f>
        <v>0</v>
      </c>
      <c r="L157" s="186">
        <f ca="1">-SUMIFS(
  desp.m.ik[valor],
  desp.m.ik[nucleo], $B157,
  desp.m.ik[variavel], $B$153,
  desp.m.ik[mes], "&gt;="&amp;L$1,
  desp.m.ik[mes], "&lt;"&amp;EOMONTH(L$1,0)+1
)</f>
        <v>0</v>
      </c>
      <c r="M157" s="186">
        <f ca="1">-SUMIFS(
  desp.m.ik[valor],
  desp.m.ik[nucleo], $B157,
  desp.m.ik[variavel], $B$153,
  desp.m.ik[mes], "&gt;="&amp;M$1,
  desp.m.ik[mes], "&lt;"&amp;EOMONTH(M$1,0)+1
)</f>
        <v>0</v>
      </c>
      <c r="N157" s="186">
        <f ca="1">-SUMIFS(
  desp.m.ik[valor],
  desp.m.ik[nucleo], $B157,
  desp.m.ik[variavel], $B$153,
  desp.m.ik[mes], "&gt;="&amp;N$1,
  desp.m.ik[mes], "&lt;"&amp;EOMONTH(N$1,0)+1
)</f>
        <v>0</v>
      </c>
      <c r="O157" s="186">
        <f ca="1">-SUMIFS(
  desp.m.ik[valor],
  desp.m.ik[nucleo], $B157,
  desp.m.ik[variavel], $B$153,
  desp.m.ik[mes], "&gt;="&amp;O$1,
  desp.m.ik[mes], "&lt;"&amp;EOMONTH(O$1,0)+1
)</f>
        <v>0</v>
      </c>
      <c r="P157" s="186">
        <f ca="1">-SUMIFS(
  desp.m.ik[valor],
  desp.m.ik[nucleo], $B157,
  desp.m.ik[variavel], $B$153,
  desp.m.ik[mes], "&gt;="&amp;P$1,
  desp.m.ik[mes], "&lt;"&amp;EOMONTH(P$1,0)+1
)</f>
        <v>0</v>
      </c>
      <c r="Q157" s="186">
        <f ca="1">-SUMIFS(
  desp.m.ik[valor],
  desp.m.ik[nucleo], $B157,
  desp.m.ik[variavel], $B$153,
  desp.m.ik[mes], "&gt;="&amp;Q$1,
  desp.m.ik[mes], "&lt;"&amp;EOMONTH(Q$1,0)+1
)</f>
        <v>0</v>
      </c>
      <c r="R157" s="186">
        <f ca="1">-SUMIFS(
  desp.m.ik[valor],
  desp.m.ik[nucleo], $B157,
  desp.m.ik[variavel], $B$153,
  desp.m.ik[mes], "&gt;="&amp;R$1,
  desp.m.ik[mes], "&lt;"&amp;EOMONTH(R$1,0)+1
)</f>
        <v>0</v>
      </c>
      <c r="S157" s="186">
        <f ca="1">-SUMIFS(
  desp.m.ik[valor],
  desp.m.ik[nucleo], $B157,
  desp.m.ik[variavel], $B$153,
  desp.m.ik[mes], "&gt;="&amp;S$1,
  desp.m.ik[mes], "&lt;"&amp;EOMONTH(S$1,0)+1
)</f>
        <v>0</v>
      </c>
      <c r="T157" s="186">
        <f ca="1">-SUMIFS(
  desp.m.ik[valor],
  desp.m.ik[nucleo], $B157,
  desp.m.ik[variavel], $B$153,
  desp.m.ik[mes], "&gt;="&amp;T$1,
  desp.m.ik[mes], "&lt;"&amp;EOMONTH(T$1,0)+1
)</f>
        <v>0</v>
      </c>
      <c r="U157" s="186">
        <f ca="1">-SUMIFS(
  desp.m.ik[valor],
  desp.m.ik[nucleo], $B157,
  desp.m.ik[variavel], $B$153,
  desp.m.ik[mes], "&gt;="&amp;U$1,
  desp.m.ik[mes], "&lt;"&amp;EOMONTH(U$1,0)+1
)</f>
        <v>0</v>
      </c>
      <c r="V157" s="186">
        <f ca="1">-SUMIFS(
  desp.m.ik[valor],
  desp.m.ik[nucleo], $B157,
  desp.m.ik[variavel], $B$153,
  desp.m.ik[mes], "&gt;="&amp;V$1,
  desp.m.ik[mes], "&lt;"&amp;EOMONTH(V$1,0)+1
)</f>
        <v>0</v>
      </c>
      <c r="W157" s="186">
        <f ca="1">-SUMIFS(
  desp.m.ik[valor],
  desp.m.ik[nucleo], $B157,
  desp.m.ik[variavel], $B$153,
  desp.m.ik[mes], "&gt;="&amp;W$1,
  desp.m.ik[mes], "&lt;"&amp;EOMONTH(W$1,0)+1
)</f>
        <v>0</v>
      </c>
      <c r="X157" s="186">
        <f ca="1">-SUMIFS(
  desp.m.ik[valor],
  desp.m.ik[nucleo], $B157,
  desp.m.ik[variavel], $B$153,
  desp.m.ik[mes], "&gt;="&amp;X$1,
  desp.m.ik[mes], "&lt;"&amp;EOMONTH(X$1,0)+1
)</f>
        <v>0</v>
      </c>
      <c r="Y157" s="186">
        <f ca="1">-SUMIFS(
  desp.m.ik[valor],
  desp.m.ik[nucleo], $B157,
  desp.m.ik[variavel], $B$153,
  desp.m.ik[mes], "&gt;="&amp;Y$1,
  desp.m.ik[mes], "&lt;"&amp;EOMONTH(Y$1,0)+1
)</f>
        <v>0</v>
      </c>
      <c r="Z157" s="186">
        <f ca="1">-SUMIFS(
  desp.m.ik[valor],
  desp.m.ik[nucleo], $B157,
  desp.m.ik[variavel], $B$153,
  desp.m.ik[mes], "&gt;="&amp;Z$1,
  desp.m.ik[mes], "&lt;"&amp;EOMONTH(Z$1,0)+1
)</f>
        <v>0</v>
      </c>
      <c r="AA157" s="186">
        <f ca="1">-SUMIFS(
  desp.m.ik[valor],
  desp.m.ik[nucleo], $B157,
  desp.m.ik[variavel], $B$153,
  desp.m.ik[mes], "&gt;="&amp;AA$1,
  desp.m.ik[mes], "&lt;"&amp;EOMONTH(AA$1,0)+1
)</f>
        <v>0</v>
      </c>
      <c r="AC157" s="178">
        <f t="shared" ca="1" si="31"/>
        <v>0</v>
      </c>
      <c r="AE157" s="178">
        <f t="shared" ca="1" si="32"/>
        <v>0</v>
      </c>
    </row>
    <row r="158" spans="1:31" hidden="1" outlineLevel="2" x14ac:dyDescent="0.25">
      <c r="A158" s="185" t="s">
        <v>954</v>
      </c>
      <c r="B158" s="185" t="s">
        <v>546</v>
      </c>
      <c r="C158" s="138" t="s">
        <v>514</v>
      </c>
      <c r="D158" s="186">
        <f ca="1">-SUMIFS(
  desp.m.ik[valor],
  desp.m.ik[nucleo], $B158,
  desp.m.ik[variavel], $B$153,
  desp.m.ik[mes], "&gt;="&amp;D$1,
  desp.m.ik[mes], "&lt;"&amp;EOMONTH(D$1,0)+1
)</f>
        <v>0</v>
      </c>
      <c r="E158" s="186">
        <f ca="1">-SUMIFS(
  desp.m.ik[valor],
  desp.m.ik[nucleo], $B158,
  desp.m.ik[variavel], $B$153,
  desp.m.ik[mes], "&gt;="&amp;E$1,
  desp.m.ik[mes], "&lt;"&amp;EOMONTH(E$1,0)+1
)</f>
        <v>0</v>
      </c>
      <c r="F158" s="186">
        <f ca="1">-SUMIFS(
  desp.m.ik[valor],
  desp.m.ik[nucleo], $B158,
  desp.m.ik[variavel], $B$153,
  desp.m.ik[mes], "&gt;="&amp;F$1,
  desp.m.ik[mes], "&lt;"&amp;EOMONTH(F$1,0)+1
)</f>
        <v>0</v>
      </c>
      <c r="G158" s="186">
        <f ca="1">-SUMIFS(
  desp.m.ik[valor],
  desp.m.ik[nucleo], $B158,
  desp.m.ik[variavel], $B$153,
  desp.m.ik[mes], "&gt;="&amp;G$1,
  desp.m.ik[mes], "&lt;"&amp;EOMONTH(G$1,0)+1
)</f>
        <v>0</v>
      </c>
      <c r="H158" s="186">
        <f ca="1">-SUMIFS(
  desp.m.ik[valor],
  desp.m.ik[nucleo], $B158,
  desp.m.ik[variavel], $B$153,
  desp.m.ik[mes], "&gt;="&amp;H$1,
  desp.m.ik[mes], "&lt;"&amp;EOMONTH(H$1,0)+1
)</f>
        <v>0</v>
      </c>
      <c r="I158" s="186">
        <f ca="1">-SUMIFS(
  desp.m.ik[valor],
  desp.m.ik[nucleo], $B158,
  desp.m.ik[variavel], $B$153,
  desp.m.ik[mes], "&gt;="&amp;I$1,
  desp.m.ik[mes], "&lt;"&amp;EOMONTH(I$1,0)+1
)</f>
        <v>0</v>
      </c>
      <c r="J158" s="186">
        <f ca="1">-SUMIFS(
  desp.m.ik[valor],
  desp.m.ik[nucleo], $B158,
  desp.m.ik[variavel], $B$153,
  desp.m.ik[mes], "&gt;="&amp;J$1,
  desp.m.ik[mes], "&lt;"&amp;EOMONTH(J$1,0)+1
)</f>
        <v>0</v>
      </c>
      <c r="K158" s="186">
        <f ca="1">-SUMIFS(
  desp.m.ik[valor],
  desp.m.ik[nucleo], $B158,
  desp.m.ik[variavel], $B$153,
  desp.m.ik[mes], "&gt;="&amp;K$1,
  desp.m.ik[mes], "&lt;"&amp;EOMONTH(K$1,0)+1
)</f>
        <v>0</v>
      </c>
      <c r="L158" s="186">
        <f ca="1">-SUMIFS(
  desp.m.ik[valor],
  desp.m.ik[nucleo], $B158,
  desp.m.ik[variavel], $B$153,
  desp.m.ik[mes], "&gt;="&amp;L$1,
  desp.m.ik[mes], "&lt;"&amp;EOMONTH(L$1,0)+1
)</f>
        <v>0</v>
      </c>
      <c r="M158" s="186">
        <f ca="1">-SUMIFS(
  desp.m.ik[valor],
  desp.m.ik[nucleo], $B158,
  desp.m.ik[variavel], $B$153,
  desp.m.ik[mes], "&gt;="&amp;M$1,
  desp.m.ik[mes], "&lt;"&amp;EOMONTH(M$1,0)+1
)</f>
        <v>0</v>
      </c>
      <c r="N158" s="186">
        <f ca="1">-SUMIFS(
  desp.m.ik[valor],
  desp.m.ik[nucleo], $B158,
  desp.m.ik[variavel], $B$153,
  desp.m.ik[mes], "&gt;="&amp;N$1,
  desp.m.ik[mes], "&lt;"&amp;EOMONTH(N$1,0)+1
)</f>
        <v>0</v>
      </c>
      <c r="O158" s="186">
        <f ca="1">-SUMIFS(
  desp.m.ik[valor],
  desp.m.ik[nucleo], $B158,
  desp.m.ik[variavel], $B$153,
  desp.m.ik[mes], "&gt;="&amp;O$1,
  desp.m.ik[mes], "&lt;"&amp;EOMONTH(O$1,0)+1
)</f>
        <v>0</v>
      </c>
      <c r="P158" s="186">
        <f ca="1">-SUMIFS(
  desp.m.ik[valor],
  desp.m.ik[nucleo], $B158,
  desp.m.ik[variavel], $B$153,
  desp.m.ik[mes], "&gt;="&amp;P$1,
  desp.m.ik[mes], "&lt;"&amp;EOMONTH(P$1,0)+1
)</f>
        <v>0</v>
      </c>
      <c r="Q158" s="186">
        <f ca="1">-SUMIFS(
  desp.m.ik[valor],
  desp.m.ik[nucleo], $B158,
  desp.m.ik[variavel], $B$153,
  desp.m.ik[mes], "&gt;="&amp;Q$1,
  desp.m.ik[mes], "&lt;"&amp;EOMONTH(Q$1,0)+1
)</f>
        <v>0</v>
      </c>
      <c r="R158" s="186">
        <f ca="1">-SUMIFS(
  desp.m.ik[valor],
  desp.m.ik[nucleo], $B158,
  desp.m.ik[variavel], $B$153,
  desp.m.ik[mes], "&gt;="&amp;R$1,
  desp.m.ik[mes], "&lt;"&amp;EOMONTH(R$1,0)+1
)</f>
        <v>0</v>
      </c>
      <c r="S158" s="186">
        <f ca="1">-SUMIFS(
  desp.m.ik[valor],
  desp.m.ik[nucleo], $B158,
  desp.m.ik[variavel], $B$153,
  desp.m.ik[mes], "&gt;="&amp;S$1,
  desp.m.ik[mes], "&lt;"&amp;EOMONTH(S$1,0)+1
)</f>
        <v>0</v>
      </c>
      <c r="T158" s="186">
        <f ca="1">-SUMIFS(
  desp.m.ik[valor],
  desp.m.ik[nucleo], $B158,
  desp.m.ik[variavel], $B$153,
  desp.m.ik[mes], "&gt;="&amp;T$1,
  desp.m.ik[mes], "&lt;"&amp;EOMONTH(T$1,0)+1
)</f>
        <v>0</v>
      </c>
      <c r="U158" s="186">
        <f ca="1">-SUMIFS(
  desp.m.ik[valor],
  desp.m.ik[nucleo], $B158,
  desp.m.ik[variavel], $B$153,
  desp.m.ik[mes], "&gt;="&amp;U$1,
  desp.m.ik[mes], "&lt;"&amp;EOMONTH(U$1,0)+1
)</f>
        <v>0</v>
      </c>
      <c r="V158" s="186">
        <f ca="1">-SUMIFS(
  desp.m.ik[valor],
  desp.m.ik[nucleo], $B158,
  desp.m.ik[variavel], $B$153,
  desp.m.ik[mes], "&gt;="&amp;V$1,
  desp.m.ik[mes], "&lt;"&amp;EOMONTH(V$1,0)+1
)</f>
        <v>0</v>
      </c>
      <c r="W158" s="186">
        <f ca="1">-SUMIFS(
  desp.m.ik[valor],
  desp.m.ik[nucleo], $B158,
  desp.m.ik[variavel], $B$153,
  desp.m.ik[mes], "&gt;="&amp;W$1,
  desp.m.ik[mes], "&lt;"&amp;EOMONTH(W$1,0)+1
)</f>
        <v>0</v>
      </c>
      <c r="X158" s="186">
        <f ca="1">-SUMIFS(
  desp.m.ik[valor],
  desp.m.ik[nucleo], $B158,
  desp.m.ik[variavel], $B$153,
  desp.m.ik[mes], "&gt;="&amp;X$1,
  desp.m.ik[mes], "&lt;"&amp;EOMONTH(X$1,0)+1
)</f>
        <v>0</v>
      </c>
      <c r="Y158" s="186">
        <f ca="1">-SUMIFS(
  desp.m.ik[valor],
  desp.m.ik[nucleo], $B158,
  desp.m.ik[variavel], $B$153,
  desp.m.ik[mes], "&gt;="&amp;Y$1,
  desp.m.ik[mes], "&lt;"&amp;EOMONTH(Y$1,0)+1
)</f>
        <v>0</v>
      </c>
      <c r="Z158" s="186">
        <f ca="1">-SUMIFS(
  desp.m.ik[valor],
  desp.m.ik[nucleo], $B158,
  desp.m.ik[variavel], $B$153,
  desp.m.ik[mes], "&gt;="&amp;Z$1,
  desp.m.ik[mes], "&lt;"&amp;EOMONTH(Z$1,0)+1
)</f>
        <v>0</v>
      </c>
      <c r="AA158" s="186">
        <f ca="1">-SUMIFS(
  desp.m.ik[valor],
  desp.m.ik[nucleo], $B158,
  desp.m.ik[variavel], $B$153,
  desp.m.ik[mes], "&gt;="&amp;AA$1,
  desp.m.ik[mes], "&lt;"&amp;EOMONTH(AA$1,0)+1
)</f>
        <v>0</v>
      </c>
      <c r="AC158" s="178">
        <f t="shared" ca="1" si="31"/>
        <v>0</v>
      </c>
      <c r="AE158" s="178">
        <f t="shared" ca="1" si="32"/>
        <v>0</v>
      </c>
    </row>
    <row r="159" spans="1:31" hidden="1" outlineLevel="2" x14ac:dyDescent="0.25">
      <c r="A159" s="185" t="s">
        <v>961</v>
      </c>
      <c r="B159" s="185" t="s">
        <v>556</v>
      </c>
      <c r="C159" s="138" t="s">
        <v>514</v>
      </c>
      <c r="D159" s="186">
        <f ca="1">-SUMIFS(
  desp.m.ik[valor],
  desp.m.ik[nucleo], $B159,
  desp.m.ik[variavel], $B$153,
  desp.m.ik[mes], "&gt;="&amp;D$1,
  desp.m.ik[mes], "&lt;"&amp;EOMONTH(D$1,0)+1
)</f>
        <v>0</v>
      </c>
      <c r="E159" s="186">
        <f ca="1">-SUMIFS(
  desp.m.ik[valor],
  desp.m.ik[nucleo], $B159,
  desp.m.ik[variavel], $B$153,
  desp.m.ik[mes], "&gt;="&amp;E$1,
  desp.m.ik[mes], "&lt;"&amp;EOMONTH(E$1,0)+1
)</f>
        <v>0</v>
      </c>
      <c r="F159" s="186">
        <f ca="1">-SUMIFS(
  desp.m.ik[valor],
  desp.m.ik[nucleo], $B159,
  desp.m.ik[variavel], $B$153,
  desp.m.ik[mes], "&gt;="&amp;F$1,
  desp.m.ik[mes], "&lt;"&amp;EOMONTH(F$1,0)+1
)</f>
        <v>0</v>
      </c>
      <c r="G159" s="186">
        <f ca="1">-SUMIFS(
  desp.m.ik[valor],
  desp.m.ik[nucleo], $B159,
  desp.m.ik[variavel], $B$153,
  desp.m.ik[mes], "&gt;="&amp;G$1,
  desp.m.ik[mes], "&lt;"&amp;EOMONTH(G$1,0)+1
)</f>
        <v>0</v>
      </c>
      <c r="H159" s="186">
        <f ca="1">-SUMIFS(
  desp.m.ik[valor],
  desp.m.ik[nucleo], $B159,
  desp.m.ik[variavel], $B$153,
  desp.m.ik[mes], "&gt;="&amp;H$1,
  desp.m.ik[mes], "&lt;"&amp;EOMONTH(H$1,0)+1
)</f>
        <v>0</v>
      </c>
      <c r="I159" s="186">
        <f ca="1">-SUMIFS(
  desp.m.ik[valor],
  desp.m.ik[nucleo], $B159,
  desp.m.ik[variavel], $B$153,
  desp.m.ik[mes], "&gt;="&amp;I$1,
  desp.m.ik[mes], "&lt;"&amp;EOMONTH(I$1,0)+1
)</f>
        <v>0</v>
      </c>
      <c r="J159" s="186">
        <f ca="1">-SUMIFS(
  desp.m.ik[valor],
  desp.m.ik[nucleo], $B159,
  desp.m.ik[variavel], $B$153,
  desp.m.ik[mes], "&gt;="&amp;J$1,
  desp.m.ik[mes], "&lt;"&amp;EOMONTH(J$1,0)+1
)</f>
        <v>0</v>
      </c>
      <c r="K159" s="186">
        <f ca="1">-SUMIFS(
  desp.m.ik[valor],
  desp.m.ik[nucleo], $B159,
  desp.m.ik[variavel], $B$153,
  desp.m.ik[mes], "&gt;="&amp;K$1,
  desp.m.ik[mes], "&lt;"&amp;EOMONTH(K$1,0)+1
)</f>
        <v>0</v>
      </c>
      <c r="L159" s="186">
        <f ca="1">-SUMIFS(
  desp.m.ik[valor],
  desp.m.ik[nucleo], $B159,
  desp.m.ik[variavel], $B$153,
  desp.m.ik[mes], "&gt;="&amp;L$1,
  desp.m.ik[mes], "&lt;"&amp;EOMONTH(L$1,0)+1
)</f>
        <v>0</v>
      </c>
      <c r="M159" s="186">
        <f ca="1">-SUMIFS(
  desp.m.ik[valor],
  desp.m.ik[nucleo], $B159,
  desp.m.ik[variavel], $B$153,
  desp.m.ik[mes], "&gt;="&amp;M$1,
  desp.m.ik[mes], "&lt;"&amp;EOMONTH(M$1,0)+1
)</f>
        <v>0</v>
      </c>
      <c r="N159" s="186">
        <f ca="1">-SUMIFS(
  desp.m.ik[valor],
  desp.m.ik[nucleo], $B159,
  desp.m.ik[variavel], $B$153,
  desp.m.ik[mes], "&gt;="&amp;N$1,
  desp.m.ik[mes], "&lt;"&amp;EOMONTH(N$1,0)+1
)</f>
        <v>0</v>
      </c>
      <c r="O159" s="186">
        <f ca="1">-SUMIFS(
  desp.m.ik[valor],
  desp.m.ik[nucleo], $B159,
  desp.m.ik[variavel], $B$153,
  desp.m.ik[mes], "&gt;="&amp;O$1,
  desp.m.ik[mes], "&lt;"&amp;EOMONTH(O$1,0)+1
)</f>
        <v>0</v>
      </c>
      <c r="P159" s="186">
        <f ca="1">-SUMIFS(
  desp.m.ik[valor],
  desp.m.ik[nucleo], $B159,
  desp.m.ik[variavel], $B$153,
  desp.m.ik[mes], "&gt;="&amp;P$1,
  desp.m.ik[mes], "&lt;"&amp;EOMONTH(P$1,0)+1
)</f>
        <v>0</v>
      </c>
      <c r="Q159" s="186">
        <f ca="1">-SUMIFS(
  desp.m.ik[valor],
  desp.m.ik[nucleo], $B159,
  desp.m.ik[variavel], $B$153,
  desp.m.ik[mes], "&gt;="&amp;Q$1,
  desp.m.ik[mes], "&lt;"&amp;EOMONTH(Q$1,0)+1
)</f>
        <v>0</v>
      </c>
      <c r="R159" s="186">
        <f ca="1">-SUMIFS(
  desp.m.ik[valor],
  desp.m.ik[nucleo], $B159,
  desp.m.ik[variavel], $B$153,
  desp.m.ik[mes], "&gt;="&amp;R$1,
  desp.m.ik[mes], "&lt;"&amp;EOMONTH(R$1,0)+1
)</f>
        <v>0</v>
      </c>
      <c r="S159" s="186">
        <f ca="1">-SUMIFS(
  desp.m.ik[valor],
  desp.m.ik[nucleo], $B159,
  desp.m.ik[variavel], $B$153,
  desp.m.ik[mes], "&gt;="&amp;S$1,
  desp.m.ik[mes], "&lt;"&amp;EOMONTH(S$1,0)+1
)</f>
        <v>0</v>
      </c>
      <c r="T159" s="186">
        <f ca="1">-SUMIFS(
  desp.m.ik[valor],
  desp.m.ik[nucleo], $B159,
  desp.m.ik[variavel], $B$153,
  desp.m.ik[mes], "&gt;="&amp;T$1,
  desp.m.ik[mes], "&lt;"&amp;EOMONTH(T$1,0)+1
)</f>
        <v>0</v>
      </c>
      <c r="U159" s="186">
        <f ca="1">-SUMIFS(
  desp.m.ik[valor],
  desp.m.ik[nucleo], $B159,
  desp.m.ik[variavel], $B$153,
  desp.m.ik[mes], "&gt;="&amp;U$1,
  desp.m.ik[mes], "&lt;"&amp;EOMONTH(U$1,0)+1
)</f>
        <v>0</v>
      </c>
      <c r="V159" s="186">
        <f ca="1">-SUMIFS(
  desp.m.ik[valor],
  desp.m.ik[nucleo], $B159,
  desp.m.ik[variavel], $B$153,
  desp.m.ik[mes], "&gt;="&amp;V$1,
  desp.m.ik[mes], "&lt;"&amp;EOMONTH(V$1,0)+1
)</f>
        <v>0</v>
      </c>
      <c r="W159" s="186">
        <f ca="1">-SUMIFS(
  desp.m.ik[valor],
  desp.m.ik[nucleo], $B159,
  desp.m.ik[variavel], $B$153,
  desp.m.ik[mes], "&gt;="&amp;W$1,
  desp.m.ik[mes], "&lt;"&amp;EOMONTH(W$1,0)+1
)</f>
        <v>0</v>
      </c>
      <c r="X159" s="186">
        <f ca="1">-SUMIFS(
  desp.m.ik[valor],
  desp.m.ik[nucleo], $B159,
  desp.m.ik[variavel], $B$153,
  desp.m.ik[mes], "&gt;="&amp;X$1,
  desp.m.ik[mes], "&lt;"&amp;EOMONTH(X$1,0)+1
)</f>
        <v>0</v>
      </c>
      <c r="Y159" s="186">
        <f ca="1">-SUMIFS(
  desp.m.ik[valor],
  desp.m.ik[nucleo], $B159,
  desp.m.ik[variavel], $B$153,
  desp.m.ik[mes], "&gt;="&amp;Y$1,
  desp.m.ik[mes], "&lt;"&amp;EOMONTH(Y$1,0)+1
)</f>
        <v>0</v>
      </c>
      <c r="Z159" s="186">
        <f ca="1">-SUMIFS(
  desp.m.ik[valor],
  desp.m.ik[nucleo], $B159,
  desp.m.ik[variavel], $B$153,
  desp.m.ik[mes], "&gt;="&amp;Z$1,
  desp.m.ik[mes], "&lt;"&amp;EOMONTH(Z$1,0)+1
)</f>
        <v>0</v>
      </c>
      <c r="AA159" s="186">
        <f ca="1">-SUMIFS(
  desp.m.ik[valor],
  desp.m.ik[nucleo], $B159,
  desp.m.ik[variavel], $B$153,
  desp.m.ik[mes], "&gt;="&amp;AA$1,
  desp.m.ik[mes], "&lt;"&amp;EOMONTH(AA$1,0)+1
)</f>
        <v>0</v>
      </c>
      <c r="AC159" s="178">
        <f t="shared" ca="1" si="31"/>
        <v>0</v>
      </c>
      <c r="AE159" s="178">
        <f ca="1">SUM(D159:AA159)</f>
        <v>0</v>
      </c>
    </row>
    <row r="160" spans="1:31" hidden="1" outlineLevel="2" x14ac:dyDescent="0.25">
      <c r="A160" s="185" t="s">
        <v>956</v>
      </c>
      <c r="B160" s="185" t="s">
        <v>544</v>
      </c>
      <c r="C160" s="138" t="s">
        <v>514</v>
      </c>
      <c r="D160" s="186">
        <f ca="1">-SUMIFS(
  desp.m.ik[valor],
  desp.m.ik[nucleo], $B160,
  desp.m.ik[variavel], $B$153,
  desp.m.ik[mes], "&gt;="&amp;D$1,
  desp.m.ik[mes], "&lt;"&amp;EOMONTH(D$1,0)+1
)</f>
        <v>0</v>
      </c>
      <c r="E160" s="186">
        <f ca="1">-SUMIFS(
  desp.m.ik[valor],
  desp.m.ik[nucleo], $B160,
  desp.m.ik[variavel], $B$153,
  desp.m.ik[mes], "&gt;="&amp;E$1,
  desp.m.ik[mes], "&lt;"&amp;EOMONTH(E$1,0)+1
)</f>
        <v>0</v>
      </c>
      <c r="F160" s="186">
        <f ca="1">-SUMIFS(
  desp.m.ik[valor],
  desp.m.ik[nucleo], $B160,
  desp.m.ik[variavel], $B$153,
  desp.m.ik[mes], "&gt;="&amp;F$1,
  desp.m.ik[mes], "&lt;"&amp;EOMONTH(F$1,0)+1
)</f>
        <v>0</v>
      </c>
      <c r="G160" s="186">
        <f ca="1">-SUMIFS(
  desp.m.ik[valor],
  desp.m.ik[nucleo], $B160,
  desp.m.ik[variavel], $B$153,
  desp.m.ik[mes], "&gt;="&amp;G$1,
  desp.m.ik[mes], "&lt;"&amp;EOMONTH(G$1,0)+1
)</f>
        <v>0</v>
      </c>
      <c r="H160" s="186">
        <f ca="1">-SUMIFS(
  desp.m.ik[valor],
  desp.m.ik[nucleo], $B160,
  desp.m.ik[variavel], $B$153,
  desp.m.ik[mes], "&gt;="&amp;H$1,
  desp.m.ik[mes], "&lt;"&amp;EOMONTH(H$1,0)+1
)</f>
        <v>0</v>
      </c>
      <c r="I160" s="186">
        <f ca="1">-SUMIFS(
  desp.m.ik[valor],
  desp.m.ik[nucleo], $B160,
  desp.m.ik[variavel], $B$153,
  desp.m.ik[mes], "&gt;="&amp;I$1,
  desp.m.ik[mes], "&lt;"&amp;EOMONTH(I$1,0)+1
)</f>
        <v>0</v>
      </c>
      <c r="J160" s="186">
        <f ca="1">-SUMIFS(
  desp.m.ik[valor],
  desp.m.ik[nucleo], $B160,
  desp.m.ik[variavel], $B$153,
  desp.m.ik[mes], "&gt;="&amp;J$1,
  desp.m.ik[mes], "&lt;"&amp;EOMONTH(J$1,0)+1
)</f>
        <v>0</v>
      </c>
      <c r="K160" s="186">
        <f ca="1">-SUMIFS(
  desp.m.ik[valor],
  desp.m.ik[nucleo], $B160,
  desp.m.ik[variavel], $B$153,
  desp.m.ik[mes], "&gt;="&amp;K$1,
  desp.m.ik[mes], "&lt;"&amp;EOMONTH(K$1,0)+1
)</f>
        <v>0</v>
      </c>
      <c r="L160" s="186">
        <f ca="1">-SUMIFS(
  desp.m.ik[valor],
  desp.m.ik[nucleo], $B160,
  desp.m.ik[variavel], $B$153,
  desp.m.ik[mes], "&gt;="&amp;L$1,
  desp.m.ik[mes], "&lt;"&amp;EOMONTH(L$1,0)+1
)</f>
        <v>0</v>
      </c>
      <c r="M160" s="186">
        <f ca="1">-SUMIFS(
  desp.m.ik[valor],
  desp.m.ik[nucleo], $B160,
  desp.m.ik[variavel], $B$153,
  desp.m.ik[mes], "&gt;="&amp;M$1,
  desp.m.ik[mes], "&lt;"&amp;EOMONTH(M$1,0)+1
)</f>
        <v>0</v>
      </c>
      <c r="N160" s="186">
        <f ca="1">-SUMIFS(
  desp.m.ik[valor],
  desp.m.ik[nucleo], $B160,
  desp.m.ik[variavel], $B$153,
  desp.m.ik[mes], "&gt;="&amp;N$1,
  desp.m.ik[mes], "&lt;"&amp;EOMONTH(N$1,0)+1
)</f>
        <v>0</v>
      </c>
      <c r="O160" s="186">
        <f ca="1">-SUMIFS(
  desp.m.ik[valor],
  desp.m.ik[nucleo], $B160,
  desp.m.ik[variavel], $B$153,
  desp.m.ik[mes], "&gt;="&amp;O$1,
  desp.m.ik[mes], "&lt;"&amp;EOMONTH(O$1,0)+1
)</f>
        <v>0</v>
      </c>
      <c r="P160" s="186">
        <f ca="1">-SUMIFS(
  desp.m.ik[valor],
  desp.m.ik[nucleo], $B160,
  desp.m.ik[variavel], $B$153,
  desp.m.ik[mes], "&gt;="&amp;P$1,
  desp.m.ik[mes], "&lt;"&amp;EOMONTH(P$1,0)+1
)</f>
        <v>0</v>
      </c>
      <c r="Q160" s="186">
        <f ca="1">-SUMIFS(
  desp.m.ik[valor],
  desp.m.ik[nucleo], $B160,
  desp.m.ik[variavel], $B$153,
  desp.m.ik[mes], "&gt;="&amp;Q$1,
  desp.m.ik[mes], "&lt;"&amp;EOMONTH(Q$1,0)+1
)</f>
        <v>0</v>
      </c>
      <c r="R160" s="186">
        <f ca="1">-SUMIFS(
  desp.m.ik[valor],
  desp.m.ik[nucleo], $B160,
  desp.m.ik[variavel], $B$153,
  desp.m.ik[mes], "&gt;="&amp;R$1,
  desp.m.ik[mes], "&lt;"&amp;EOMONTH(R$1,0)+1
)</f>
        <v>0</v>
      </c>
      <c r="S160" s="186">
        <f ca="1">-SUMIFS(
  desp.m.ik[valor],
  desp.m.ik[nucleo], $B160,
  desp.m.ik[variavel], $B$153,
  desp.m.ik[mes], "&gt;="&amp;S$1,
  desp.m.ik[mes], "&lt;"&amp;EOMONTH(S$1,0)+1
)</f>
        <v>0</v>
      </c>
      <c r="T160" s="186">
        <f ca="1">-SUMIFS(
  desp.m.ik[valor],
  desp.m.ik[nucleo], $B160,
  desp.m.ik[variavel], $B$153,
  desp.m.ik[mes], "&gt;="&amp;T$1,
  desp.m.ik[mes], "&lt;"&amp;EOMONTH(T$1,0)+1
)</f>
        <v>0</v>
      </c>
      <c r="U160" s="186">
        <f ca="1">-SUMIFS(
  desp.m.ik[valor],
  desp.m.ik[nucleo], $B160,
  desp.m.ik[variavel], $B$153,
  desp.m.ik[mes], "&gt;="&amp;U$1,
  desp.m.ik[mes], "&lt;"&amp;EOMONTH(U$1,0)+1
)</f>
        <v>0</v>
      </c>
      <c r="V160" s="186">
        <f ca="1">-SUMIFS(
  desp.m.ik[valor],
  desp.m.ik[nucleo], $B160,
  desp.m.ik[variavel], $B$153,
  desp.m.ik[mes], "&gt;="&amp;V$1,
  desp.m.ik[mes], "&lt;"&amp;EOMONTH(V$1,0)+1
)</f>
        <v>0</v>
      </c>
      <c r="W160" s="186">
        <f ca="1">-SUMIFS(
  desp.m.ik[valor],
  desp.m.ik[nucleo], $B160,
  desp.m.ik[variavel], $B$153,
  desp.m.ik[mes], "&gt;="&amp;W$1,
  desp.m.ik[mes], "&lt;"&amp;EOMONTH(W$1,0)+1
)</f>
        <v>0</v>
      </c>
      <c r="X160" s="186">
        <f ca="1">-SUMIFS(
  desp.m.ik[valor],
  desp.m.ik[nucleo], $B160,
  desp.m.ik[variavel], $B$153,
  desp.m.ik[mes], "&gt;="&amp;X$1,
  desp.m.ik[mes], "&lt;"&amp;EOMONTH(X$1,0)+1
)</f>
        <v>0</v>
      </c>
      <c r="Y160" s="186">
        <f ca="1">-SUMIFS(
  desp.m.ik[valor],
  desp.m.ik[nucleo], $B160,
  desp.m.ik[variavel], $B$153,
  desp.m.ik[mes], "&gt;="&amp;Y$1,
  desp.m.ik[mes], "&lt;"&amp;EOMONTH(Y$1,0)+1
)</f>
        <v>0</v>
      </c>
      <c r="Z160" s="186">
        <f ca="1">-SUMIFS(
  desp.m.ik[valor],
  desp.m.ik[nucleo], $B160,
  desp.m.ik[variavel], $B$153,
  desp.m.ik[mes], "&gt;="&amp;Z$1,
  desp.m.ik[mes], "&lt;"&amp;EOMONTH(Z$1,0)+1
)</f>
        <v>0</v>
      </c>
      <c r="AA160" s="186">
        <f ca="1">-SUMIFS(
  desp.m.ik[valor],
  desp.m.ik[nucleo], $B160,
  desp.m.ik[variavel], $B$153,
  desp.m.ik[mes], "&gt;="&amp;AA$1,
  desp.m.ik[mes], "&lt;"&amp;EOMONTH(AA$1,0)+1
)</f>
        <v>0</v>
      </c>
      <c r="AC160" s="178">
        <f t="shared" ca="1" si="31"/>
        <v>0</v>
      </c>
      <c r="AE160" s="178">
        <f t="shared" ca="1" si="32"/>
        <v>0</v>
      </c>
    </row>
    <row r="161" spans="1:31" hidden="1" outlineLevel="2" x14ac:dyDescent="0.25">
      <c r="A161" s="185" t="s">
        <v>958</v>
      </c>
      <c r="B161" s="185" t="s">
        <v>531</v>
      </c>
      <c r="C161" s="138" t="s">
        <v>514</v>
      </c>
      <c r="D161" s="186">
        <f ca="1">-SUMIFS(
  desp.m.ik[valor],
  desp.m.ik[nucleo], $B161,
  desp.m.ik[variavel], $B$153,
  desp.m.ik[mes], "&gt;="&amp;D$1,
  desp.m.ik[mes], "&lt;"&amp;EOMONTH(D$1,0)+1
)</f>
        <v>0</v>
      </c>
      <c r="E161" s="186">
        <f ca="1">-SUMIFS(
  desp.m.ik[valor],
  desp.m.ik[nucleo], $B161,
  desp.m.ik[variavel], $B$153,
  desp.m.ik[mes], "&gt;="&amp;E$1,
  desp.m.ik[mes], "&lt;"&amp;EOMONTH(E$1,0)+1
)</f>
        <v>0</v>
      </c>
      <c r="F161" s="186">
        <f ca="1">-SUMIFS(
  desp.m.ik[valor],
  desp.m.ik[nucleo], $B161,
  desp.m.ik[variavel], $B$153,
  desp.m.ik[mes], "&gt;="&amp;F$1,
  desp.m.ik[mes], "&lt;"&amp;EOMONTH(F$1,0)+1
)</f>
        <v>0</v>
      </c>
      <c r="G161" s="186">
        <f ca="1">-SUMIFS(
  desp.m.ik[valor],
  desp.m.ik[nucleo], $B161,
  desp.m.ik[variavel], $B$153,
  desp.m.ik[mes], "&gt;="&amp;G$1,
  desp.m.ik[mes], "&lt;"&amp;EOMONTH(G$1,0)+1
)</f>
        <v>0</v>
      </c>
      <c r="H161" s="186">
        <f ca="1">-SUMIFS(
  desp.m.ik[valor],
  desp.m.ik[nucleo], $B161,
  desp.m.ik[variavel], $B$153,
  desp.m.ik[mes], "&gt;="&amp;H$1,
  desp.m.ik[mes], "&lt;"&amp;EOMONTH(H$1,0)+1
)</f>
        <v>0</v>
      </c>
      <c r="I161" s="186">
        <f ca="1">-SUMIFS(
  desp.m.ik[valor],
  desp.m.ik[nucleo], $B161,
  desp.m.ik[variavel], $B$153,
  desp.m.ik[mes], "&gt;="&amp;I$1,
  desp.m.ik[mes], "&lt;"&amp;EOMONTH(I$1,0)+1
)</f>
        <v>0</v>
      </c>
      <c r="J161" s="186">
        <f ca="1">-SUMIFS(
  desp.m.ik[valor],
  desp.m.ik[nucleo], $B161,
  desp.m.ik[variavel], $B$153,
  desp.m.ik[mes], "&gt;="&amp;J$1,
  desp.m.ik[mes], "&lt;"&amp;EOMONTH(J$1,0)+1
)</f>
        <v>0</v>
      </c>
      <c r="K161" s="186">
        <f ca="1">-SUMIFS(
  desp.m.ik[valor],
  desp.m.ik[nucleo], $B161,
  desp.m.ik[variavel], $B$153,
  desp.m.ik[mes], "&gt;="&amp;K$1,
  desp.m.ik[mes], "&lt;"&amp;EOMONTH(K$1,0)+1
)</f>
        <v>0</v>
      </c>
      <c r="L161" s="186">
        <f ca="1">-SUMIFS(
  desp.m.ik[valor],
  desp.m.ik[nucleo], $B161,
  desp.m.ik[variavel], $B$153,
  desp.m.ik[mes], "&gt;="&amp;L$1,
  desp.m.ik[mes], "&lt;"&amp;EOMONTH(L$1,0)+1
)</f>
        <v>0</v>
      </c>
      <c r="M161" s="186">
        <f ca="1">-SUMIFS(
  desp.m.ik[valor],
  desp.m.ik[nucleo], $B161,
  desp.m.ik[variavel], $B$153,
  desp.m.ik[mes], "&gt;="&amp;M$1,
  desp.m.ik[mes], "&lt;"&amp;EOMONTH(M$1,0)+1
)</f>
        <v>0</v>
      </c>
      <c r="N161" s="186">
        <f ca="1">-SUMIFS(
  desp.m.ik[valor],
  desp.m.ik[nucleo], $B161,
  desp.m.ik[variavel], $B$153,
  desp.m.ik[mes], "&gt;="&amp;N$1,
  desp.m.ik[mes], "&lt;"&amp;EOMONTH(N$1,0)+1
)</f>
        <v>0</v>
      </c>
      <c r="O161" s="186">
        <f ca="1">-SUMIFS(
  desp.m.ik[valor],
  desp.m.ik[nucleo], $B161,
  desp.m.ik[variavel], $B$153,
  desp.m.ik[mes], "&gt;="&amp;O$1,
  desp.m.ik[mes], "&lt;"&amp;EOMONTH(O$1,0)+1
)</f>
        <v>0</v>
      </c>
      <c r="P161" s="186">
        <f ca="1">-SUMIFS(
  desp.m.ik[valor],
  desp.m.ik[nucleo], $B161,
  desp.m.ik[variavel], $B$153,
  desp.m.ik[mes], "&gt;="&amp;P$1,
  desp.m.ik[mes], "&lt;"&amp;EOMONTH(P$1,0)+1
)</f>
        <v>0</v>
      </c>
      <c r="Q161" s="186">
        <f ca="1">-SUMIFS(
  desp.m.ik[valor],
  desp.m.ik[nucleo], $B161,
  desp.m.ik[variavel], $B$153,
  desp.m.ik[mes], "&gt;="&amp;Q$1,
  desp.m.ik[mes], "&lt;"&amp;EOMONTH(Q$1,0)+1
)</f>
        <v>0</v>
      </c>
      <c r="R161" s="186">
        <f ca="1">-SUMIFS(
  desp.m.ik[valor],
  desp.m.ik[nucleo], $B161,
  desp.m.ik[variavel], $B$153,
  desp.m.ik[mes], "&gt;="&amp;R$1,
  desp.m.ik[mes], "&lt;"&amp;EOMONTH(R$1,0)+1
)</f>
        <v>0</v>
      </c>
      <c r="S161" s="186">
        <f ca="1">-SUMIFS(
  desp.m.ik[valor],
  desp.m.ik[nucleo], $B161,
  desp.m.ik[variavel], $B$153,
  desp.m.ik[mes], "&gt;="&amp;S$1,
  desp.m.ik[mes], "&lt;"&amp;EOMONTH(S$1,0)+1
)</f>
        <v>0</v>
      </c>
      <c r="T161" s="186">
        <f ca="1">-SUMIFS(
  desp.m.ik[valor],
  desp.m.ik[nucleo], $B161,
  desp.m.ik[variavel], $B$153,
  desp.m.ik[mes], "&gt;="&amp;T$1,
  desp.m.ik[mes], "&lt;"&amp;EOMONTH(T$1,0)+1
)</f>
        <v>0</v>
      </c>
      <c r="U161" s="186">
        <f ca="1">-SUMIFS(
  desp.m.ik[valor],
  desp.m.ik[nucleo], $B161,
  desp.m.ik[variavel], $B$153,
  desp.m.ik[mes], "&gt;="&amp;U$1,
  desp.m.ik[mes], "&lt;"&amp;EOMONTH(U$1,0)+1
)</f>
        <v>0</v>
      </c>
      <c r="V161" s="186">
        <f ca="1">-SUMIFS(
  desp.m.ik[valor],
  desp.m.ik[nucleo], $B161,
  desp.m.ik[variavel], $B$153,
  desp.m.ik[mes], "&gt;="&amp;V$1,
  desp.m.ik[mes], "&lt;"&amp;EOMONTH(V$1,0)+1
)</f>
        <v>0</v>
      </c>
      <c r="W161" s="186">
        <f ca="1">-SUMIFS(
  desp.m.ik[valor],
  desp.m.ik[nucleo], $B161,
  desp.m.ik[variavel], $B$153,
  desp.m.ik[mes], "&gt;="&amp;W$1,
  desp.m.ik[mes], "&lt;"&amp;EOMONTH(W$1,0)+1
)</f>
        <v>0</v>
      </c>
      <c r="X161" s="186">
        <f ca="1">-SUMIFS(
  desp.m.ik[valor],
  desp.m.ik[nucleo], $B161,
  desp.m.ik[variavel], $B$153,
  desp.m.ik[mes], "&gt;="&amp;X$1,
  desp.m.ik[mes], "&lt;"&amp;EOMONTH(X$1,0)+1
)</f>
        <v>0</v>
      </c>
      <c r="Y161" s="186">
        <f ca="1">-SUMIFS(
  desp.m.ik[valor],
  desp.m.ik[nucleo], $B161,
  desp.m.ik[variavel], $B$153,
  desp.m.ik[mes], "&gt;="&amp;Y$1,
  desp.m.ik[mes], "&lt;"&amp;EOMONTH(Y$1,0)+1
)</f>
        <v>0</v>
      </c>
      <c r="Z161" s="186">
        <f ca="1">-SUMIFS(
  desp.m.ik[valor],
  desp.m.ik[nucleo], $B161,
  desp.m.ik[variavel], $B$153,
  desp.m.ik[mes], "&gt;="&amp;Z$1,
  desp.m.ik[mes], "&lt;"&amp;EOMONTH(Z$1,0)+1
)</f>
        <v>0</v>
      </c>
      <c r="AA161" s="186">
        <f ca="1">-SUMIFS(
  desp.m.ik[valor],
  desp.m.ik[nucleo], $B161,
  desp.m.ik[variavel], $B$153,
  desp.m.ik[mes], "&gt;="&amp;AA$1,
  desp.m.ik[mes], "&lt;"&amp;EOMONTH(AA$1,0)+1
)</f>
        <v>0</v>
      </c>
      <c r="AC161" s="178">
        <f t="shared" ca="1" si="31"/>
        <v>0</v>
      </c>
      <c r="AE161" s="178">
        <f t="shared" ca="1" si="32"/>
        <v>0</v>
      </c>
    </row>
    <row r="162" spans="1:31" hidden="1" outlineLevel="2" x14ac:dyDescent="0.25">
      <c r="A162" s="185" t="s">
        <v>1179</v>
      </c>
      <c r="B162" s="185" t="s">
        <v>578</v>
      </c>
      <c r="C162" s="138" t="s">
        <v>514</v>
      </c>
      <c r="D162" s="186">
        <f ca="1">-SUMIFS(
  desp.m.ik[valor],
  desp.m.ik[nucleo], $B162,
  desp.m.ik[variavel], $B$153,
  desp.m.ik[mes], "&gt;="&amp;D$1,
  desp.m.ik[mes], "&lt;"&amp;EOMONTH(D$1,0)+1
)</f>
        <v>0</v>
      </c>
      <c r="E162" s="186">
        <f ca="1">-SUMIFS(
  desp.m.ik[valor],
  desp.m.ik[nucleo], $B162,
  desp.m.ik[variavel], $B$153,
  desp.m.ik[mes], "&gt;="&amp;E$1,
  desp.m.ik[mes], "&lt;"&amp;EOMONTH(E$1,0)+1
)</f>
        <v>0</v>
      </c>
      <c r="F162" s="186">
        <f ca="1">-SUMIFS(
  desp.m.ik[valor],
  desp.m.ik[nucleo], $B162,
  desp.m.ik[variavel], $B$153,
  desp.m.ik[mes], "&gt;="&amp;F$1,
  desp.m.ik[mes], "&lt;"&amp;EOMONTH(F$1,0)+1
)</f>
        <v>0</v>
      </c>
      <c r="G162" s="186">
        <f ca="1">-SUMIFS(
  desp.m.ik[valor],
  desp.m.ik[nucleo], $B162,
  desp.m.ik[variavel], $B$153,
  desp.m.ik[mes], "&gt;="&amp;G$1,
  desp.m.ik[mes], "&lt;"&amp;EOMONTH(G$1,0)+1
)</f>
        <v>0</v>
      </c>
      <c r="H162" s="186">
        <f ca="1">-SUMIFS(
  desp.m.ik[valor],
  desp.m.ik[nucleo], $B162,
  desp.m.ik[variavel], $B$153,
  desp.m.ik[mes], "&gt;="&amp;H$1,
  desp.m.ik[mes], "&lt;"&amp;EOMONTH(H$1,0)+1
)</f>
        <v>0</v>
      </c>
      <c r="I162" s="186">
        <f ca="1">-SUMIFS(
  desp.m.ik[valor],
  desp.m.ik[nucleo], $B162,
  desp.m.ik[variavel], $B$153,
  desp.m.ik[mes], "&gt;="&amp;I$1,
  desp.m.ik[mes], "&lt;"&amp;EOMONTH(I$1,0)+1
)</f>
        <v>0</v>
      </c>
      <c r="J162" s="186">
        <f ca="1">-SUMIFS(
  desp.m.ik[valor],
  desp.m.ik[nucleo], $B162,
  desp.m.ik[variavel], $B$153,
  desp.m.ik[mes], "&gt;="&amp;J$1,
  desp.m.ik[mes], "&lt;"&amp;EOMONTH(J$1,0)+1
)</f>
        <v>0</v>
      </c>
      <c r="K162" s="186">
        <f ca="1">-SUMIFS(
  desp.m.ik[valor],
  desp.m.ik[nucleo], $B162,
  desp.m.ik[variavel], $B$153,
  desp.m.ik[mes], "&gt;="&amp;K$1,
  desp.m.ik[mes], "&lt;"&amp;EOMONTH(K$1,0)+1
)</f>
        <v>0</v>
      </c>
      <c r="L162" s="186">
        <f ca="1">-SUMIFS(
  desp.m.ik[valor],
  desp.m.ik[nucleo], $B162,
  desp.m.ik[variavel], $B$153,
  desp.m.ik[mes], "&gt;="&amp;L$1,
  desp.m.ik[mes], "&lt;"&amp;EOMONTH(L$1,0)+1
)</f>
        <v>0</v>
      </c>
      <c r="M162" s="186">
        <f ca="1">-SUMIFS(
  desp.m.ik[valor],
  desp.m.ik[nucleo], $B162,
  desp.m.ik[variavel], $B$153,
  desp.m.ik[mes], "&gt;="&amp;M$1,
  desp.m.ik[mes], "&lt;"&amp;EOMONTH(M$1,0)+1
)</f>
        <v>0</v>
      </c>
      <c r="N162" s="186">
        <f ca="1">-SUMIFS(
  desp.m.ik[valor],
  desp.m.ik[nucleo], $B162,
  desp.m.ik[variavel], $B$153,
  desp.m.ik[mes], "&gt;="&amp;N$1,
  desp.m.ik[mes], "&lt;"&amp;EOMONTH(N$1,0)+1
)</f>
        <v>0</v>
      </c>
      <c r="O162" s="186">
        <f ca="1">-SUMIFS(
  desp.m.ik[valor],
  desp.m.ik[nucleo], $B162,
  desp.m.ik[variavel], $B$153,
  desp.m.ik[mes], "&gt;="&amp;O$1,
  desp.m.ik[mes], "&lt;"&amp;EOMONTH(O$1,0)+1
)</f>
        <v>0</v>
      </c>
      <c r="P162" s="186">
        <f ca="1">-SUMIFS(
  desp.m.ik[valor],
  desp.m.ik[nucleo], $B162,
  desp.m.ik[variavel], $B$153,
  desp.m.ik[mes], "&gt;="&amp;P$1,
  desp.m.ik[mes], "&lt;"&amp;EOMONTH(P$1,0)+1
)</f>
        <v>0</v>
      </c>
      <c r="Q162" s="186">
        <f ca="1">-SUMIFS(
  desp.m.ik[valor],
  desp.m.ik[nucleo], $B162,
  desp.m.ik[variavel], $B$153,
  desp.m.ik[mes], "&gt;="&amp;Q$1,
  desp.m.ik[mes], "&lt;"&amp;EOMONTH(Q$1,0)+1
)</f>
        <v>0</v>
      </c>
      <c r="R162" s="186">
        <f ca="1">-SUMIFS(
  desp.m.ik[valor],
  desp.m.ik[nucleo], $B162,
  desp.m.ik[variavel], $B$153,
  desp.m.ik[mes], "&gt;="&amp;R$1,
  desp.m.ik[mes], "&lt;"&amp;EOMONTH(R$1,0)+1
)</f>
        <v>0</v>
      </c>
      <c r="S162" s="186">
        <f ca="1">-SUMIFS(
  desp.m.ik[valor],
  desp.m.ik[nucleo], $B162,
  desp.m.ik[variavel], $B$153,
  desp.m.ik[mes], "&gt;="&amp;S$1,
  desp.m.ik[mes], "&lt;"&amp;EOMONTH(S$1,0)+1
)</f>
        <v>0</v>
      </c>
      <c r="T162" s="186">
        <f ca="1">-SUMIFS(
  desp.m.ik[valor],
  desp.m.ik[nucleo], $B162,
  desp.m.ik[variavel], $B$153,
  desp.m.ik[mes], "&gt;="&amp;T$1,
  desp.m.ik[mes], "&lt;"&amp;EOMONTH(T$1,0)+1
)</f>
        <v>0</v>
      </c>
      <c r="U162" s="186">
        <f ca="1">-SUMIFS(
  desp.m.ik[valor],
  desp.m.ik[nucleo], $B162,
  desp.m.ik[variavel], $B$153,
  desp.m.ik[mes], "&gt;="&amp;U$1,
  desp.m.ik[mes], "&lt;"&amp;EOMONTH(U$1,0)+1
)</f>
        <v>0</v>
      </c>
      <c r="V162" s="186">
        <f ca="1">-SUMIFS(
  desp.m.ik[valor],
  desp.m.ik[nucleo], $B162,
  desp.m.ik[variavel], $B$153,
  desp.m.ik[mes], "&gt;="&amp;V$1,
  desp.m.ik[mes], "&lt;"&amp;EOMONTH(V$1,0)+1
)</f>
        <v>0</v>
      </c>
      <c r="W162" s="186">
        <f ca="1">-SUMIFS(
  desp.m.ik[valor],
  desp.m.ik[nucleo], $B162,
  desp.m.ik[variavel], $B$153,
  desp.m.ik[mes], "&gt;="&amp;W$1,
  desp.m.ik[mes], "&lt;"&amp;EOMONTH(W$1,0)+1
)</f>
        <v>0</v>
      </c>
      <c r="X162" s="186">
        <f ca="1">-SUMIFS(
  desp.m.ik[valor],
  desp.m.ik[nucleo], $B162,
  desp.m.ik[variavel], $B$153,
  desp.m.ik[mes], "&gt;="&amp;X$1,
  desp.m.ik[mes], "&lt;"&amp;EOMONTH(X$1,0)+1
)</f>
        <v>0</v>
      </c>
      <c r="Y162" s="186">
        <f ca="1">-SUMIFS(
  desp.m.ik[valor],
  desp.m.ik[nucleo], $B162,
  desp.m.ik[variavel], $B$153,
  desp.m.ik[mes], "&gt;="&amp;Y$1,
  desp.m.ik[mes], "&lt;"&amp;EOMONTH(Y$1,0)+1
)</f>
        <v>0</v>
      </c>
      <c r="Z162" s="186">
        <f ca="1">-SUMIFS(
  desp.m.ik[valor],
  desp.m.ik[nucleo], $B162,
  desp.m.ik[variavel], $B$153,
  desp.m.ik[mes], "&gt;="&amp;Z$1,
  desp.m.ik[mes], "&lt;"&amp;EOMONTH(Z$1,0)+1
)</f>
        <v>0</v>
      </c>
      <c r="AA162" s="186">
        <f ca="1">-SUMIFS(
  desp.m.ik[valor],
  desp.m.ik[nucleo], $B162,
  desp.m.ik[variavel], $B$153,
  desp.m.ik[mes], "&gt;="&amp;AA$1,
  desp.m.ik[mes], "&lt;"&amp;EOMONTH(AA$1,0)+1
)</f>
        <v>0</v>
      </c>
      <c r="AC162" s="178">
        <f t="shared" ca="1" si="31"/>
        <v>0</v>
      </c>
      <c r="AE162" s="178">
        <f t="shared" ca="1" si="32"/>
        <v>0</v>
      </c>
    </row>
    <row r="163" spans="1:31" hidden="1" outlineLevel="2" x14ac:dyDescent="0.25">
      <c r="A163" s="185" t="s">
        <v>959</v>
      </c>
      <c r="B163" s="185" t="s">
        <v>535</v>
      </c>
      <c r="C163" s="138" t="s">
        <v>514</v>
      </c>
      <c r="D163" s="186">
        <f ca="1">-SUMIFS(
  desp.m.ik[valor],
  desp.m.ik[nucleo], $B163,
  desp.m.ik[variavel], $B$153,
  desp.m.ik[mes], "&gt;="&amp;D$1,
  desp.m.ik[mes], "&lt;"&amp;EOMONTH(D$1,0)+1
)</f>
        <v>0</v>
      </c>
      <c r="E163" s="186">
        <f ca="1">-SUMIFS(
  desp.m.ik[valor],
  desp.m.ik[nucleo], $B163,
  desp.m.ik[variavel], $B$153,
  desp.m.ik[mes], "&gt;="&amp;E$1,
  desp.m.ik[mes], "&lt;"&amp;EOMONTH(E$1,0)+1
)</f>
        <v>0</v>
      </c>
      <c r="F163" s="186">
        <f ca="1">-SUMIFS(
  desp.m.ik[valor],
  desp.m.ik[nucleo], $B163,
  desp.m.ik[variavel], $B$153,
  desp.m.ik[mes], "&gt;="&amp;F$1,
  desp.m.ik[mes], "&lt;"&amp;EOMONTH(F$1,0)+1
)</f>
        <v>0</v>
      </c>
      <c r="G163" s="186">
        <f ca="1">-SUMIFS(
  desp.m.ik[valor],
  desp.m.ik[nucleo], $B163,
  desp.m.ik[variavel], $B$153,
  desp.m.ik[mes], "&gt;="&amp;G$1,
  desp.m.ik[mes], "&lt;"&amp;EOMONTH(G$1,0)+1
)</f>
        <v>0</v>
      </c>
      <c r="H163" s="186">
        <f ca="1">-SUMIFS(
  desp.m.ik[valor],
  desp.m.ik[nucleo], $B163,
  desp.m.ik[variavel], $B$153,
  desp.m.ik[mes], "&gt;="&amp;H$1,
  desp.m.ik[mes], "&lt;"&amp;EOMONTH(H$1,0)+1
)</f>
        <v>0</v>
      </c>
      <c r="I163" s="186">
        <f ca="1">-SUMIFS(
  desp.m.ik[valor],
  desp.m.ik[nucleo], $B163,
  desp.m.ik[variavel], $B$153,
  desp.m.ik[mes], "&gt;="&amp;I$1,
  desp.m.ik[mes], "&lt;"&amp;EOMONTH(I$1,0)+1
)</f>
        <v>0</v>
      </c>
      <c r="J163" s="186">
        <f ca="1">-SUMIFS(
  desp.m.ik[valor],
  desp.m.ik[nucleo], $B163,
  desp.m.ik[variavel], $B$153,
  desp.m.ik[mes], "&gt;="&amp;J$1,
  desp.m.ik[mes], "&lt;"&amp;EOMONTH(J$1,0)+1
)</f>
        <v>0</v>
      </c>
      <c r="K163" s="186">
        <f ca="1">-SUMIFS(
  desp.m.ik[valor],
  desp.m.ik[nucleo], $B163,
  desp.m.ik[variavel], $B$153,
  desp.m.ik[mes], "&gt;="&amp;K$1,
  desp.m.ik[mes], "&lt;"&amp;EOMONTH(K$1,0)+1
)</f>
        <v>0</v>
      </c>
      <c r="L163" s="186">
        <f ca="1">-SUMIFS(
  desp.m.ik[valor],
  desp.m.ik[nucleo], $B163,
  desp.m.ik[variavel], $B$153,
  desp.m.ik[mes], "&gt;="&amp;L$1,
  desp.m.ik[mes], "&lt;"&amp;EOMONTH(L$1,0)+1
)</f>
        <v>0</v>
      </c>
      <c r="M163" s="186">
        <f ca="1">-SUMIFS(
  desp.m.ik[valor],
  desp.m.ik[nucleo], $B163,
  desp.m.ik[variavel], $B$153,
  desp.m.ik[mes], "&gt;="&amp;M$1,
  desp.m.ik[mes], "&lt;"&amp;EOMONTH(M$1,0)+1
)</f>
        <v>0</v>
      </c>
      <c r="N163" s="186">
        <f ca="1">-SUMIFS(
  desp.m.ik[valor],
  desp.m.ik[nucleo], $B163,
  desp.m.ik[variavel], $B$153,
  desp.m.ik[mes], "&gt;="&amp;N$1,
  desp.m.ik[mes], "&lt;"&amp;EOMONTH(N$1,0)+1
)</f>
        <v>0</v>
      </c>
      <c r="O163" s="186">
        <f ca="1">-SUMIFS(
  desp.m.ik[valor],
  desp.m.ik[nucleo], $B163,
  desp.m.ik[variavel], $B$153,
  desp.m.ik[mes], "&gt;="&amp;O$1,
  desp.m.ik[mes], "&lt;"&amp;EOMONTH(O$1,0)+1
)</f>
        <v>0</v>
      </c>
      <c r="P163" s="186">
        <f ca="1">-SUMIFS(
  desp.m.ik[valor],
  desp.m.ik[nucleo], $B163,
  desp.m.ik[variavel], $B$153,
  desp.m.ik[mes], "&gt;="&amp;P$1,
  desp.m.ik[mes], "&lt;"&amp;EOMONTH(P$1,0)+1
)</f>
        <v>0</v>
      </c>
      <c r="Q163" s="186">
        <f ca="1">-SUMIFS(
  desp.m.ik[valor],
  desp.m.ik[nucleo], $B163,
  desp.m.ik[variavel], $B$153,
  desp.m.ik[mes], "&gt;="&amp;Q$1,
  desp.m.ik[mes], "&lt;"&amp;EOMONTH(Q$1,0)+1
)</f>
        <v>0</v>
      </c>
      <c r="R163" s="186">
        <f ca="1">-SUMIFS(
  desp.m.ik[valor],
  desp.m.ik[nucleo], $B163,
  desp.m.ik[variavel], $B$153,
  desp.m.ik[mes], "&gt;="&amp;R$1,
  desp.m.ik[mes], "&lt;"&amp;EOMONTH(R$1,0)+1
)</f>
        <v>0</v>
      </c>
      <c r="S163" s="186">
        <f ca="1">-SUMIFS(
  desp.m.ik[valor],
  desp.m.ik[nucleo], $B163,
  desp.m.ik[variavel], $B$153,
  desp.m.ik[mes], "&gt;="&amp;S$1,
  desp.m.ik[mes], "&lt;"&amp;EOMONTH(S$1,0)+1
)</f>
        <v>0</v>
      </c>
      <c r="T163" s="186">
        <f ca="1">-SUMIFS(
  desp.m.ik[valor],
  desp.m.ik[nucleo], $B163,
  desp.m.ik[variavel], $B$153,
  desp.m.ik[mes], "&gt;="&amp;T$1,
  desp.m.ik[mes], "&lt;"&amp;EOMONTH(T$1,0)+1
)</f>
        <v>0</v>
      </c>
      <c r="U163" s="186">
        <f ca="1">-SUMIFS(
  desp.m.ik[valor],
  desp.m.ik[nucleo], $B163,
  desp.m.ik[variavel], $B$153,
  desp.m.ik[mes], "&gt;="&amp;U$1,
  desp.m.ik[mes], "&lt;"&amp;EOMONTH(U$1,0)+1
)</f>
        <v>0</v>
      </c>
      <c r="V163" s="186">
        <f ca="1">-SUMIFS(
  desp.m.ik[valor],
  desp.m.ik[nucleo], $B163,
  desp.m.ik[variavel], $B$153,
  desp.m.ik[mes], "&gt;="&amp;V$1,
  desp.m.ik[mes], "&lt;"&amp;EOMONTH(V$1,0)+1
)</f>
        <v>0</v>
      </c>
      <c r="W163" s="186">
        <f ca="1">-SUMIFS(
  desp.m.ik[valor],
  desp.m.ik[nucleo], $B163,
  desp.m.ik[variavel], $B$153,
  desp.m.ik[mes], "&gt;="&amp;W$1,
  desp.m.ik[mes], "&lt;"&amp;EOMONTH(W$1,0)+1
)</f>
        <v>0</v>
      </c>
      <c r="X163" s="186">
        <f ca="1">-SUMIFS(
  desp.m.ik[valor],
  desp.m.ik[nucleo], $B163,
  desp.m.ik[variavel], $B$153,
  desp.m.ik[mes], "&gt;="&amp;X$1,
  desp.m.ik[mes], "&lt;"&amp;EOMONTH(X$1,0)+1
)</f>
        <v>0</v>
      </c>
      <c r="Y163" s="186">
        <f ca="1">-SUMIFS(
  desp.m.ik[valor],
  desp.m.ik[nucleo], $B163,
  desp.m.ik[variavel], $B$153,
  desp.m.ik[mes], "&gt;="&amp;Y$1,
  desp.m.ik[mes], "&lt;"&amp;EOMONTH(Y$1,0)+1
)</f>
        <v>0</v>
      </c>
      <c r="Z163" s="186">
        <f ca="1">-SUMIFS(
  desp.m.ik[valor],
  desp.m.ik[nucleo], $B163,
  desp.m.ik[variavel], $B$153,
  desp.m.ik[mes], "&gt;="&amp;Z$1,
  desp.m.ik[mes], "&lt;"&amp;EOMONTH(Z$1,0)+1
)</f>
        <v>0</v>
      </c>
      <c r="AA163" s="186">
        <f ca="1">-SUMIFS(
  desp.m.ik[valor],
  desp.m.ik[nucleo], $B163,
  desp.m.ik[variavel], $B$153,
  desp.m.ik[mes], "&gt;="&amp;AA$1,
  desp.m.ik[mes], "&lt;"&amp;EOMONTH(AA$1,0)+1
)</f>
        <v>0</v>
      </c>
      <c r="AC163" s="178">
        <f t="shared" ca="1" si="31"/>
        <v>0</v>
      </c>
      <c r="AE163" s="178">
        <f t="shared" ca="1" si="32"/>
        <v>0</v>
      </c>
    </row>
    <row r="164" spans="1:31" hidden="1" outlineLevel="1" x14ac:dyDescent="0.25">
      <c r="A164" s="182" t="s">
        <v>582</v>
      </c>
      <c r="B164" s="182" t="s">
        <v>355</v>
      </c>
      <c r="C164" s="183" t="s">
        <v>514</v>
      </c>
      <c r="D164" s="184">
        <f t="shared" ref="D164:AA164" ca="1" si="34">SUM(D$165)</f>
        <v>0</v>
      </c>
      <c r="E164" s="184">
        <f t="shared" ca="1" si="34"/>
        <v>0</v>
      </c>
      <c r="F164" s="184">
        <f t="shared" ca="1" si="34"/>
        <v>0</v>
      </c>
      <c r="G164" s="184">
        <f t="shared" ca="1" si="34"/>
        <v>0</v>
      </c>
      <c r="H164" s="184">
        <f t="shared" ca="1" si="34"/>
        <v>0</v>
      </c>
      <c r="I164" s="184">
        <f t="shared" ca="1" si="34"/>
        <v>0</v>
      </c>
      <c r="J164" s="184">
        <f t="shared" ca="1" si="34"/>
        <v>0</v>
      </c>
      <c r="K164" s="184">
        <f t="shared" ca="1" si="34"/>
        <v>0</v>
      </c>
      <c r="L164" s="184">
        <f t="shared" ca="1" si="34"/>
        <v>0</v>
      </c>
      <c r="M164" s="184">
        <f t="shared" ca="1" si="34"/>
        <v>0</v>
      </c>
      <c r="N164" s="184">
        <f t="shared" ca="1" si="34"/>
        <v>0</v>
      </c>
      <c r="O164" s="184">
        <f t="shared" ca="1" si="34"/>
        <v>0</v>
      </c>
      <c r="P164" s="184">
        <f t="shared" ca="1" si="34"/>
        <v>0</v>
      </c>
      <c r="Q164" s="184">
        <f t="shared" ca="1" si="34"/>
        <v>0</v>
      </c>
      <c r="R164" s="184">
        <f t="shared" ca="1" si="34"/>
        <v>0</v>
      </c>
      <c r="S164" s="184">
        <f t="shared" ca="1" si="34"/>
        <v>0</v>
      </c>
      <c r="T164" s="184">
        <f t="shared" ca="1" si="34"/>
        <v>0</v>
      </c>
      <c r="U164" s="184">
        <f t="shared" ca="1" si="34"/>
        <v>0</v>
      </c>
      <c r="V164" s="184">
        <f t="shared" ca="1" si="34"/>
        <v>0</v>
      </c>
      <c r="W164" s="184">
        <f t="shared" ca="1" si="34"/>
        <v>0</v>
      </c>
      <c r="X164" s="184">
        <f t="shared" ca="1" si="34"/>
        <v>0</v>
      </c>
      <c r="Y164" s="184">
        <f t="shared" ca="1" si="34"/>
        <v>0</v>
      </c>
      <c r="Z164" s="184">
        <f t="shared" ca="1" si="34"/>
        <v>0</v>
      </c>
      <c r="AA164" s="184">
        <f t="shared" ca="1" si="34"/>
        <v>0</v>
      </c>
      <c r="AC164" s="280">
        <f t="shared" ca="1" si="31"/>
        <v>0</v>
      </c>
      <c r="AE164" s="280">
        <f t="shared" ca="1" si="32"/>
        <v>0</v>
      </c>
    </row>
    <row r="165" spans="1:31" hidden="1" outlineLevel="2" x14ac:dyDescent="0.25">
      <c r="A165" s="185" t="s">
        <v>583</v>
      </c>
      <c r="B165" s="185" t="s">
        <v>585</v>
      </c>
      <c r="C165" s="138" t="s">
        <v>514</v>
      </c>
      <c r="D165" s="186">
        <f ca="1">-SUMIFS(
  desp.m.ik[valor],
  desp.m.ik[nucleo], $B165,
  desp.m.ik[variavel], $B$164,
  desp.m.ik[mes], "&gt;="&amp;D$1,
  desp.m.ik[mes], "&lt;"&amp;EOMONTH(D$1,0)+1
)</f>
        <v>0</v>
      </c>
      <c r="E165" s="186">
        <f ca="1">-SUMIFS(
  desp.m.ik[valor],
  desp.m.ik[nucleo], $B165,
  desp.m.ik[variavel], $B$164,
  desp.m.ik[mes], "&gt;="&amp;E$1,
  desp.m.ik[mes], "&lt;"&amp;EOMONTH(E$1,0)+1
)</f>
        <v>0</v>
      </c>
      <c r="F165" s="186">
        <f ca="1">-SUMIFS(
  desp.m.ik[valor],
  desp.m.ik[nucleo], $B165,
  desp.m.ik[variavel], $B$164,
  desp.m.ik[mes], "&gt;="&amp;F$1,
  desp.m.ik[mes], "&lt;"&amp;EOMONTH(F$1,0)+1
)</f>
        <v>0</v>
      </c>
      <c r="G165" s="186">
        <f ca="1">-SUMIFS(
  desp.m.ik[valor],
  desp.m.ik[nucleo], $B165,
  desp.m.ik[variavel], $B$164,
  desp.m.ik[mes], "&gt;="&amp;G$1,
  desp.m.ik[mes], "&lt;"&amp;EOMONTH(G$1,0)+1
)</f>
        <v>0</v>
      </c>
      <c r="H165" s="186">
        <f ca="1">-SUMIFS(
  desp.m.ik[valor],
  desp.m.ik[nucleo], $B165,
  desp.m.ik[variavel], $B$164,
  desp.m.ik[mes], "&gt;="&amp;H$1,
  desp.m.ik[mes], "&lt;"&amp;EOMONTH(H$1,0)+1
)</f>
        <v>0</v>
      </c>
      <c r="I165" s="186">
        <f ca="1">-SUMIFS(
  desp.m.ik[valor],
  desp.m.ik[nucleo], $B165,
  desp.m.ik[variavel], $B$164,
  desp.m.ik[mes], "&gt;="&amp;I$1,
  desp.m.ik[mes], "&lt;"&amp;EOMONTH(I$1,0)+1
)</f>
        <v>0</v>
      </c>
      <c r="J165" s="186">
        <f ca="1">-SUMIFS(
  desp.m.ik[valor],
  desp.m.ik[nucleo], $B165,
  desp.m.ik[variavel], $B$164,
  desp.m.ik[mes], "&gt;="&amp;J$1,
  desp.m.ik[mes], "&lt;"&amp;EOMONTH(J$1,0)+1
)</f>
        <v>0</v>
      </c>
      <c r="K165" s="186">
        <f ca="1">-SUMIFS(
  desp.m.ik[valor],
  desp.m.ik[nucleo], $B165,
  desp.m.ik[variavel], $B$164,
  desp.m.ik[mes], "&gt;="&amp;K$1,
  desp.m.ik[mes], "&lt;"&amp;EOMONTH(K$1,0)+1
)</f>
        <v>0</v>
      </c>
      <c r="L165" s="186">
        <f ca="1">-SUMIFS(
  desp.m.ik[valor],
  desp.m.ik[nucleo], $B165,
  desp.m.ik[variavel], $B$164,
  desp.m.ik[mes], "&gt;="&amp;L$1,
  desp.m.ik[mes], "&lt;"&amp;EOMONTH(L$1,0)+1
)</f>
        <v>0</v>
      </c>
      <c r="M165" s="186">
        <f ca="1">-SUMIFS(
  desp.m.ik[valor],
  desp.m.ik[nucleo], $B165,
  desp.m.ik[variavel], $B$164,
  desp.m.ik[mes], "&gt;="&amp;M$1,
  desp.m.ik[mes], "&lt;"&amp;EOMONTH(M$1,0)+1
)</f>
        <v>0</v>
      </c>
      <c r="N165" s="186">
        <f ca="1">-SUMIFS(
  desp.m.ik[valor],
  desp.m.ik[nucleo], $B165,
  desp.m.ik[variavel], $B$164,
  desp.m.ik[mes], "&gt;="&amp;N$1,
  desp.m.ik[mes], "&lt;"&amp;EOMONTH(N$1,0)+1
)</f>
        <v>0</v>
      </c>
      <c r="O165" s="186">
        <f ca="1">-SUMIFS(
  desp.m.ik[valor],
  desp.m.ik[nucleo], $B165,
  desp.m.ik[variavel], $B$164,
  desp.m.ik[mes], "&gt;="&amp;O$1,
  desp.m.ik[mes], "&lt;"&amp;EOMONTH(O$1,0)+1
)</f>
        <v>0</v>
      </c>
      <c r="P165" s="186">
        <f ca="1">-SUMIFS(
  desp.m.ik[valor],
  desp.m.ik[nucleo], $B165,
  desp.m.ik[variavel], $B$164,
  desp.m.ik[mes], "&gt;="&amp;P$1,
  desp.m.ik[mes], "&lt;"&amp;EOMONTH(P$1,0)+1
)</f>
        <v>0</v>
      </c>
      <c r="Q165" s="186">
        <f ca="1">-SUMIFS(
  desp.m.ik[valor],
  desp.m.ik[nucleo], $B165,
  desp.m.ik[variavel], $B$164,
  desp.m.ik[mes], "&gt;="&amp;Q$1,
  desp.m.ik[mes], "&lt;"&amp;EOMONTH(Q$1,0)+1
)</f>
        <v>0</v>
      </c>
      <c r="R165" s="186">
        <f ca="1">-SUMIFS(
  desp.m.ik[valor],
  desp.m.ik[nucleo], $B165,
  desp.m.ik[variavel], $B$164,
  desp.m.ik[mes], "&gt;="&amp;R$1,
  desp.m.ik[mes], "&lt;"&amp;EOMONTH(R$1,0)+1
)</f>
        <v>0</v>
      </c>
      <c r="S165" s="186">
        <f ca="1">-SUMIFS(
  desp.m.ik[valor],
  desp.m.ik[nucleo], $B165,
  desp.m.ik[variavel], $B$164,
  desp.m.ik[mes], "&gt;="&amp;S$1,
  desp.m.ik[mes], "&lt;"&amp;EOMONTH(S$1,0)+1
)</f>
        <v>0</v>
      </c>
      <c r="T165" s="186">
        <f ca="1">-SUMIFS(
  desp.m.ik[valor],
  desp.m.ik[nucleo], $B165,
  desp.m.ik[variavel], $B$164,
  desp.m.ik[mes], "&gt;="&amp;T$1,
  desp.m.ik[mes], "&lt;"&amp;EOMONTH(T$1,0)+1
)</f>
        <v>0</v>
      </c>
      <c r="U165" s="186">
        <f ca="1">-SUMIFS(
  desp.m.ik[valor],
  desp.m.ik[nucleo], $B165,
  desp.m.ik[variavel], $B$164,
  desp.m.ik[mes], "&gt;="&amp;U$1,
  desp.m.ik[mes], "&lt;"&amp;EOMONTH(U$1,0)+1
)</f>
        <v>0</v>
      </c>
      <c r="V165" s="186">
        <f ca="1">-SUMIFS(
  desp.m.ik[valor],
  desp.m.ik[nucleo], $B165,
  desp.m.ik[variavel], $B$164,
  desp.m.ik[mes], "&gt;="&amp;V$1,
  desp.m.ik[mes], "&lt;"&amp;EOMONTH(V$1,0)+1
)</f>
        <v>0</v>
      </c>
      <c r="W165" s="186">
        <f ca="1">-SUMIFS(
  desp.m.ik[valor],
  desp.m.ik[nucleo], $B165,
  desp.m.ik[variavel], $B$164,
  desp.m.ik[mes], "&gt;="&amp;W$1,
  desp.m.ik[mes], "&lt;"&amp;EOMONTH(W$1,0)+1
)</f>
        <v>0</v>
      </c>
      <c r="X165" s="186">
        <f ca="1">-SUMIFS(
  desp.m.ik[valor],
  desp.m.ik[nucleo], $B165,
  desp.m.ik[variavel], $B$164,
  desp.m.ik[mes], "&gt;="&amp;X$1,
  desp.m.ik[mes], "&lt;"&amp;EOMONTH(X$1,0)+1
)</f>
        <v>0</v>
      </c>
      <c r="Y165" s="186">
        <f ca="1">-SUMIFS(
  desp.m.ik[valor],
  desp.m.ik[nucleo], $B165,
  desp.m.ik[variavel], $B$164,
  desp.m.ik[mes], "&gt;="&amp;Y$1,
  desp.m.ik[mes], "&lt;"&amp;EOMONTH(Y$1,0)+1
)</f>
        <v>0</v>
      </c>
      <c r="Z165" s="186">
        <f ca="1">-SUMIFS(
  desp.m.ik[valor],
  desp.m.ik[nucleo], $B165,
  desp.m.ik[variavel], $B$164,
  desp.m.ik[mes], "&gt;="&amp;Z$1,
  desp.m.ik[mes], "&lt;"&amp;EOMONTH(Z$1,0)+1
)</f>
        <v>0</v>
      </c>
      <c r="AA165" s="186">
        <f ca="1">-SUMIFS(
  desp.m.ik[valor],
  desp.m.ik[nucleo], $B165,
  desp.m.ik[variavel], $B$164,
  desp.m.ik[mes], "&gt;="&amp;AA$1,
  desp.m.ik[mes], "&lt;"&amp;EOMONTH(AA$1,0)+1
)</f>
        <v>0</v>
      </c>
      <c r="AC165" s="178">
        <f t="shared" ca="1" si="31"/>
        <v>0</v>
      </c>
      <c r="AE165" s="178">
        <f t="shared" ca="1" si="32"/>
        <v>0</v>
      </c>
    </row>
    <row r="166" spans="1:31" hidden="1" outlineLevel="1" x14ac:dyDescent="0.25">
      <c r="A166" s="182" t="s">
        <v>584</v>
      </c>
      <c r="B166" s="182" t="s">
        <v>365</v>
      </c>
      <c r="C166" s="183" t="s">
        <v>514</v>
      </c>
      <c r="D166" s="184">
        <f ca="1">SUM(D$167:D$169)</f>
        <v>0</v>
      </c>
      <c r="E166" s="184">
        <f t="shared" ref="E166:AA166" ca="1" si="35">SUM(E$167:E$169)</f>
        <v>0</v>
      </c>
      <c r="F166" s="184">
        <f t="shared" ca="1" si="35"/>
        <v>0</v>
      </c>
      <c r="G166" s="184">
        <f t="shared" ca="1" si="35"/>
        <v>0</v>
      </c>
      <c r="H166" s="184">
        <f t="shared" ca="1" si="35"/>
        <v>0</v>
      </c>
      <c r="I166" s="184">
        <f t="shared" ca="1" si="35"/>
        <v>0</v>
      </c>
      <c r="J166" s="184">
        <f t="shared" ca="1" si="35"/>
        <v>0</v>
      </c>
      <c r="K166" s="184">
        <f t="shared" ca="1" si="35"/>
        <v>0</v>
      </c>
      <c r="L166" s="184">
        <f t="shared" ca="1" si="35"/>
        <v>0</v>
      </c>
      <c r="M166" s="184">
        <f t="shared" ca="1" si="35"/>
        <v>0</v>
      </c>
      <c r="N166" s="184">
        <f t="shared" ca="1" si="35"/>
        <v>0</v>
      </c>
      <c r="O166" s="184">
        <f t="shared" ca="1" si="35"/>
        <v>0</v>
      </c>
      <c r="P166" s="184">
        <f t="shared" ca="1" si="35"/>
        <v>0</v>
      </c>
      <c r="Q166" s="184">
        <f t="shared" ca="1" si="35"/>
        <v>0</v>
      </c>
      <c r="R166" s="184">
        <f t="shared" ca="1" si="35"/>
        <v>0</v>
      </c>
      <c r="S166" s="184">
        <f t="shared" ca="1" si="35"/>
        <v>0</v>
      </c>
      <c r="T166" s="184">
        <f t="shared" ca="1" si="35"/>
        <v>0</v>
      </c>
      <c r="U166" s="184">
        <f t="shared" ca="1" si="35"/>
        <v>0</v>
      </c>
      <c r="V166" s="184">
        <f t="shared" ca="1" si="35"/>
        <v>0</v>
      </c>
      <c r="W166" s="184">
        <f t="shared" ca="1" si="35"/>
        <v>0</v>
      </c>
      <c r="X166" s="184">
        <f t="shared" ca="1" si="35"/>
        <v>0</v>
      </c>
      <c r="Y166" s="184">
        <f t="shared" ca="1" si="35"/>
        <v>0</v>
      </c>
      <c r="Z166" s="184">
        <f t="shared" ca="1" si="35"/>
        <v>0</v>
      </c>
      <c r="AA166" s="184">
        <f t="shared" ca="1" si="35"/>
        <v>0</v>
      </c>
      <c r="AC166" s="280">
        <f t="shared" ca="1" si="31"/>
        <v>0</v>
      </c>
      <c r="AE166" s="280">
        <f t="shared" ca="1" si="32"/>
        <v>0</v>
      </c>
    </row>
    <row r="167" spans="1:31" hidden="1" outlineLevel="2" x14ac:dyDescent="0.25">
      <c r="A167" s="185" t="s">
        <v>994</v>
      </c>
      <c r="B167" s="185" t="s">
        <v>574</v>
      </c>
      <c r="C167" s="138" t="s">
        <v>514</v>
      </c>
      <c r="D167" s="186">
        <f ca="1">-SUMIFS(
  desp.m.ik[valor],
  desp.m.ik[nucleo], $B167,
  desp.m.ik[variavel], $B$166,
  desp.m.ik[mes], "&gt;="&amp;D$1,
  desp.m.ik[mes], "&lt;"&amp;EOMONTH(D$1,0)+1
)</f>
        <v>0</v>
      </c>
      <c r="E167" s="186">
        <f ca="1">-SUMIFS(
  desp.m.ik[valor],
  desp.m.ik[nucleo], $B167,
  desp.m.ik[variavel], $B$166,
  desp.m.ik[mes], "&gt;="&amp;E$1,
  desp.m.ik[mes], "&lt;"&amp;EOMONTH(E$1,0)+1
)</f>
        <v>0</v>
      </c>
      <c r="F167" s="186">
        <f ca="1">-SUMIFS(
  desp.m.ik[valor],
  desp.m.ik[nucleo], $B167,
  desp.m.ik[variavel], $B$166,
  desp.m.ik[mes], "&gt;="&amp;F$1,
  desp.m.ik[mes], "&lt;"&amp;EOMONTH(F$1,0)+1
)</f>
        <v>0</v>
      </c>
      <c r="G167" s="186">
        <f ca="1">-SUMIFS(
  desp.m.ik[valor],
  desp.m.ik[nucleo], $B167,
  desp.m.ik[variavel], $B$166,
  desp.m.ik[mes], "&gt;="&amp;G$1,
  desp.m.ik[mes], "&lt;"&amp;EOMONTH(G$1,0)+1
)</f>
        <v>0</v>
      </c>
      <c r="H167" s="186">
        <f ca="1">-SUMIFS(
  desp.m.ik[valor],
  desp.m.ik[nucleo], $B167,
  desp.m.ik[variavel], $B$166,
  desp.m.ik[mes], "&gt;="&amp;H$1,
  desp.m.ik[mes], "&lt;"&amp;EOMONTH(H$1,0)+1
)</f>
        <v>0</v>
      </c>
      <c r="I167" s="186">
        <f ca="1">-SUMIFS(
  desp.m.ik[valor],
  desp.m.ik[nucleo], $B167,
  desp.m.ik[variavel], $B$166,
  desp.m.ik[mes], "&gt;="&amp;I$1,
  desp.m.ik[mes], "&lt;"&amp;EOMONTH(I$1,0)+1
)</f>
        <v>0</v>
      </c>
      <c r="J167" s="186">
        <f ca="1">-SUMIFS(
  desp.m.ik[valor],
  desp.m.ik[nucleo], $B167,
  desp.m.ik[variavel], $B$166,
  desp.m.ik[mes], "&gt;="&amp;J$1,
  desp.m.ik[mes], "&lt;"&amp;EOMONTH(J$1,0)+1
)</f>
        <v>0</v>
      </c>
      <c r="K167" s="186">
        <f ca="1">-SUMIFS(
  desp.m.ik[valor],
  desp.m.ik[nucleo], $B167,
  desp.m.ik[variavel], $B$166,
  desp.m.ik[mes], "&gt;="&amp;K$1,
  desp.m.ik[mes], "&lt;"&amp;EOMONTH(K$1,0)+1
)</f>
        <v>0</v>
      </c>
      <c r="L167" s="186">
        <f ca="1">-SUMIFS(
  desp.m.ik[valor],
  desp.m.ik[nucleo], $B167,
  desp.m.ik[variavel], $B$166,
  desp.m.ik[mes], "&gt;="&amp;L$1,
  desp.m.ik[mes], "&lt;"&amp;EOMONTH(L$1,0)+1
)</f>
        <v>0</v>
      </c>
      <c r="M167" s="186">
        <f ca="1">-SUMIFS(
  desp.m.ik[valor],
  desp.m.ik[nucleo], $B167,
  desp.m.ik[variavel], $B$166,
  desp.m.ik[mes], "&gt;="&amp;M$1,
  desp.m.ik[mes], "&lt;"&amp;EOMONTH(M$1,0)+1
)</f>
        <v>0</v>
      </c>
      <c r="N167" s="186">
        <f ca="1">-SUMIFS(
  desp.m.ik[valor],
  desp.m.ik[nucleo], $B167,
  desp.m.ik[variavel], $B$166,
  desp.m.ik[mes], "&gt;="&amp;N$1,
  desp.m.ik[mes], "&lt;"&amp;EOMONTH(N$1,0)+1
)</f>
        <v>0</v>
      </c>
      <c r="O167" s="186">
        <f ca="1">-SUMIFS(
  desp.m.ik[valor],
  desp.m.ik[nucleo], $B167,
  desp.m.ik[variavel], $B$166,
  desp.m.ik[mes], "&gt;="&amp;O$1,
  desp.m.ik[mes], "&lt;"&amp;EOMONTH(O$1,0)+1
)</f>
        <v>0</v>
      </c>
      <c r="P167" s="186">
        <f ca="1">-SUMIFS(
  desp.m.ik[valor],
  desp.m.ik[nucleo], $B167,
  desp.m.ik[variavel], $B$166,
  desp.m.ik[mes], "&gt;="&amp;P$1,
  desp.m.ik[mes], "&lt;"&amp;EOMONTH(P$1,0)+1
)</f>
        <v>0</v>
      </c>
      <c r="Q167" s="186">
        <f ca="1">-SUMIFS(
  desp.m.ik[valor],
  desp.m.ik[nucleo], $B167,
  desp.m.ik[variavel], $B$166,
  desp.m.ik[mes], "&gt;="&amp;Q$1,
  desp.m.ik[mes], "&lt;"&amp;EOMONTH(Q$1,0)+1
)</f>
        <v>0</v>
      </c>
      <c r="R167" s="186">
        <f ca="1">-SUMIFS(
  desp.m.ik[valor],
  desp.m.ik[nucleo], $B167,
  desp.m.ik[variavel], $B$166,
  desp.m.ik[mes], "&gt;="&amp;R$1,
  desp.m.ik[mes], "&lt;"&amp;EOMONTH(R$1,0)+1
)</f>
        <v>0</v>
      </c>
      <c r="S167" s="186">
        <f ca="1">-SUMIFS(
  desp.m.ik[valor],
  desp.m.ik[nucleo], $B167,
  desp.m.ik[variavel], $B$166,
  desp.m.ik[mes], "&gt;="&amp;S$1,
  desp.m.ik[mes], "&lt;"&amp;EOMONTH(S$1,0)+1
)</f>
        <v>0</v>
      </c>
      <c r="T167" s="186">
        <f ca="1">-SUMIFS(
  desp.m.ik[valor],
  desp.m.ik[nucleo], $B167,
  desp.m.ik[variavel], $B$166,
  desp.m.ik[mes], "&gt;="&amp;T$1,
  desp.m.ik[mes], "&lt;"&amp;EOMONTH(T$1,0)+1
)</f>
        <v>0</v>
      </c>
      <c r="U167" s="186">
        <f ca="1">-SUMIFS(
  desp.m.ik[valor],
  desp.m.ik[nucleo], $B167,
  desp.m.ik[variavel], $B$166,
  desp.m.ik[mes], "&gt;="&amp;U$1,
  desp.m.ik[mes], "&lt;"&amp;EOMONTH(U$1,0)+1
)</f>
        <v>0</v>
      </c>
      <c r="V167" s="186">
        <f ca="1">-SUMIFS(
  desp.m.ik[valor],
  desp.m.ik[nucleo], $B167,
  desp.m.ik[variavel], $B$166,
  desp.m.ik[mes], "&gt;="&amp;V$1,
  desp.m.ik[mes], "&lt;"&amp;EOMONTH(V$1,0)+1
)</f>
        <v>0</v>
      </c>
      <c r="W167" s="186">
        <f ca="1">-SUMIFS(
  desp.m.ik[valor],
  desp.m.ik[nucleo], $B167,
  desp.m.ik[variavel], $B$166,
  desp.m.ik[mes], "&gt;="&amp;W$1,
  desp.m.ik[mes], "&lt;"&amp;EOMONTH(W$1,0)+1
)</f>
        <v>0</v>
      </c>
      <c r="X167" s="186">
        <f ca="1">-SUMIFS(
  desp.m.ik[valor],
  desp.m.ik[nucleo], $B167,
  desp.m.ik[variavel], $B$166,
  desp.m.ik[mes], "&gt;="&amp;X$1,
  desp.m.ik[mes], "&lt;"&amp;EOMONTH(X$1,0)+1
)</f>
        <v>0</v>
      </c>
      <c r="Y167" s="186">
        <f ca="1">-SUMIFS(
  desp.m.ik[valor],
  desp.m.ik[nucleo], $B167,
  desp.m.ik[variavel], $B$166,
  desp.m.ik[mes], "&gt;="&amp;Y$1,
  desp.m.ik[mes], "&lt;"&amp;EOMONTH(Y$1,0)+1
)</f>
        <v>0</v>
      </c>
      <c r="Z167" s="186">
        <f ca="1">-SUMIFS(
  desp.m.ik[valor],
  desp.m.ik[nucleo], $B167,
  desp.m.ik[variavel], $B$166,
  desp.m.ik[mes], "&gt;="&amp;Z$1,
  desp.m.ik[mes], "&lt;"&amp;EOMONTH(Z$1,0)+1
)</f>
        <v>0</v>
      </c>
      <c r="AA167" s="186">
        <f ca="1">-SUMIFS(
  desp.m.ik[valor],
  desp.m.ik[nucleo], $B167,
  desp.m.ik[variavel], $B$166,
  desp.m.ik[mes], "&gt;="&amp;AA$1,
  desp.m.ik[mes], "&lt;"&amp;EOMONTH(AA$1,0)+1
)</f>
        <v>0</v>
      </c>
      <c r="AC167" s="178">
        <f t="shared" ca="1" si="31"/>
        <v>0</v>
      </c>
      <c r="AE167" s="178">
        <f t="shared" ca="1" si="32"/>
        <v>0</v>
      </c>
    </row>
    <row r="168" spans="1:31" hidden="1" outlineLevel="2" x14ac:dyDescent="0.25">
      <c r="A168" s="185" t="s">
        <v>995</v>
      </c>
      <c r="B168" s="185" t="s">
        <v>573</v>
      </c>
      <c r="C168" s="138" t="s">
        <v>514</v>
      </c>
      <c r="D168" s="186">
        <f ca="1">-SUMIFS(
  desp.m.ik[valor],
  desp.m.ik[nucleo], $B168,
  desp.m.ik[variavel], $B$166,
  desp.m.ik[mes], "&gt;="&amp;D$1,
  desp.m.ik[mes], "&lt;"&amp;EOMONTH(D$1,0)+1
)</f>
        <v>0</v>
      </c>
      <c r="E168" s="186">
        <f ca="1">-SUMIFS(
  desp.m.ik[valor],
  desp.m.ik[nucleo], $B168,
  desp.m.ik[variavel], $B$166,
  desp.m.ik[mes], "&gt;="&amp;E$1,
  desp.m.ik[mes], "&lt;"&amp;EOMONTH(E$1,0)+1
)</f>
        <v>0</v>
      </c>
      <c r="F168" s="186">
        <f ca="1">-SUMIFS(
  desp.m.ik[valor],
  desp.m.ik[nucleo], $B168,
  desp.m.ik[variavel], $B$166,
  desp.m.ik[mes], "&gt;="&amp;F$1,
  desp.m.ik[mes], "&lt;"&amp;EOMONTH(F$1,0)+1
)</f>
        <v>0</v>
      </c>
      <c r="G168" s="186">
        <f ca="1">-SUMIFS(
  desp.m.ik[valor],
  desp.m.ik[nucleo], $B168,
  desp.m.ik[variavel], $B$166,
  desp.m.ik[mes], "&gt;="&amp;G$1,
  desp.m.ik[mes], "&lt;"&amp;EOMONTH(G$1,0)+1
)</f>
        <v>0</v>
      </c>
      <c r="H168" s="186">
        <f ca="1">-SUMIFS(
  desp.m.ik[valor],
  desp.m.ik[nucleo], $B168,
  desp.m.ik[variavel], $B$166,
  desp.m.ik[mes], "&gt;="&amp;H$1,
  desp.m.ik[mes], "&lt;"&amp;EOMONTH(H$1,0)+1
)</f>
        <v>0</v>
      </c>
      <c r="I168" s="186">
        <f ca="1">-SUMIFS(
  desp.m.ik[valor],
  desp.m.ik[nucleo], $B168,
  desp.m.ik[variavel], $B$166,
  desp.m.ik[mes], "&gt;="&amp;I$1,
  desp.m.ik[mes], "&lt;"&amp;EOMONTH(I$1,0)+1
)</f>
        <v>0</v>
      </c>
      <c r="J168" s="186">
        <f ca="1">-SUMIFS(
  desp.m.ik[valor],
  desp.m.ik[nucleo], $B168,
  desp.m.ik[variavel], $B$166,
  desp.m.ik[mes], "&gt;="&amp;J$1,
  desp.m.ik[mes], "&lt;"&amp;EOMONTH(J$1,0)+1
)</f>
        <v>0</v>
      </c>
      <c r="K168" s="186">
        <f ca="1">-SUMIFS(
  desp.m.ik[valor],
  desp.m.ik[nucleo], $B168,
  desp.m.ik[variavel], $B$166,
  desp.m.ik[mes], "&gt;="&amp;K$1,
  desp.m.ik[mes], "&lt;"&amp;EOMONTH(K$1,0)+1
)</f>
        <v>0</v>
      </c>
      <c r="L168" s="186">
        <f ca="1">-SUMIFS(
  desp.m.ik[valor],
  desp.m.ik[nucleo], $B168,
  desp.m.ik[variavel], $B$166,
  desp.m.ik[mes], "&gt;="&amp;L$1,
  desp.m.ik[mes], "&lt;"&amp;EOMONTH(L$1,0)+1
)</f>
        <v>0</v>
      </c>
      <c r="M168" s="186">
        <f ca="1">-SUMIFS(
  desp.m.ik[valor],
  desp.m.ik[nucleo], $B168,
  desp.m.ik[variavel], $B$166,
  desp.m.ik[mes], "&gt;="&amp;M$1,
  desp.m.ik[mes], "&lt;"&amp;EOMONTH(M$1,0)+1
)</f>
        <v>0</v>
      </c>
      <c r="N168" s="186">
        <f ca="1">-SUMIFS(
  desp.m.ik[valor],
  desp.m.ik[nucleo], $B168,
  desp.m.ik[variavel], $B$166,
  desp.m.ik[mes], "&gt;="&amp;N$1,
  desp.m.ik[mes], "&lt;"&amp;EOMONTH(N$1,0)+1
)</f>
        <v>0</v>
      </c>
      <c r="O168" s="186">
        <f ca="1">-SUMIFS(
  desp.m.ik[valor],
  desp.m.ik[nucleo], $B168,
  desp.m.ik[variavel], $B$166,
  desp.m.ik[mes], "&gt;="&amp;O$1,
  desp.m.ik[mes], "&lt;"&amp;EOMONTH(O$1,0)+1
)</f>
        <v>0</v>
      </c>
      <c r="P168" s="186">
        <f ca="1">-SUMIFS(
  desp.m.ik[valor],
  desp.m.ik[nucleo], $B168,
  desp.m.ik[variavel], $B$166,
  desp.m.ik[mes], "&gt;="&amp;P$1,
  desp.m.ik[mes], "&lt;"&amp;EOMONTH(P$1,0)+1
)</f>
        <v>0</v>
      </c>
      <c r="Q168" s="186">
        <f ca="1">-SUMIFS(
  desp.m.ik[valor],
  desp.m.ik[nucleo], $B168,
  desp.m.ik[variavel], $B$166,
  desp.m.ik[mes], "&gt;="&amp;Q$1,
  desp.m.ik[mes], "&lt;"&amp;EOMONTH(Q$1,0)+1
)</f>
        <v>0</v>
      </c>
      <c r="R168" s="186">
        <f ca="1">-SUMIFS(
  desp.m.ik[valor],
  desp.m.ik[nucleo], $B168,
  desp.m.ik[variavel], $B$166,
  desp.m.ik[mes], "&gt;="&amp;R$1,
  desp.m.ik[mes], "&lt;"&amp;EOMONTH(R$1,0)+1
)</f>
        <v>0</v>
      </c>
      <c r="S168" s="186">
        <f ca="1">-SUMIFS(
  desp.m.ik[valor],
  desp.m.ik[nucleo], $B168,
  desp.m.ik[variavel], $B$166,
  desp.m.ik[mes], "&gt;="&amp;S$1,
  desp.m.ik[mes], "&lt;"&amp;EOMONTH(S$1,0)+1
)</f>
        <v>0</v>
      </c>
      <c r="T168" s="186">
        <f ca="1">-SUMIFS(
  desp.m.ik[valor],
  desp.m.ik[nucleo], $B168,
  desp.m.ik[variavel], $B$166,
  desp.m.ik[mes], "&gt;="&amp;T$1,
  desp.m.ik[mes], "&lt;"&amp;EOMONTH(T$1,0)+1
)</f>
        <v>0</v>
      </c>
      <c r="U168" s="186">
        <f ca="1">-SUMIFS(
  desp.m.ik[valor],
  desp.m.ik[nucleo], $B168,
  desp.m.ik[variavel], $B$166,
  desp.m.ik[mes], "&gt;="&amp;U$1,
  desp.m.ik[mes], "&lt;"&amp;EOMONTH(U$1,0)+1
)</f>
        <v>0</v>
      </c>
      <c r="V168" s="186">
        <f ca="1">-SUMIFS(
  desp.m.ik[valor],
  desp.m.ik[nucleo], $B168,
  desp.m.ik[variavel], $B$166,
  desp.m.ik[mes], "&gt;="&amp;V$1,
  desp.m.ik[mes], "&lt;"&amp;EOMONTH(V$1,0)+1
)</f>
        <v>0</v>
      </c>
      <c r="W168" s="186">
        <f ca="1">-SUMIFS(
  desp.m.ik[valor],
  desp.m.ik[nucleo], $B168,
  desp.m.ik[variavel], $B$166,
  desp.m.ik[mes], "&gt;="&amp;W$1,
  desp.m.ik[mes], "&lt;"&amp;EOMONTH(W$1,0)+1
)</f>
        <v>0</v>
      </c>
      <c r="X168" s="186">
        <f ca="1">-SUMIFS(
  desp.m.ik[valor],
  desp.m.ik[nucleo], $B168,
  desp.m.ik[variavel], $B$166,
  desp.m.ik[mes], "&gt;="&amp;X$1,
  desp.m.ik[mes], "&lt;"&amp;EOMONTH(X$1,0)+1
)</f>
        <v>0</v>
      </c>
      <c r="Y168" s="186">
        <f ca="1">-SUMIFS(
  desp.m.ik[valor],
  desp.m.ik[nucleo], $B168,
  desp.m.ik[variavel], $B$166,
  desp.m.ik[mes], "&gt;="&amp;Y$1,
  desp.m.ik[mes], "&lt;"&amp;EOMONTH(Y$1,0)+1
)</f>
        <v>0</v>
      </c>
      <c r="Z168" s="186">
        <f ca="1">-SUMIFS(
  desp.m.ik[valor],
  desp.m.ik[nucleo], $B168,
  desp.m.ik[variavel], $B$166,
  desp.m.ik[mes], "&gt;="&amp;Z$1,
  desp.m.ik[mes], "&lt;"&amp;EOMONTH(Z$1,0)+1
)</f>
        <v>0</v>
      </c>
      <c r="AA168" s="186">
        <f ca="1">-SUMIFS(
  desp.m.ik[valor],
  desp.m.ik[nucleo], $B168,
  desp.m.ik[variavel], $B$166,
  desp.m.ik[mes], "&gt;="&amp;AA$1,
  desp.m.ik[mes], "&lt;"&amp;EOMONTH(AA$1,0)+1
)</f>
        <v>0</v>
      </c>
      <c r="AC168" s="178">
        <f t="shared" ca="1" si="31"/>
        <v>0</v>
      </c>
      <c r="AE168" s="178">
        <f t="shared" ca="1" si="32"/>
        <v>0</v>
      </c>
    </row>
    <row r="169" spans="1:31" hidden="1" outlineLevel="2" x14ac:dyDescent="0.25">
      <c r="A169" s="185" t="s">
        <v>994</v>
      </c>
      <c r="B169" s="185" t="s">
        <v>571</v>
      </c>
      <c r="C169" s="138" t="s">
        <v>514</v>
      </c>
      <c r="D169" s="186">
        <f ca="1">-SUMIFS(
  desp.m.ik[valor],
  desp.m.ik[nucleo], $B169,
  desp.m.ik[variavel], $B$166,
  desp.m.ik[mes], "&gt;="&amp;D$1,
  desp.m.ik[mes], "&lt;"&amp;EOMONTH(D$1,0)+1
)</f>
        <v>0</v>
      </c>
      <c r="E169" s="186">
        <f ca="1">-SUMIFS(
  desp.m.ik[valor],
  desp.m.ik[nucleo], $B169,
  desp.m.ik[variavel], $B$166,
  desp.m.ik[mes], "&gt;="&amp;E$1,
  desp.m.ik[mes], "&lt;"&amp;EOMONTH(E$1,0)+1
)</f>
        <v>0</v>
      </c>
      <c r="F169" s="186">
        <f ca="1">-SUMIFS(
  desp.m.ik[valor],
  desp.m.ik[nucleo], $B169,
  desp.m.ik[variavel], $B$166,
  desp.m.ik[mes], "&gt;="&amp;F$1,
  desp.m.ik[mes], "&lt;"&amp;EOMONTH(F$1,0)+1
)</f>
        <v>0</v>
      </c>
      <c r="G169" s="186">
        <f ca="1">-SUMIFS(
  desp.m.ik[valor],
  desp.m.ik[nucleo], $B169,
  desp.m.ik[variavel], $B$166,
  desp.m.ik[mes], "&gt;="&amp;G$1,
  desp.m.ik[mes], "&lt;"&amp;EOMONTH(G$1,0)+1
)</f>
        <v>0</v>
      </c>
      <c r="H169" s="186">
        <f ca="1">-SUMIFS(
  desp.m.ik[valor],
  desp.m.ik[nucleo], $B169,
  desp.m.ik[variavel], $B$166,
  desp.m.ik[mes], "&gt;="&amp;H$1,
  desp.m.ik[mes], "&lt;"&amp;EOMONTH(H$1,0)+1
)</f>
        <v>0</v>
      </c>
      <c r="I169" s="186">
        <f ca="1">-SUMIFS(
  desp.m.ik[valor],
  desp.m.ik[nucleo], $B169,
  desp.m.ik[variavel], $B$166,
  desp.m.ik[mes], "&gt;="&amp;I$1,
  desp.m.ik[mes], "&lt;"&amp;EOMONTH(I$1,0)+1
)</f>
        <v>0</v>
      </c>
      <c r="J169" s="186">
        <f ca="1">-SUMIFS(
  desp.m.ik[valor],
  desp.m.ik[nucleo], $B169,
  desp.m.ik[variavel], $B$166,
  desp.m.ik[mes], "&gt;="&amp;J$1,
  desp.m.ik[mes], "&lt;"&amp;EOMONTH(J$1,0)+1
)</f>
        <v>0</v>
      </c>
      <c r="K169" s="186">
        <f ca="1">-SUMIFS(
  desp.m.ik[valor],
  desp.m.ik[nucleo], $B169,
  desp.m.ik[variavel], $B$166,
  desp.m.ik[mes], "&gt;="&amp;K$1,
  desp.m.ik[mes], "&lt;"&amp;EOMONTH(K$1,0)+1
)</f>
        <v>0</v>
      </c>
      <c r="L169" s="186">
        <f ca="1">-SUMIFS(
  desp.m.ik[valor],
  desp.m.ik[nucleo], $B169,
  desp.m.ik[variavel], $B$166,
  desp.m.ik[mes], "&gt;="&amp;L$1,
  desp.m.ik[mes], "&lt;"&amp;EOMONTH(L$1,0)+1
)</f>
        <v>0</v>
      </c>
      <c r="M169" s="186">
        <f ca="1">-SUMIFS(
  desp.m.ik[valor],
  desp.m.ik[nucleo], $B169,
  desp.m.ik[variavel], $B$166,
  desp.m.ik[mes], "&gt;="&amp;M$1,
  desp.m.ik[mes], "&lt;"&amp;EOMONTH(M$1,0)+1
)</f>
        <v>0</v>
      </c>
      <c r="N169" s="186">
        <f ca="1">-SUMIFS(
  desp.m.ik[valor],
  desp.m.ik[nucleo], $B169,
  desp.m.ik[variavel], $B$166,
  desp.m.ik[mes], "&gt;="&amp;N$1,
  desp.m.ik[mes], "&lt;"&amp;EOMONTH(N$1,0)+1
)</f>
        <v>0</v>
      </c>
      <c r="O169" s="186">
        <f ca="1">-SUMIFS(
  desp.m.ik[valor],
  desp.m.ik[nucleo], $B169,
  desp.m.ik[variavel], $B$166,
  desp.m.ik[mes], "&gt;="&amp;O$1,
  desp.m.ik[mes], "&lt;"&amp;EOMONTH(O$1,0)+1
)</f>
        <v>0</v>
      </c>
      <c r="P169" s="186">
        <f ca="1">-SUMIFS(
  desp.m.ik[valor],
  desp.m.ik[nucleo], $B169,
  desp.m.ik[variavel], $B$166,
  desp.m.ik[mes], "&gt;="&amp;P$1,
  desp.m.ik[mes], "&lt;"&amp;EOMONTH(P$1,0)+1
)</f>
        <v>0</v>
      </c>
      <c r="Q169" s="186">
        <f ca="1">-SUMIFS(
  desp.m.ik[valor],
  desp.m.ik[nucleo], $B169,
  desp.m.ik[variavel], $B$166,
  desp.m.ik[mes], "&gt;="&amp;Q$1,
  desp.m.ik[mes], "&lt;"&amp;EOMONTH(Q$1,0)+1
)</f>
        <v>0</v>
      </c>
      <c r="R169" s="186">
        <f ca="1">-SUMIFS(
  desp.m.ik[valor],
  desp.m.ik[nucleo], $B169,
  desp.m.ik[variavel], $B$166,
  desp.m.ik[mes], "&gt;="&amp;R$1,
  desp.m.ik[mes], "&lt;"&amp;EOMONTH(R$1,0)+1
)</f>
        <v>0</v>
      </c>
      <c r="S169" s="186">
        <f ca="1">-SUMIFS(
  desp.m.ik[valor],
  desp.m.ik[nucleo], $B169,
  desp.m.ik[variavel], $B$166,
  desp.m.ik[mes], "&gt;="&amp;S$1,
  desp.m.ik[mes], "&lt;"&amp;EOMONTH(S$1,0)+1
)</f>
        <v>0</v>
      </c>
      <c r="T169" s="186">
        <f ca="1">-SUMIFS(
  desp.m.ik[valor],
  desp.m.ik[nucleo], $B169,
  desp.m.ik[variavel], $B$166,
  desp.m.ik[mes], "&gt;="&amp;T$1,
  desp.m.ik[mes], "&lt;"&amp;EOMONTH(T$1,0)+1
)</f>
        <v>0</v>
      </c>
      <c r="U169" s="186">
        <f ca="1">-SUMIFS(
  desp.m.ik[valor],
  desp.m.ik[nucleo], $B169,
  desp.m.ik[variavel], $B$166,
  desp.m.ik[mes], "&gt;="&amp;U$1,
  desp.m.ik[mes], "&lt;"&amp;EOMONTH(U$1,0)+1
)</f>
        <v>0</v>
      </c>
      <c r="V169" s="186">
        <f ca="1">-SUMIFS(
  desp.m.ik[valor],
  desp.m.ik[nucleo], $B169,
  desp.m.ik[variavel], $B$166,
  desp.m.ik[mes], "&gt;="&amp;V$1,
  desp.m.ik[mes], "&lt;"&amp;EOMONTH(V$1,0)+1
)</f>
        <v>0</v>
      </c>
      <c r="W169" s="186">
        <f ca="1">-SUMIFS(
  desp.m.ik[valor],
  desp.m.ik[nucleo], $B169,
  desp.m.ik[variavel], $B$166,
  desp.m.ik[mes], "&gt;="&amp;W$1,
  desp.m.ik[mes], "&lt;"&amp;EOMONTH(W$1,0)+1
)</f>
        <v>0</v>
      </c>
      <c r="X169" s="186">
        <f ca="1">-SUMIFS(
  desp.m.ik[valor],
  desp.m.ik[nucleo], $B169,
  desp.m.ik[variavel], $B$166,
  desp.m.ik[mes], "&gt;="&amp;X$1,
  desp.m.ik[mes], "&lt;"&amp;EOMONTH(X$1,0)+1
)</f>
        <v>0</v>
      </c>
      <c r="Y169" s="186">
        <f ca="1">-SUMIFS(
  desp.m.ik[valor],
  desp.m.ik[nucleo], $B169,
  desp.m.ik[variavel], $B$166,
  desp.m.ik[mes], "&gt;="&amp;Y$1,
  desp.m.ik[mes], "&lt;"&amp;EOMONTH(Y$1,0)+1
)</f>
        <v>0</v>
      </c>
      <c r="Z169" s="186">
        <f ca="1">-SUMIFS(
  desp.m.ik[valor],
  desp.m.ik[nucleo], $B169,
  desp.m.ik[variavel], $B$166,
  desp.m.ik[mes], "&gt;="&amp;Z$1,
  desp.m.ik[mes], "&lt;"&amp;EOMONTH(Z$1,0)+1
)</f>
        <v>0</v>
      </c>
      <c r="AA169" s="186">
        <f ca="1">-SUMIFS(
  desp.m.ik[valor],
  desp.m.ik[nucleo], $B169,
  desp.m.ik[variavel], $B$166,
  desp.m.ik[mes], "&gt;="&amp;AA$1,
  desp.m.ik[mes], "&lt;"&amp;EOMONTH(AA$1,0)+1
)</f>
        <v>0</v>
      </c>
      <c r="AC169" s="178">
        <f t="shared" ca="1" si="31"/>
        <v>0</v>
      </c>
      <c r="AE169" s="178">
        <f t="shared" ca="1" si="32"/>
        <v>0</v>
      </c>
    </row>
    <row r="170" spans="1:31" hidden="1" outlineLevel="1" x14ac:dyDescent="0.25">
      <c r="A170" s="182" t="s">
        <v>1082</v>
      </c>
      <c r="B170" s="182" t="s">
        <v>691</v>
      </c>
      <c r="C170" s="183" t="s">
        <v>514</v>
      </c>
      <c r="D170" s="184" cm="1">
        <f t="array" aca="1" ref="D170" ca="1">-SUMPRODUCT(
  desp.m.ik[valor] *
  (desp.m.ik[mes] &gt;= D$1) *
  (desp.m.ik[mes] &lt; EOMONTH(D$1,0)+1) *
  --ISNA(MATCH(desp.m.ik[variavel], {"NF - Mão de Obra";"Operações Financeiras/juros";"Operações Financeiras - Geral";"Operações Financeira";"Terreno"}, 0))
)
-SUM(D$33,D$51,D$71,D$67,D$85,D$80,D$87,D$103,D$126,D$153,D$164,D$166,D$116)
-D$250</f>
        <v>0</v>
      </c>
      <c r="E170" s="184" cm="1">
        <f t="array" aca="1" ref="E170" ca="1">-SUMPRODUCT(
  desp.m.ik[valor] *
  (desp.m.ik[mes] &gt;= E$1) *
  (desp.m.ik[mes] &lt; EOMONTH(E$1,0)+1) *
  --ISNA(MATCH(desp.m.ik[variavel], {"NF - Mão de Obra";"Operações Financeiras/juros";"Operações Financeiras - Geral";"Operações Financeira";"Terreno"}, 0))
)
-SUM(E$33,E$51,E$71,E$67,E$85,E$80,E$87,E$103,E$126,E$153,E$164,E$166,E$116)
-E$250</f>
        <v>0</v>
      </c>
      <c r="F170" s="184" cm="1">
        <f t="array" aca="1" ref="F170" ca="1">-SUMPRODUCT(
  desp.m.ik[valor] *
  (desp.m.ik[mes] &gt;= F$1) *
  (desp.m.ik[mes] &lt; EOMONTH(F$1,0)+1) *
  --ISNA(MATCH(desp.m.ik[variavel], {"NF - Mão de Obra";"Operações Financeiras/juros";"Operações Financeiras - Geral";"Operações Financeira";"Terreno"}, 0))
)
-SUM(F$33,F$51,F$71,F$67,F$85,F$80,F$87,F$103,F$126,F$153,F$164,F$166,F$116)
-F$250</f>
        <v>0</v>
      </c>
      <c r="G170" s="184" cm="1">
        <f t="array" aca="1" ref="G170" ca="1">-SUMPRODUCT(
  desp.m.ik[valor] *
  (desp.m.ik[mes] &gt;= G$1) *
  (desp.m.ik[mes] &lt; EOMONTH(G$1,0)+1) *
  --ISNA(MATCH(desp.m.ik[variavel], {"NF - Mão de Obra";"Operações Financeiras/juros";"Operações Financeiras - Geral";"Operações Financeira";"Terreno"}, 0))
)
-SUM(G$33,G$51,G$71,G$67,G$85,G$80,G$87,G$103,G$126,G$153,G$164,G$166,G$116)
-G$250</f>
        <v>0</v>
      </c>
      <c r="H170" s="184" cm="1">
        <f t="array" aca="1" ref="H170" ca="1">-SUMPRODUCT(
  desp.m.ik[valor] *
  (desp.m.ik[mes] &gt;= H$1) *
  (desp.m.ik[mes] &lt; EOMONTH(H$1,0)+1) *
  --ISNA(MATCH(desp.m.ik[variavel], {"NF - Mão de Obra";"Operações Financeiras/juros";"Operações Financeiras - Geral";"Operações Financeira";"Terreno"}, 0))
)
-SUM(H$33,H$51,H$71,H$67,H$85,H$80,H$87,H$103,H$126,H$153,H$164,H$166,H$116)
-H$250</f>
        <v>0</v>
      </c>
      <c r="I170" s="184" cm="1">
        <f t="array" aca="1" ref="I170" ca="1">-SUMPRODUCT(
  desp.m.ik[valor] *
  (desp.m.ik[mes] &gt;= I$1) *
  (desp.m.ik[mes] &lt; EOMONTH(I$1,0)+1) *
  --ISNA(MATCH(desp.m.ik[variavel], {"NF - Mão de Obra";"Operações Financeiras/juros";"Operações Financeiras - Geral";"Operações Financeira";"Terreno"}, 0))
)
-SUM(I$33,I$51,I$71,I$67,I$85,I$80,I$87,I$103,I$126,I$153,I$164,I$166,I$116)
-I$250</f>
        <v>0</v>
      </c>
      <c r="J170" s="184" cm="1">
        <f t="array" aca="1" ref="J170" ca="1">-SUMPRODUCT(
  desp.m.ik[valor] *
  (desp.m.ik[mes] &gt;= J$1) *
  (desp.m.ik[mes] &lt; EOMONTH(J$1,0)+1) *
  --ISNA(MATCH(desp.m.ik[variavel], {"NF - Mão de Obra";"Operações Financeiras/juros";"Operações Financeiras - Geral";"Operações Financeira";"Terreno"}, 0))
)
-SUM(J$33,J$51,J$71,J$67,J$85,J$80,J$87,J$103,J$126,J$153,J$164,J$166,J$116)
-J$250</f>
        <v>0</v>
      </c>
      <c r="K170" s="184" cm="1">
        <f t="array" aca="1" ref="K170" ca="1">-SUMPRODUCT(
  desp.m.ik[valor] *
  (desp.m.ik[mes] &gt;= K$1) *
  (desp.m.ik[mes] &lt; EOMONTH(K$1,0)+1) *
  --ISNA(MATCH(desp.m.ik[variavel], {"NF - Mão de Obra";"Operações Financeiras/juros";"Operações Financeiras - Geral";"Operações Financeira";"Terreno"}, 0))
)
-SUM(K$33,K$51,K$71,K$67,K$85,K$80,K$87,K$103,K$126,K$153,K$164,K$166,K$116)
-K$250</f>
        <v>0</v>
      </c>
      <c r="L170" s="184" cm="1">
        <f t="array" aca="1" ref="L170" ca="1">-SUMPRODUCT(
  desp.m.ik[valor] *
  (desp.m.ik[mes] &gt;= L$1) *
  (desp.m.ik[mes] &lt; EOMONTH(L$1,0)+1) *
  --ISNA(MATCH(desp.m.ik[variavel], {"NF - Mão de Obra";"Operações Financeiras/juros";"Operações Financeiras - Geral";"Operações Financeira";"Terreno"}, 0))
)
-SUM(L$33,L$51,L$71,L$67,L$85,L$80,L$87,L$103,L$126,L$153,L$164,L$166,L$116)
-L$250</f>
        <v>0</v>
      </c>
      <c r="M170" s="184" cm="1">
        <f t="array" aca="1" ref="M170" ca="1">-SUMPRODUCT(
  desp.m.ik[valor] *
  (desp.m.ik[mes] &gt;= M$1) *
  (desp.m.ik[mes] &lt; EOMONTH(M$1,0)+1) *
  --ISNA(MATCH(desp.m.ik[variavel], {"NF - Mão de Obra";"Operações Financeiras/juros";"Operações Financeiras - Geral";"Operações Financeira";"Terreno"}, 0))
)
-SUM(M$33,M$51,M$71,M$67,M$85,M$80,M$87,M$103,M$126,M$153,M$164,M$166,M$116)
-M$250</f>
        <v>0</v>
      </c>
      <c r="N170" s="184" cm="1">
        <f t="array" aca="1" ref="N170" ca="1">-SUMPRODUCT(
  desp.m.ik[valor] *
  (desp.m.ik[mes] &gt;= N$1) *
  (desp.m.ik[mes] &lt; EOMONTH(N$1,0)+1) *
  --ISNA(MATCH(desp.m.ik[variavel], {"NF - Mão de Obra";"Operações Financeiras/juros";"Operações Financeiras - Geral";"Operações Financeira";"Terreno"}, 0))
)
-SUM(N$33,N$51,N$71,N$67,N$85,N$80,N$87,N$103,N$126,N$153,N$164,N$166,N$116)
-N$250</f>
        <v>0</v>
      </c>
      <c r="O170" s="184" cm="1">
        <f t="array" aca="1" ref="O170" ca="1">-SUMPRODUCT(
  desp.m.ik[valor] *
  (desp.m.ik[mes] &gt;= O$1) *
  (desp.m.ik[mes] &lt; EOMONTH(O$1,0)+1) *
  --ISNA(MATCH(desp.m.ik[variavel], {"NF - Mão de Obra";"Operações Financeiras/juros";"Operações Financeiras - Geral";"Operações Financeira";"Terreno"}, 0))
)
-SUM(O$33,O$51,O$71,O$67,O$85,O$80,O$87,O$103,O$126,O$153,O$164,O$166,O$116)
-O$250</f>
        <v>0</v>
      </c>
      <c r="P170" s="184" cm="1">
        <f t="array" aca="1" ref="P170" ca="1">-SUMPRODUCT(
  desp.m.ik[valor] *
  (desp.m.ik[mes] &gt;= P$1) *
  (desp.m.ik[mes] &lt; EOMONTH(P$1,0)+1) *
  --ISNA(MATCH(desp.m.ik[variavel], {"NF - Mão de Obra";"Operações Financeiras/juros";"Operações Financeiras - Geral";"Operações Financeira";"Terreno"}, 0))
)
-SUM(P$33,P$51,P$71,P$67,P$85,P$80,P$87,P$103,P$126,P$153,P$164,P$166,P$116)
-P$250</f>
        <v>0</v>
      </c>
      <c r="Q170" s="184" cm="1">
        <f t="array" aca="1" ref="Q170" ca="1">-SUMPRODUCT(
  desp.m.ik[valor] *
  (desp.m.ik[mes] &gt;= Q$1) *
  (desp.m.ik[mes] &lt; EOMONTH(Q$1,0)+1) *
  --ISNA(MATCH(desp.m.ik[variavel], {"NF - Mão de Obra";"Operações Financeiras/juros";"Operações Financeiras - Geral";"Operações Financeira";"Terreno"}, 0))
)
-SUM(Q$33,Q$51,Q$71,Q$67,Q$85,Q$80,Q$87,Q$103,Q$126,Q$153,Q$164,Q$166,Q$116)
-Q$250</f>
        <v>0</v>
      </c>
      <c r="R170" s="184" cm="1">
        <f t="array" aca="1" ref="R170" ca="1">-SUMPRODUCT(
  desp.m.ik[valor] *
  (desp.m.ik[mes] &gt;= R$1) *
  (desp.m.ik[mes] &lt; EOMONTH(R$1,0)+1) *
  --ISNA(MATCH(desp.m.ik[variavel], {"NF - Mão de Obra";"Operações Financeiras/juros";"Operações Financeiras - Geral";"Operações Financeira";"Terreno"}, 0))
)
-SUM(R$33,R$51,R$71,R$67,R$85,R$80,R$87,R$103,R$126,R$153,R$164,R$166,R$116)
-R$250</f>
        <v>0</v>
      </c>
      <c r="S170" s="184" cm="1">
        <f t="array" aca="1" ref="S170" ca="1">-SUMPRODUCT(
  desp.m.ik[valor] *
  (desp.m.ik[mes] &gt;= S$1) *
  (desp.m.ik[mes] &lt; EOMONTH(S$1,0)+1) *
  --ISNA(MATCH(desp.m.ik[variavel], {"NF - Mão de Obra";"Operações Financeiras/juros";"Operações Financeiras - Geral";"Operações Financeira";"Terreno"}, 0))
)
-SUM(S$33,S$51,S$71,S$67,S$85,S$80,S$87,S$103,S$126,S$153,S$164,S$166,S$116)
-S$250</f>
        <v>0</v>
      </c>
      <c r="T170" s="184" cm="1">
        <f t="array" aca="1" ref="T170" ca="1">-SUMPRODUCT(
  desp.m.ik[valor] *
  (desp.m.ik[mes] &gt;= T$1) *
  (desp.m.ik[mes] &lt; EOMONTH(T$1,0)+1) *
  --ISNA(MATCH(desp.m.ik[variavel], {"NF - Mão de Obra";"Operações Financeiras/juros";"Operações Financeiras - Geral";"Operações Financeira";"Terreno"}, 0))
)
-SUM(T$33,T$51,T$71,T$67,T$85,T$80,T$87,T$103,T$126,T$153,T$164,T$166,T$116)
-T$250</f>
        <v>0</v>
      </c>
      <c r="U170" s="184" cm="1">
        <f t="array" aca="1" ref="U170" ca="1">-SUMPRODUCT(
  desp.m.ik[valor] *
  (desp.m.ik[mes] &gt;= U$1) *
  (desp.m.ik[mes] &lt; EOMONTH(U$1,0)+1) *
  --ISNA(MATCH(desp.m.ik[variavel], {"NF - Mão de Obra";"Operações Financeiras/juros";"Operações Financeiras - Geral";"Operações Financeira";"Terreno"}, 0))
)
-SUM(U$33,U$51,U$71,U$67,U$85,U$80,U$87,U$103,U$126,U$153,U$164,U$166,U$116)
-U$250</f>
        <v>0</v>
      </c>
      <c r="V170" s="184" cm="1">
        <f t="array" aca="1" ref="V170" ca="1">-SUMPRODUCT(
  desp.m.ik[valor] *
  (desp.m.ik[mes] &gt;= V$1) *
  (desp.m.ik[mes] &lt; EOMONTH(V$1,0)+1) *
  --ISNA(MATCH(desp.m.ik[variavel], {"NF - Mão de Obra";"Operações Financeiras/juros";"Operações Financeiras - Geral";"Operações Financeira";"Terreno"}, 0))
)
-SUM(V$33,V$51,V$71,V$67,V$85,V$80,V$87,V$103,V$126,V$153,V$164,V$166,V$116)
-V$250</f>
        <v>0</v>
      </c>
      <c r="W170" s="184" cm="1">
        <f t="array" aca="1" ref="W170" ca="1">-SUMPRODUCT(
  desp.m.ik[valor] *
  (desp.m.ik[mes] &gt;= W$1) *
  (desp.m.ik[mes] &lt; EOMONTH(W$1,0)+1) *
  --ISNA(MATCH(desp.m.ik[variavel], {"NF - Mão de Obra";"Operações Financeiras/juros";"Operações Financeiras - Geral";"Operações Financeira";"Terreno"}, 0))
)
-SUM(W$33,W$51,W$71,W$67,W$85,W$80,W$87,W$103,W$126,W$153,W$164,W$166,W$116)
-W$250</f>
        <v>0</v>
      </c>
      <c r="X170" s="184" cm="1">
        <f t="array" aca="1" ref="X170" ca="1">-SUMPRODUCT(
  desp.m.ik[valor] *
  (desp.m.ik[mes] &gt;= X$1) *
  (desp.m.ik[mes] &lt; EOMONTH(X$1,0)+1) *
  --ISNA(MATCH(desp.m.ik[variavel], {"NF - Mão de Obra";"Operações Financeiras/juros";"Operações Financeiras - Geral";"Operações Financeira";"Terreno"}, 0))
)
-SUM(X$33,X$51,X$71,X$67,X$85,X$80,X$87,X$103,X$126,X$153,X$164,X$166,X$116)
-X$250</f>
        <v>0</v>
      </c>
      <c r="Y170" s="184" cm="1">
        <f t="array" aca="1" ref="Y170" ca="1">-SUMPRODUCT(
  desp.m.ik[valor] *
  (desp.m.ik[mes] &gt;= Y$1) *
  (desp.m.ik[mes] &lt; EOMONTH(Y$1,0)+1) *
  --ISNA(MATCH(desp.m.ik[variavel], {"NF - Mão de Obra";"Operações Financeiras/juros";"Operações Financeiras - Geral";"Operações Financeira";"Terreno"}, 0))
)
-SUM(Y$33,Y$51,Y$71,Y$67,Y$85,Y$80,Y$87,Y$103,Y$126,Y$153,Y$164,Y$166,Y$116)
-Y$250</f>
        <v>0</v>
      </c>
      <c r="Z170" s="184" cm="1">
        <f t="array" aca="1" ref="Z170" ca="1">-SUMPRODUCT(
  desp.m.ik[valor] *
  (desp.m.ik[mes] &gt;= Z$1) *
  (desp.m.ik[mes] &lt; EOMONTH(Z$1,0)+1) *
  --ISNA(MATCH(desp.m.ik[variavel], {"NF - Mão de Obra";"Operações Financeiras/juros";"Operações Financeiras - Geral";"Operações Financeira";"Terreno"}, 0))
)
-SUM(Z$33,Z$51,Z$71,Z$67,Z$85,Z$80,Z$87,Z$103,Z$126,Z$153,Z$164,Z$166,Z$116)
-Z$250</f>
        <v>0</v>
      </c>
      <c r="AA170" s="184" cm="1">
        <f t="array" aca="1" ref="AA170" ca="1">-SUMPRODUCT(
  desp.m.ik[valor] *
  (desp.m.ik[mes] &gt;= AA$1) *
  (desp.m.ik[mes] &lt; EOMONTH(AA$1,0)+1) *
  --ISNA(MATCH(desp.m.ik[variavel], {"NF - Mão de Obra";"Operações Financeiras/juros";"Operações Financeiras - Geral";"Operações Financeira";"Terreno"}, 0))
)
-SUM(AA$33,AA$51,AA$71,AA$67,AA$85,AA$80,AA$87,AA$103,AA$126,AA$153,AA$164,AA$166,AA$116)
-AA$250</f>
        <v>0</v>
      </c>
      <c r="AC170" s="280">
        <f t="shared" ca="1" si="31"/>
        <v>0</v>
      </c>
      <c r="AE170" s="280">
        <f t="shared" ca="1" si="32"/>
        <v>0</v>
      </c>
    </row>
    <row r="171" spans="1:31" collapsed="1" x14ac:dyDescent="0.25">
      <c r="A171" s="175" t="s">
        <v>586</v>
      </c>
      <c r="B171" s="175" t="s">
        <v>587</v>
      </c>
      <c r="C171" s="176"/>
      <c r="D171" s="191">
        <f t="shared" ref="D171:AA171" ca="1" si="36">D$172+D$175</f>
        <v>0</v>
      </c>
      <c r="E171" s="191">
        <f t="shared" ca="1" si="36"/>
        <v>0</v>
      </c>
      <c r="F171" s="191">
        <f t="shared" ca="1" si="36"/>
        <v>0</v>
      </c>
      <c r="G171" s="191">
        <f t="shared" ca="1" si="36"/>
        <v>0</v>
      </c>
      <c r="H171" s="191">
        <f t="shared" ca="1" si="36"/>
        <v>0</v>
      </c>
      <c r="I171" s="191">
        <f t="shared" ca="1" si="36"/>
        <v>0</v>
      </c>
      <c r="J171" s="191">
        <f t="shared" ca="1" si="36"/>
        <v>0</v>
      </c>
      <c r="K171" s="191">
        <f t="shared" ca="1" si="36"/>
        <v>0</v>
      </c>
      <c r="L171" s="191">
        <f t="shared" ca="1" si="36"/>
        <v>0</v>
      </c>
      <c r="M171" s="191">
        <f t="shared" ca="1" si="36"/>
        <v>0</v>
      </c>
      <c r="N171" s="191">
        <f t="shared" ca="1" si="36"/>
        <v>0</v>
      </c>
      <c r="O171" s="191">
        <f t="shared" ca="1" si="36"/>
        <v>0</v>
      </c>
      <c r="P171" s="191">
        <f t="shared" ca="1" si="36"/>
        <v>0</v>
      </c>
      <c r="Q171" s="191">
        <f t="shared" ca="1" si="36"/>
        <v>0</v>
      </c>
      <c r="R171" s="191">
        <f t="shared" ca="1" si="36"/>
        <v>0</v>
      </c>
      <c r="S171" s="191">
        <f t="shared" ca="1" si="36"/>
        <v>0</v>
      </c>
      <c r="T171" s="191">
        <f t="shared" ca="1" si="36"/>
        <v>0</v>
      </c>
      <c r="U171" s="191">
        <f t="shared" ca="1" si="36"/>
        <v>0</v>
      </c>
      <c r="V171" s="191">
        <f t="shared" ca="1" si="36"/>
        <v>0</v>
      </c>
      <c r="W171" s="191">
        <f t="shared" ca="1" si="36"/>
        <v>0</v>
      </c>
      <c r="X171" s="191">
        <f t="shared" ca="1" si="36"/>
        <v>0</v>
      </c>
      <c r="Y171" s="191">
        <f t="shared" ca="1" si="36"/>
        <v>0</v>
      </c>
      <c r="Z171" s="191">
        <f t="shared" ca="1" si="36"/>
        <v>0</v>
      </c>
      <c r="AA171" s="191">
        <f t="shared" ca="1" si="36"/>
        <v>0</v>
      </c>
      <c r="AC171" s="282">
        <f t="shared" ca="1" si="31"/>
        <v>0</v>
      </c>
      <c r="AE171" s="282">
        <f t="shared" ca="1" si="32"/>
        <v>0</v>
      </c>
    </row>
    <row r="172" spans="1:31" x14ac:dyDescent="0.25">
      <c r="A172" s="179" t="s">
        <v>588</v>
      </c>
      <c r="B172" s="179" t="s">
        <v>589</v>
      </c>
      <c r="C172" s="180"/>
      <c r="D172" s="181">
        <f>SUM(D$173,D$174)</f>
        <v>0</v>
      </c>
      <c r="E172" s="181">
        <f t="shared" ref="E172:AA172" si="37">SUM(E$173,E$174)</f>
        <v>0</v>
      </c>
      <c r="F172" s="181">
        <f t="shared" si="37"/>
        <v>0</v>
      </c>
      <c r="G172" s="181">
        <f t="shared" si="37"/>
        <v>0</v>
      </c>
      <c r="H172" s="181">
        <f t="shared" si="37"/>
        <v>0</v>
      </c>
      <c r="I172" s="181">
        <f t="shared" si="37"/>
        <v>0</v>
      </c>
      <c r="J172" s="181">
        <f t="shared" si="37"/>
        <v>0</v>
      </c>
      <c r="K172" s="181">
        <f t="shared" si="37"/>
        <v>0</v>
      </c>
      <c r="L172" s="181">
        <f t="shared" si="37"/>
        <v>0</v>
      </c>
      <c r="M172" s="181">
        <f t="shared" si="37"/>
        <v>0</v>
      </c>
      <c r="N172" s="181">
        <f t="shared" si="37"/>
        <v>0</v>
      </c>
      <c r="O172" s="181">
        <f t="shared" si="37"/>
        <v>0</v>
      </c>
      <c r="P172" s="181">
        <f t="shared" si="37"/>
        <v>0</v>
      </c>
      <c r="Q172" s="181">
        <f t="shared" si="37"/>
        <v>0</v>
      </c>
      <c r="R172" s="181">
        <f t="shared" si="37"/>
        <v>0</v>
      </c>
      <c r="S172" s="181">
        <f t="shared" si="37"/>
        <v>0</v>
      </c>
      <c r="T172" s="181">
        <f t="shared" si="37"/>
        <v>0</v>
      </c>
      <c r="U172" s="181">
        <f t="shared" si="37"/>
        <v>0</v>
      </c>
      <c r="V172" s="181">
        <f t="shared" si="37"/>
        <v>0</v>
      </c>
      <c r="W172" s="181">
        <f t="shared" si="37"/>
        <v>0</v>
      </c>
      <c r="X172" s="181">
        <f t="shared" si="37"/>
        <v>0</v>
      </c>
      <c r="Y172" s="181">
        <f t="shared" si="37"/>
        <v>0</v>
      </c>
      <c r="Z172" s="181">
        <f t="shared" si="37"/>
        <v>0</v>
      </c>
      <c r="AA172" s="181">
        <f t="shared" si="37"/>
        <v>0</v>
      </c>
      <c r="AC172" s="279">
        <f t="shared" si="31"/>
        <v>0</v>
      </c>
      <c r="AE172" s="279">
        <f t="shared" si="32"/>
        <v>0</v>
      </c>
    </row>
    <row r="173" spans="1:31" hidden="1" outlineLevel="1" collapsed="1" x14ac:dyDescent="0.25">
      <c r="A173" s="182" t="s">
        <v>590</v>
      </c>
      <c r="B173" s="192" t="s">
        <v>591</v>
      </c>
      <c r="C173" s="138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  <c r="AA173" s="186"/>
      <c r="AC173" s="178">
        <f t="shared" si="31"/>
        <v>0</v>
      </c>
      <c r="AE173" s="178">
        <f t="shared" si="32"/>
        <v>0</v>
      </c>
    </row>
    <row r="174" spans="1:31" hidden="1" outlineLevel="1" x14ac:dyDescent="0.25">
      <c r="A174" s="182" t="s">
        <v>592</v>
      </c>
      <c r="B174" s="192" t="s">
        <v>593</v>
      </c>
      <c r="C174" s="138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  <c r="AA174" s="186"/>
      <c r="AC174" s="178">
        <f t="shared" si="31"/>
        <v>0</v>
      </c>
      <c r="AE174" s="178">
        <f t="shared" si="32"/>
        <v>0</v>
      </c>
    </row>
    <row r="175" spans="1:31" collapsed="1" x14ac:dyDescent="0.25">
      <c r="A175" s="188" t="s">
        <v>594</v>
      </c>
      <c r="B175" s="188" t="s">
        <v>595</v>
      </c>
      <c r="C175" s="193"/>
      <c r="D175" s="194">
        <f t="shared" ref="D175:AA175" ca="1" si="38">SUM(D$176,D$195,D$196)</f>
        <v>0</v>
      </c>
      <c r="E175" s="194">
        <f t="shared" ca="1" si="38"/>
        <v>0</v>
      </c>
      <c r="F175" s="194">
        <f t="shared" ca="1" si="38"/>
        <v>0</v>
      </c>
      <c r="G175" s="194">
        <f t="shared" ca="1" si="38"/>
        <v>0</v>
      </c>
      <c r="H175" s="194">
        <f t="shared" ca="1" si="38"/>
        <v>0</v>
      </c>
      <c r="I175" s="194">
        <f t="shared" ca="1" si="38"/>
        <v>0</v>
      </c>
      <c r="J175" s="194">
        <f t="shared" ca="1" si="38"/>
        <v>0</v>
      </c>
      <c r="K175" s="194">
        <f t="shared" ca="1" si="38"/>
        <v>0</v>
      </c>
      <c r="L175" s="194">
        <f t="shared" ca="1" si="38"/>
        <v>0</v>
      </c>
      <c r="M175" s="194">
        <f t="shared" ca="1" si="38"/>
        <v>0</v>
      </c>
      <c r="N175" s="194">
        <f t="shared" ca="1" si="38"/>
        <v>0</v>
      </c>
      <c r="O175" s="194">
        <f t="shared" ca="1" si="38"/>
        <v>0</v>
      </c>
      <c r="P175" s="194">
        <f t="shared" ca="1" si="38"/>
        <v>0</v>
      </c>
      <c r="Q175" s="194">
        <f t="shared" ca="1" si="38"/>
        <v>0</v>
      </c>
      <c r="R175" s="194">
        <f t="shared" ca="1" si="38"/>
        <v>0</v>
      </c>
      <c r="S175" s="194">
        <f t="shared" ca="1" si="38"/>
        <v>0</v>
      </c>
      <c r="T175" s="194">
        <f t="shared" ca="1" si="38"/>
        <v>0</v>
      </c>
      <c r="U175" s="194">
        <f t="shared" ca="1" si="38"/>
        <v>0</v>
      </c>
      <c r="V175" s="194">
        <f t="shared" ca="1" si="38"/>
        <v>0</v>
      </c>
      <c r="W175" s="194">
        <f t="shared" ca="1" si="38"/>
        <v>0</v>
      </c>
      <c r="X175" s="194">
        <f t="shared" ca="1" si="38"/>
        <v>0</v>
      </c>
      <c r="Y175" s="194">
        <f t="shared" ca="1" si="38"/>
        <v>0</v>
      </c>
      <c r="Z175" s="194">
        <f t="shared" ca="1" si="38"/>
        <v>0</v>
      </c>
      <c r="AA175" s="194">
        <f t="shared" ca="1" si="38"/>
        <v>0</v>
      </c>
      <c r="AC175" s="283">
        <f t="shared" ca="1" si="31"/>
        <v>0</v>
      </c>
      <c r="AE175" s="283">
        <f t="shared" ca="1" si="32"/>
        <v>0</v>
      </c>
    </row>
    <row r="176" spans="1:31" hidden="1" outlineLevel="1" x14ac:dyDescent="0.25">
      <c r="A176" s="182" t="s">
        <v>596</v>
      </c>
      <c r="B176" s="182" t="s">
        <v>400</v>
      </c>
      <c r="C176" s="183" t="s">
        <v>514</v>
      </c>
      <c r="D176" s="184">
        <f t="shared" ref="D176:AA176" ca="1" si="39">SUM(D$177:D$194)</f>
        <v>0</v>
      </c>
      <c r="E176" s="184">
        <f t="shared" ca="1" si="39"/>
        <v>0</v>
      </c>
      <c r="F176" s="184">
        <f t="shared" ca="1" si="39"/>
        <v>0</v>
      </c>
      <c r="G176" s="184">
        <f t="shared" ca="1" si="39"/>
        <v>0</v>
      </c>
      <c r="H176" s="184">
        <f t="shared" ca="1" si="39"/>
        <v>0</v>
      </c>
      <c r="I176" s="184">
        <f t="shared" ca="1" si="39"/>
        <v>0</v>
      </c>
      <c r="J176" s="184">
        <f t="shared" ca="1" si="39"/>
        <v>0</v>
      </c>
      <c r="K176" s="184">
        <f t="shared" ca="1" si="39"/>
        <v>0</v>
      </c>
      <c r="L176" s="184">
        <f t="shared" ca="1" si="39"/>
        <v>0</v>
      </c>
      <c r="M176" s="184">
        <f t="shared" ca="1" si="39"/>
        <v>0</v>
      </c>
      <c r="N176" s="184">
        <f t="shared" ca="1" si="39"/>
        <v>0</v>
      </c>
      <c r="O176" s="184">
        <f t="shared" ca="1" si="39"/>
        <v>0</v>
      </c>
      <c r="P176" s="184">
        <f t="shared" ca="1" si="39"/>
        <v>0</v>
      </c>
      <c r="Q176" s="184">
        <f t="shared" ca="1" si="39"/>
        <v>0</v>
      </c>
      <c r="R176" s="184">
        <f t="shared" ca="1" si="39"/>
        <v>0</v>
      </c>
      <c r="S176" s="184">
        <f t="shared" ca="1" si="39"/>
        <v>0</v>
      </c>
      <c r="T176" s="184">
        <f t="shared" ca="1" si="39"/>
        <v>0</v>
      </c>
      <c r="U176" s="184">
        <f t="shared" ca="1" si="39"/>
        <v>0</v>
      </c>
      <c r="V176" s="184">
        <f t="shared" ca="1" si="39"/>
        <v>0</v>
      </c>
      <c r="W176" s="184">
        <f t="shared" ca="1" si="39"/>
        <v>0</v>
      </c>
      <c r="X176" s="184">
        <f t="shared" ca="1" si="39"/>
        <v>0</v>
      </c>
      <c r="Y176" s="184">
        <f t="shared" ca="1" si="39"/>
        <v>0</v>
      </c>
      <c r="Z176" s="184">
        <f t="shared" ca="1" si="39"/>
        <v>0</v>
      </c>
      <c r="AA176" s="184">
        <f t="shared" ca="1" si="39"/>
        <v>0</v>
      </c>
      <c r="AC176" s="280">
        <f t="shared" ca="1" si="31"/>
        <v>0</v>
      </c>
      <c r="AE176" s="280">
        <f t="shared" ca="1" si="32"/>
        <v>0</v>
      </c>
    </row>
    <row r="177" spans="1:31" hidden="1" outlineLevel="2" x14ac:dyDescent="0.25">
      <c r="A177" s="185" t="s">
        <v>599</v>
      </c>
      <c r="B177" s="185" t="s">
        <v>1040</v>
      </c>
      <c r="C177" s="138" t="s">
        <v>514</v>
      </c>
      <c r="D177" s="186">
        <f ca="1">-SUMIFS(
  desp.m.ik[valor],
  desp.m.ik[nucleo], $B177,
  desp.m.ik[variavel], $B$176,
  desp.m.ik[mes], "&gt;="&amp;D$1,
  desp.m.ik[mes], "&lt;"&amp;EOMONTH(D$1,0)+1
)</f>
        <v>0</v>
      </c>
      <c r="E177" s="186">
        <f ca="1">-SUMIFS(
  desp.m.ik[valor],
  desp.m.ik[nucleo], $B177,
  desp.m.ik[variavel], $B$176,
  desp.m.ik[mes], "&gt;="&amp;E$1,
  desp.m.ik[mes], "&lt;"&amp;EOMONTH(E$1,0)+1
)</f>
        <v>0</v>
      </c>
      <c r="F177" s="186">
        <f ca="1">-SUMIFS(
  desp.m.ik[valor],
  desp.m.ik[nucleo], $B177,
  desp.m.ik[variavel], $B$176,
  desp.m.ik[mes], "&gt;="&amp;F$1,
  desp.m.ik[mes], "&lt;"&amp;EOMONTH(F$1,0)+1
)</f>
        <v>0</v>
      </c>
      <c r="G177" s="186">
        <f ca="1">-SUMIFS(
  desp.m.ik[valor],
  desp.m.ik[nucleo], $B177,
  desp.m.ik[variavel], $B$176,
  desp.m.ik[mes], "&gt;="&amp;G$1,
  desp.m.ik[mes], "&lt;"&amp;EOMONTH(G$1,0)+1
)</f>
        <v>0</v>
      </c>
      <c r="H177" s="186">
        <f ca="1">-SUMIFS(
  desp.m.ik[valor],
  desp.m.ik[nucleo], $B177,
  desp.m.ik[variavel], $B$176,
  desp.m.ik[mes], "&gt;="&amp;H$1,
  desp.m.ik[mes], "&lt;"&amp;EOMONTH(H$1,0)+1
)</f>
        <v>0</v>
      </c>
      <c r="I177" s="186">
        <f ca="1">-SUMIFS(
  desp.m.ik[valor],
  desp.m.ik[nucleo], $B177,
  desp.m.ik[variavel], $B$176,
  desp.m.ik[mes], "&gt;="&amp;I$1,
  desp.m.ik[mes], "&lt;"&amp;EOMONTH(I$1,0)+1
)</f>
        <v>0</v>
      </c>
      <c r="J177" s="186">
        <f ca="1">-SUMIFS(
  desp.m.ik[valor],
  desp.m.ik[nucleo], $B177,
  desp.m.ik[variavel], $B$176,
  desp.m.ik[mes], "&gt;="&amp;J$1,
  desp.m.ik[mes], "&lt;"&amp;EOMONTH(J$1,0)+1
)</f>
        <v>0</v>
      </c>
      <c r="K177" s="186">
        <f ca="1">-SUMIFS(
  desp.m.ik[valor],
  desp.m.ik[nucleo], $B177,
  desp.m.ik[variavel], $B$176,
  desp.m.ik[mes], "&gt;="&amp;K$1,
  desp.m.ik[mes], "&lt;"&amp;EOMONTH(K$1,0)+1
)</f>
        <v>0</v>
      </c>
      <c r="L177" s="186">
        <f ca="1">-SUMIFS(
  desp.m.ik[valor],
  desp.m.ik[nucleo], $B177,
  desp.m.ik[variavel], $B$176,
  desp.m.ik[mes], "&gt;="&amp;L$1,
  desp.m.ik[mes], "&lt;"&amp;EOMONTH(L$1,0)+1
)</f>
        <v>0</v>
      </c>
      <c r="M177" s="186">
        <f ca="1">-SUMIFS(
  desp.m.ik[valor],
  desp.m.ik[nucleo], $B177,
  desp.m.ik[variavel], $B$176,
  desp.m.ik[mes], "&gt;="&amp;M$1,
  desp.m.ik[mes], "&lt;"&amp;EOMONTH(M$1,0)+1
)</f>
        <v>0</v>
      </c>
      <c r="N177" s="186">
        <f ca="1">-SUMIFS(
  desp.m.ik[valor],
  desp.m.ik[nucleo], $B177,
  desp.m.ik[variavel], $B$176,
  desp.m.ik[mes], "&gt;="&amp;N$1,
  desp.m.ik[mes], "&lt;"&amp;EOMONTH(N$1,0)+1
)</f>
        <v>0</v>
      </c>
      <c r="O177" s="186">
        <f ca="1">-SUMIFS(
  desp.m.ik[valor],
  desp.m.ik[nucleo], $B177,
  desp.m.ik[variavel], $B$176,
  desp.m.ik[mes], "&gt;="&amp;O$1,
  desp.m.ik[mes], "&lt;"&amp;EOMONTH(O$1,0)+1
)</f>
        <v>0</v>
      </c>
      <c r="P177" s="186">
        <f ca="1">-SUMIFS(
  desp.m.ik[valor],
  desp.m.ik[nucleo], $B177,
  desp.m.ik[variavel], $B$176,
  desp.m.ik[mes], "&gt;="&amp;P$1,
  desp.m.ik[mes], "&lt;"&amp;EOMONTH(P$1,0)+1
)</f>
        <v>0</v>
      </c>
      <c r="Q177" s="186">
        <f ca="1">-SUMIFS(
  desp.m.ik[valor],
  desp.m.ik[nucleo], $B177,
  desp.m.ik[variavel], $B$176,
  desp.m.ik[mes], "&gt;="&amp;Q$1,
  desp.m.ik[mes], "&lt;"&amp;EOMONTH(Q$1,0)+1
)</f>
        <v>0</v>
      </c>
      <c r="R177" s="186">
        <f ca="1">-SUMIFS(
  desp.m.ik[valor],
  desp.m.ik[nucleo], $B177,
  desp.m.ik[variavel], $B$176,
  desp.m.ik[mes], "&gt;="&amp;R$1,
  desp.m.ik[mes], "&lt;"&amp;EOMONTH(R$1,0)+1
)</f>
        <v>0</v>
      </c>
      <c r="S177" s="186">
        <f ca="1">-SUMIFS(
  desp.m.ik[valor],
  desp.m.ik[nucleo], $B177,
  desp.m.ik[variavel], $B$176,
  desp.m.ik[mes], "&gt;="&amp;S$1,
  desp.m.ik[mes], "&lt;"&amp;EOMONTH(S$1,0)+1
)</f>
        <v>0</v>
      </c>
      <c r="T177" s="186">
        <f ca="1">-SUMIFS(
  desp.m.ik[valor],
  desp.m.ik[nucleo], $B177,
  desp.m.ik[variavel], $B$176,
  desp.m.ik[mes], "&gt;="&amp;T$1,
  desp.m.ik[mes], "&lt;"&amp;EOMONTH(T$1,0)+1
)</f>
        <v>0</v>
      </c>
      <c r="U177" s="186">
        <f ca="1">-SUMIFS(
  desp.m.ik[valor],
  desp.m.ik[nucleo], $B177,
  desp.m.ik[variavel], $B$176,
  desp.m.ik[mes], "&gt;="&amp;U$1,
  desp.m.ik[mes], "&lt;"&amp;EOMONTH(U$1,0)+1
)</f>
        <v>0</v>
      </c>
      <c r="V177" s="186">
        <f ca="1">-SUMIFS(
  desp.m.ik[valor],
  desp.m.ik[nucleo], $B177,
  desp.m.ik[variavel], $B$176,
  desp.m.ik[mes], "&gt;="&amp;V$1,
  desp.m.ik[mes], "&lt;"&amp;EOMONTH(V$1,0)+1
)</f>
        <v>0</v>
      </c>
      <c r="W177" s="186">
        <f ca="1">-SUMIFS(
  desp.m.ik[valor],
  desp.m.ik[nucleo], $B177,
  desp.m.ik[variavel], $B$176,
  desp.m.ik[mes], "&gt;="&amp;W$1,
  desp.m.ik[mes], "&lt;"&amp;EOMONTH(W$1,0)+1
)</f>
        <v>0</v>
      </c>
      <c r="X177" s="186">
        <f ca="1">-SUMIFS(
  desp.m.ik[valor],
  desp.m.ik[nucleo], $B177,
  desp.m.ik[variavel], $B$176,
  desp.m.ik[mes], "&gt;="&amp;X$1,
  desp.m.ik[mes], "&lt;"&amp;EOMONTH(X$1,0)+1
)</f>
        <v>0</v>
      </c>
      <c r="Y177" s="186">
        <f ca="1">-SUMIFS(
  desp.m.ik[valor],
  desp.m.ik[nucleo], $B177,
  desp.m.ik[variavel], $B$176,
  desp.m.ik[mes], "&gt;="&amp;Y$1,
  desp.m.ik[mes], "&lt;"&amp;EOMONTH(Y$1,0)+1
)</f>
        <v>0</v>
      </c>
      <c r="Z177" s="186">
        <f ca="1">-SUMIFS(
  desp.m.ik[valor],
  desp.m.ik[nucleo], $B177,
  desp.m.ik[variavel], $B$176,
  desp.m.ik[mes], "&gt;="&amp;Z$1,
  desp.m.ik[mes], "&lt;"&amp;EOMONTH(Z$1,0)+1
)</f>
        <v>0</v>
      </c>
      <c r="AA177" s="186">
        <f ca="1">-SUMIFS(
  desp.m.ik[valor],
  desp.m.ik[nucleo], $B177,
  desp.m.ik[variavel], $B$176,
  desp.m.ik[mes], "&gt;="&amp;AA$1,
  desp.m.ik[mes], "&lt;"&amp;EOMONTH(AA$1,0)+1
)</f>
        <v>0</v>
      </c>
      <c r="AC177" s="178">
        <f t="shared" ca="1" si="31"/>
        <v>0</v>
      </c>
      <c r="AE177" s="178">
        <f t="shared" ca="1" si="32"/>
        <v>0</v>
      </c>
    </row>
    <row r="178" spans="1:31" hidden="1" outlineLevel="2" x14ac:dyDescent="0.25">
      <c r="A178" s="185" t="s">
        <v>598</v>
      </c>
      <c r="B178" s="185" t="s">
        <v>556</v>
      </c>
      <c r="C178" s="138" t="s">
        <v>514</v>
      </c>
      <c r="D178" s="186">
        <f ca="1">-SUMIFS(
  desp.m.ik[valor],
  desp.m.ik[nucleo], $B178,
  desp.m.ik[variavel], $B$176,
  desp.m.ik[mes], "&gt;="&amp;D$1,
  desp.m.ik[mes], "&lt;"&amp;EOMONTH(D$1,0)+1
)</f>
        <v>0</v>
      </c>
      <c r="E178" s="186">
        <f ca="1">-SUMIFS(
  desp.m.ik[valor],
  desp.m.ik[nucleo], $B178,
  desp.m.ik[variavel], $B$176,
  desp.m.ik[mes], "&gt;="&amp;E$1,
  desp.m.ik[mes], "&lt;"&amp;EOMONTH(E$1,0)+1
)</f>
        <v>0</v>
      </c>
      <c r="F178" s="186">
        <f ca="1">-SUMIFS(
  desp.m.ik[valor],
  desp.m.ik[nucleo], $B178,
  desp.m.ik[variavel], $B$176,
  desp.m.ik[mes], "&gt;="&amp;F$1,
  desp.m.ik[mes], "&lt;"&amp;EOMONTH(F$1,0)+1
)</f>
        <v>0</v>
      </c>
      <c r="G178" s="186">
        <f ca="1">-SUMIFS(
  desp.m.ik[valor],
  desp.m.ik[nucleo], $B178,
  desp.m.ik[variavel], $B$176,
  desp.m.ik[mes], "&gt;="&amp;G$1,
  desp.m.ik[mes], "&lt;"&amp;EOMONTH(G$1,0)+1
)</f>
        <v>0</v>
      </c>
      <c r="H178" s="186">
        <f ca="1">-SUMIFS(
  desp.m.ik[valor],
  desp.m.ik[nucleo], $B178,
  desp.m.ik[variavel], $B$176,
  desp.m.ik[mes], "&gt;="&amp;H$1,
  desp.m.ik[mes], "&lt;"&amp;EOMONTH(H$1,0)+1
)</f>
        <v>0</v>
      </c>
      <c r="I178" s="186">
        <f ca="1">-SUMIFS(
  desp.m.ik[valor],
  desp.m.ik[nucleo], $B178,
  desp.m.ik[variavel], $B$176,
  desp.m.ik[mes], "&gt;="&amp;I$1,
  desp.m.ik[mes], "&lt;"&amp;EOMONTH(I$1,0)+1
)</f>
        <v>0</v>
      </c>
      <c r="J178" s="186">
        <f ca="1">-SUMIFS(
  desp.m.ik[valor],
  desp.m.ik[nucleo], $B178,
  desp.m.ik[variavel], $B$176,
  desp.m.ik[mes], "&gt;="&amp;J$1,
  desp.m.ik[mes], "&lt;"&amp;EOMONTH(J$1,0)+1
)</f>
        <v>0</v>
      </c>
      <c r="K178" s="186">
        <f ca="1">-SUMIFS(
  desp.m.ik[valor],
  desp.m.ik[nucleo], $B178,
  desp.m.ik[variavel], $B$176,
  desp.m.ik[mes], "&gt;="&amp;K$1,
  desp.m.ik[mes], "&lt;"&amp;EOMONTH(K$1,0)+1
)</f>
        <v>0</v>
      </c>
      <c r="L178" s="186">
        <f ca="1">-SUMIFS(
  desp.m.ik[valor],
  desp.m.ik[nucleo], $B178,
  desp.m.ik[variavel], $B$176,
  desp.m.ik[mes], "&gt;="&amp;L$1,
  desp.m.ik[mes], "&lt;"&amp;EOMONTH(L$1,0)+1
)</f>
        <v>0</v>
      </c>
      <c r="M178" s="186">
        <f ca="1">-SUMIFS(
  desp.m.ik[valor],
  desp.m.ik[nucleo], $B178,
  desp.m.ik[variavel], $B$176,
  desp.m.ik[mes], "&gt;="&amp;M$1,
  desp.m.ik[mes], "&lt;"&amp;EOMONTH(M$1,0)+1
)</f>
        <v>0</v>
      </c>
      <c r="N178" s="186">
        <f ca="1">-SUMIFS(
  desp.m.ik[valor],
  desp.m.ik[nucleo], $B178,
  desp.m.ik[variavel], $B$176,
  desp.m.ik[mes], "&gt;="&amp;N$1,
  desp.m.ik[mes], "&lt;"&amp;EOMONTH(N$1,0)+1
)</f>
        <v>0</v>
      </c>
      <c r="O178" s="186">
        <f ca="1">-SUMIFS(
  desp.m.ik[valor],
  desp.m.ik[nucleo], $B178,
  desp.m.ik[variavel], $B$176,
  desp.m.ik[mes], "&gt;="&amp;O$1,
  desp.m.ik[mes], "&lt;"&amp;EOMONTH(O$1,0)+1
)</f>
        <v>0</v>
      </c>
      <c r="P178" s="186">
        <f ca="1">-SUMIFS(
  desp.m.ik[valor],
  desp.m.ik[nucleo], $B178,
  desp.m.ik[variavel], $B$176,
  desp.m.ik[mes], "&gt;="&amp;P$1,
  desp.m.ik[mes], "&lt;"&amp;EOMONTH(P$1,0)+1
)</f>
        <v>0</v>
      </c>
      <c r="Q178" s="186">
        <f ca="1">-SUMIFS(
  desp.m.ik[valor],
  desp.m.ik[nucleo], $B178,
  desp.m.ik[variavel], $B$176,
  desp.m.ik[mes], "&gt;="&amp;Q$1,
  desp.m.ik[mes], "&lt;"&amp;EOMONTH(Q$1,0)+1
)</f>
        <v>0</v>
      </c>
      <c r="R178" s="186">
        <f ca="1">-SUMIFS(
  desp.m.ik[valor],
  desp.m.ik[nucleo], $B178,
  desp.m.ik[variavel], $B$176,
  desp.m.ik[mes], "&gt;="&amp;R$1,
  desp.m.ik[mes], "&lt;"&amp;EOMONTH(R$1,0)+1
)</f>
        <v>0</v>
      </c>
      <c r="S178" s="186">
        <f ca="1">-SUMIFS(
  desp.m.ik[valor],
  desp.m.ik[nucleo], $B178,
  desp.m.ik[variavel], $B$176,
  desp.m.ik[mes], "&gt;="&amp;S$1,
  desp.m.ik[mes], "&lt;"&amp;EOMONTH(S$1,0)+1
)</f>
        <v>0</v>
      </c>
      <c r="T178" s="186">
        <f ca="1">-SUMIFS(
  desp.m.ik[valor],
  desp.m.ik[nucleo], $B178,
  desp.m.ik[variavel], $B$176,
  desp.m.ik[mes], "&gt;="&amp;T$1,
  desp.m.ik[mes], "&lt;"&amp;EOMONTH(T$1,0)+1
)</f>
        <v>0</v>
      </c>
      <c r="U178" s="186">
        <f ca="1">-SUMIFS(
  desp.m.ik[valor],
  desp.m.ik[nucleo], $B178,
  desp.m.ik[variavel], $B$176,
  desp.m.ik[mes], "&gt;="&amp;U$1,
  desp.m.ik[mes], "&lt;"&amp;EOMONTH(U$1,0)+1
)</f>
        <v>0</v>
      </c>
      <c r="V178" s="186">
        <f ca="1">-SUMIFS(
  desp.m.ik[valor],
  desp.m.ik[nucleo], $B178,
  desp.m.ik[variavel], $B$176,
  desp.m.ik[mes], "&gt;="&amp;V$1,
  desp.m.ik[mes], "&lt;"&amp;EOMONTH(V$1,0)+1
)</f>
        <v>0</v>
      </c>
      <c r="W178" s="186">
        <f ca="1">-SUMIFS(
  desp.m.ik[valor],
  desp.m.ik[nucleo], $B178,
  desp.m.ik[variavel], $B$176,
  desp.m.ik[mes], "&gt;="&amp;W$1,
  desp.m.ik[mes], "&lt;"&amp;EOMONTH(W$1,0)+1
)</f>
        <v>0</v>
      </c>
      <c r="X178" s="186">
        <f ca="1">-SUMIFS(
  desp.m.ik[valor],
  desp.m.ik[nucleo], $B178,
  desp.m.ik[variavel], $B$176,
  desp.m.ik[mes], "&gt;="&amp;X$1,
  desp.m.ik[mes], "&lt;"&amp;EOMONTH(X$1,0)+1
)</f>
        <v>0</v>
      </c>
      <c r="Y178" s="186">
        <f ca="1">-SUMIFS(
  desp.m.ik[valor],
  desp.m.ik[nucleo], $B178,
  desp.m.ik[variavel], $B$176,
  desp.m.ik[mes], "&gt;="&amp;Y$1,
  desp.m.ik[mes], "&lt;"&amp;EOMONTH(Y$1,0)+1
)</f>
        <v>0</v>
      </c>
      <c r="Z178" s="186">
        <f ca="1">-SUMIFS(
  desp.m.ik[valor],
  desp.m.ik[nucleo], $B178,
  desp.m.ik[variavel], $B$176,
  desp.m.ik[mes], "&gt;="&amp;Z$1,
  desp.m.ik[mes], "&lt;"&amp;EOMONTH(Z$1,0)+1
)</f>
        <v>0</v>
      </c>
      <c r="AA178" s="186">
        <f ca="1">-SUMIFS(
  desp.m.ik[valor],
  desp.m.ik[nucleo], $B178,
  desp.m.ik[variavel], $B$176,
  desp.m.ik[mes], "&gt;="&amp;AA$1,
  desp.m.ik[mes], "&lt;"&amp;EOMONTH(AA$1,0)+1
)</f>
        <v>0</v>
      </c>
      <c r="AC178" s="178">
        <f t="shared" ca="1" si="31"/>
        <v>0</v>
      </c>
      <c r="AE178" s="178">
        <f t="shared" ca="1" si="32"/>
        <v>0</v>
      </c>
    </row>
    <row r="179" spans="1:31" hidden="1" outlineLevel="2" x14ac:dyDescent="0.25">
      <c r="A179" s="185" t="s">
        <v>600</v>
      </c>
      <c r="B179" s="185" t="s">
        <v>546</v>
      </c>
      <c r="C179" s="138" t="s">
        <v>514</v>
      </c>
      <c r="D179" s="186">
        <f ca="1">-SUMIFS(
  desp.m.ik[valor],
  desp.m.ik[nucleo], $B179,
  desp.m.ik[variavel], $B$176,
  desp.m.ik[mes], "&gt;="&amp;D$1,
  desp.m.ik[mes], "&lt;"&amp;EOMONTH(D$1,0)+1
)</f>
        <v>0</v>
      </c>
      <c r="E179" s="186">
        <f ca="1">-SUMIFS(
  desp.m.ik[valor],
  desp.m.ik[nucleo], $B179,
  desp.m.ik[variavel], $B$176,
  desp.m.ik[mes], "&gt;="&amp;E$1,
  desp.m.ik[mes], "&lt;"&amp;EOMONTH(E$1,0)+1
)</f>
        <v>0</v>
      </c>
      <c r="F179" s="186">
        <f ca="1">-SUMIFS(
  desp.m.ik[valor],
  desp.m.ik[nucleo], $B179,
  desp.m.ik[variavel], $B$176,
  desp.m.ik[mes], "&gt;="&amp;F$1,
  desp.m.ik[mes], "&lt;"&amp;EOMONTH(F$1,0)+1
)</f>
        <v>0</v>
      </c>
      <c r="G179" s="186">
        <f ca="1">-SUMIFS(
  desp.m.ik[valor],
  desp.m.ik[nucleo], $B179,
  desp.m.ik[variavel], $B$176,
  desp.m.ik[mes], "&gt;="&amp;G$1,
  desp.m.ik[mes], "&lt;"&amp;EOMONTH(G$1,0)+1
)</f>
        <v>0</v>
      </c>
      <c r="H179" s="186">
        <f ca="1">-SUMIFS(
  desp.m.ik[valor],
  desp.m.ik[nucleo], $B179,
  desp.m.ik[variavel], $B$176,
  desp.m.ik[mes], "&gt;="&amp;H$1,
  desp.m.ik[mes], "&lt;"&amp;EOMONTH(H$1,0)+1
)</f>
        <v>0</v>
      </c>
      <c r="I179" s="186">
        <f ca="1">-SUMIFS(
  desp.m.ik[valor],
  desp.m.ik[nucleo], $B179,
  desp.m.ik[variavel], $B$176,
  desp.m.ik[mes], "&gt;="&amp;I$1,
  desp.m.ik[mes], "&lt;"&amp;EOMONTH(I$1,0)+1
)</f>
        <v>0</v>
      </c>
      <c r="J179" s="186">
        <f ca="1">-SUMIFS(
  desp.m.ik[valor],
  desp.m.ik[nucleo], $B179,
  desp.m.ik[variavel], $B$176,
  desp.m.ik[mes], "&gt;="&amp;J$1,
  desp.m.ik[mes], "&lt;"&amp;EOMONTH(J$1,0)+1
)</f>
        <v>0</v>
      </c>
      <c r="K179" s="186">
        <f ca="1">-SUMIFS(
  desp.m.ik[valor],
  desp.m.ik[nucleo], $B179,
  desp.m.ik[variavel], $B$176,
  desp.m.ik[mes], "&gt;="&amp;K$1,
  desp.m.ik[mes], "&lt;"&amp;EOMONTH(K$1,0)+1
)</f>
        <v>0</v>
      </c>
      <c r="L179" s="186">
        <f ca="1">-SUMIFS(
  desp.m.ik[valor],
  desp.m.ik[nucleo], $B179,
  desp.m.ik[variavel], $B$176,
  desp.m.ik[mes], "&gt;="&amp;L$1,
  desp.m.ik[mes], "&lt;"&amp;EOMONTH(L$1,0)+1
)</f>
        <v>0</v>
      </c>
      <c r="M179" s="186">
        <f ca="1">-SUMIFS(
  desp.m.ik[valor],
  desp.m.ik[nucleo], $B179,
  desp.m.ik[variavel], $B$176,
  desp.m.ik[mes], "&gt;="&amp;M$1,
  desp.m.ik[mes], "&lt;"&amp;EOMONTH(M$1,0)+1
)</f>
        <v>0</v>
      </c>
      <c r="N179" s="186">
        <f ca="1">-SUMIFS(
  desp.m.ik[valor],
  desp.m.ik[nucleo], $B179,
  desp.m.ik[variavel], $B$176,
  desp.m.ik[mes], "&gt;="&amp;N$1,
  desp.m.ik[mes], "&lt;"&amp;EOMONTH(N$1,0)+1
)</f>
        <v>0</v>
      </c>
      <c r="O179" s="186">
        <f ca="1">-SUMIFS(
  desp.m.ik[valor],
  desp.m.ik[nucleo], $B179,
  desp.m.ik[variavel], $B$176,
  desp.m.ik[mes], "&gt;="&amp;O$1,
  desp.m.ik[mes], "&lt;"&amp;EOMONTH(O$1,0)+1
)</f>
        <v>0</v>
      </c>
      <c r="P179" s="186">
        <f ca="1">-SUMIFS(
  desp.m.ik[valor],
  desp.m.ik[nucleo], $B179,
  desp.m.ik[variavel], $B$176,
  desp.m.ik[mes], "&gt;="&amp;P$1,
  desp.m.ik[mes], "&lt;"&amp;EOMONTH(P$1,0)+1
)</f>
        <v>0</v>
      </c>
      <c r="Q179" s="186">
        <f ca="1">-SUMIFS(
  desp.m.ik[valor],
  desp.m.ik[nucleo], $B179,
  desp.m.ik[variavel], $B$176,
  desp.m.ik[mes], "&gt;="&amp;Q$1,
  desp.m.ik[mes], "&lt;"&amp;EOMONTH(Q$1,0)+1
)</f>
        <v>0</v>
      </c>
      <c r="R179" s="186">
        <f ca="1">-SUMIFS(
  desp.m.ik[valor],
  desp.m.ik[nucleo], $B179,
  desp.m.ik[variavel], $B$176,
  desp.m.ik[mes], "&gt;="&amp;R$1,
  desp.m.ik[mes], "&lt;"&amp;EOMONTH(R$1,0)+1
)</f>
        <v>0</v>
      </c>
      <c r="S179" s="186">
        <f ca="1">-SUMIFS(
  desp.m.ik[valor],
  desp.m.ik[nucleo], $B179,
  desp.m.ik[variavel], $B$176,
  desp.m.ik[mes], "&gt;="&amp;S$1,
  desp.m.ik[mes], "&lt;"&amp;EOMONTH(S$1,0)+1
)</f>
        <v>0</v>
      </c>
      <c r="T179" s="186">
        <f ca="1">-SUMIFS(
  desp.m.ik[valor],
  desp.m.ik[nucleo], $B179,
  desp.m.ik[variavel], $B$176,
  desp.m.ik[mes], "&gt;="&amp;T$1,
  desp.m.ik[mes], "&lt;"&amp;EOMONTH(T$1,0)+1
)</f>
        <v>0</v>
      </c>
      <c r="U179" s="186">
        <f ca="1">-SUMIFS(
  desp.m.ik[valor],
  desp.m.ik[nucleo], $B179,
  desp.m.ik[variavel], $B$176,
  desp.m.ik[mes], "&gt;="&amp;U$1,
  desp.m.ik[mes], "&lt;"&amp;EOMONTH(U$1,0)+1
)</f>
        <v>0</v>
      </c>
      <c r="V179" s="186">
        <f ca="1">-SUMIFS(
  desp.m.ik[valor],
  desp.m.ik[nucleo], $B179,
  desp.m.ik[variavel], $B$176,
  desp.m.ik[mes], "&gt;="&amp;V$1,
  desp.m.ik[mes], "&lt;"&amp;EOMONTH(V$1,0)+1
)</f>
        <v>0</v>
      </c>
      <c r="W179" s="186">
        <f ca="1">-SUMIFS(
  desp.m.ik[valor],
  desp.m.ik[nucleo], $B179,
  desp.m.ik[variavel], $B$176,
  desp.m.ik[mes], "&gt;="&amp;W$1,
  desp.m.ik[mes], "&lt;"&amp;EOMONTH(W$1,0)+1
)</f>
        <v>0</v>
      </c>
      <c r="X179" s="186">
        <f ca="1">-SUMIFS(
  desp.m.ik[valor],
  desp.m.ik[nucleo], $B179,
  desp.m.ik[variavel], $B$176,
  desp.m.ik[mes], "&gt;="&amp;X$1,
  desp.m.ik[mes], "&lt;"&amp;EOMONTH(X$1,0)+1
)</f>
        <v>0</v>
      </c>
      <c r="Y179" s="186">
        <f ca="1">-SUMIFS(
  desp.m.ik[valor],
  desp.m.ik[nucleo], $B179,
  desp.m.ik[variavel], $B$176,
  desp.m.ik[mes], "&gt;="&amp;Y$1,
  desp.m.ik[mes], "&lt;"&amp;EOMONTH(Y$1,0)+1
)</f>
        <v>0</v>
      </c>
      <c r="Z179" s="186">
        <f ca="1">-SUMIFS(
  desp.m.ik[valor],
  desp.m.ik[nucleo], $B179,
  desp.m.ik[variavel], $B$176,
  desp.m.ik[mes], "&gt;="&amp;Z$1,
  desp.m.ik[mes], "&lt;"&amp;EOMONTH(Z$1,0)+1
)</f>
        <v>0</v>
      </c>
      <c r="AA179" s="186">
        <f ca="1">-SUMIFS(
  desp.m.ik[valor],
  desp.m.ik[nucleo], $B179,
  desp.m.ik[variavel], $B$176,
  desp.m.ik[mes], "&gt;="&amp;AA$1,
  desp.m.ik[mes], "&lt;"&amp;EOMONTH(AA$1,0)+1
)</f>
        <v>0</v>
      </c>
      <c r="AC179" s="178">
        <f t="shared" ca="1" si="31"/>
        <v>0</v>
      </c>
      <c r="AE179" s="178">
        <f t="shared" ca="1" si="32"/>
        <v>0</v>
      </c>
    </row>
    <row r="180" spans="1:31" hidden="1" outlineLevel="2" x14ac:dyDescent="0.25">
      <c r="A180" s="185" t="s">
        <v>597</v>
      </c>
      <c r="B180" s="185" t="s">
        <v>544</v>
      </c>
      <c r="C180" s="138" t="s">
        <v>514</v>
      </c>
      <c r="D180" s="186">
        <f ca="1">-SUMIFS(
  desp.m.ik[valor],
  desp.m.ik[nucleo], $B180,
  desp.m.ik[variavel], $B$176,
  desp.m.ik[mes], "&gt;="&amp;D$1,
  desp.m.ik[mes], "&lt;"&amp;EOMONTH(D$1,0)+1
)</f>
        <v>0</v>
      </c>
      <c r="E180" s="186">
        <f ca="1">-SUMIFS(
  desp.m.ik[valor],
  desp.m.ik[nucleo], $B180,
  desp.m.ik[variavel], $B$176,
  desp.m.ik[mes], "&gt;="&amp;E$1,
  desp.m.ik[mes], "&lt;"&amp;EOMONTH(E$1,0)+1
)</f>
        <v>0</v>
      </c>
      <c r="F180" s="186">
        <f ca="1">-SUMIFS(
  desp.m.ik[valor],
  desp.m.ik[nucleo], $B180,
  desp.m.ik[variavel], $B$176,
  desp.m.ik[mes], "&gt;="&amp;F$1,
  desp.m.ik[mes], "&lt;"&amp;EOMONTH(F$1,0)+1
)</f>
        <v>0</v>
      </c>
      <c r="G180" s="186">
        <f ca="1">-SUMIFS(
  desp.m.ik[valor],
  desp.m.ik[nucleo], $B180,
  desp.m.ik[variavel], $B$176,
  desp.m.ik[mes], "&gt;="&amp;G$1,
  desp.m.ik[mes], "&lt;"&amp;EOMONTH(G$1,0)+1
)</f>
        <v>0</v>
      </c>
      <c r="H180" s="186">
        <f ca="1">-SUMIFS(
  desp.m.ik[valor],
  desp.m.ik[nucleo], $B180,
  desp.m.ik[variavel], $B$176,
  desp.m.ik[mes], "&gt;="&amp;H$1,
  desp.m.ik[mes], "&lt;"&amp;EOMONTH(H$1,0)+1
)</f>
        <v>0</v>
      </c>
      <c r="I180" s="186">
        <f ca="1">-SUMIFS(
  desp.m.ik[valor],
  desp.m.ik[nucleo], $B180,
  desp.m.ik[variavel], $B$176,
  desp.m.ik[mes], "&gt;="&amp;I$1,
  desp.m.ik[mes], "&lt;"&amp;EOMONTH(I$1,0)+1
)</f>
        <v>0</v>
      </c>
      <c r="J180" s="186">
        <f ca="1">-SUMIFS(
  desp.m.ik[valor],
  desp.m.ik[nucleo], $B180,
  desp.m.ik[variavel], $B$176,
  desp.m.ik[mes], "&gt;="&amp;J$1,
  desp.m.ik[mes], "&lt;"&amp;EOMONTH(J$1,0)+1
)</f>
        <v>0</v>
      </c>
      <c r="K180" s="186">
        <f ca="1">-SUMIFS(
  desp.m.ik[valor],
  desp.m.ik[nucleo], $B180,
  desp.m.ik[variavel], $B$176,
  desp.m.ik[mes], "&gt;="&amp;K$1,
  desp.m.ik[mes], "&lt;"&amp;EOMONTH(K$1,0)+1
)</f>
        <v>0</v>
      </c>
      <c r="L180" s="186">
        <f ca="1">-SUMIFS(
  desp.m.ik[valor],
  desp.m.ik[nucleo], $B180,
  desp.m.ik[variavel], $B$176,
  desp.m.ik[mes], "&gt;="&amp;L$1,
  desp.m.ik[mes], "&lt;"&amp;EOMONTH(L$1,0)+1
)</f>
        <v>0</v>
      </c>
      <c r="M180" s="186">
        <f ca="1">-SUMIFS(
  desp.m.ik[valor],
  desp.m.ik[nucleo], $B180,
  desp.m.ik[variavel], $B$176,
  desp.m.ik[mes], "&gt;="&amp;M$1,
  desp.m.ik[mes], "&lt;"&amp;EOMONTH(M$1,0)+1
)</f>
        <v>0</v>
      </c>
      <c r="N180" s="186">
        <f ca="1">-SUMIFS(
  desp.m.ik[valor],
  desp.m.ik[nucleo], $B180,
  desp.m.ik[variavel], $B$176,
  desp.m.ik[mes], "&gt;="&amp;N$1,
  desp.m.ik[mes], "&lt;"&amp;EOMONTH(N$1,0)+1
)</f>
        <v>0</v>
      </c>
      <c r="O180" s="186">
        <f ca="1">-SUMIFS(
  desp.m.ik[valor],
  desp.m.ik[nucleo], $B180,
  desp.m.ik[variavel], $B$176,
  desp.m.ik[mes], "&gt;="&amp;O$1,
  desp.m.ik[mes], "&lt;"&amp;EOMONTH(O$1,0)+1
)</f>
        <v>0</v>
      </c>
      <c r="P180" s="186">
        <f ca="1">-SUMIFS(
  desp.m.ik[valor],
  desp.m.ik[nucleo], $B180,
  desp.m.ik[variavel], $B$176,
  desp.m.ik[mes], "&gt;="&amp;P$1,
  desp.m.ik[mes], "&lt;"&amp;EOMONTH(P$1,0)+1
)</f>
        <v>0</v>
      </c>
      <c r="Q180" s="186">
        <f ca="1">-SUMIFS(
  desp.m.ik[valor],
  desp.m.ik[nucleo], $B180,
  desp.m.ik[variavel], $B$176,
  desp.m.ik[mes], "&gt;="&amp;Q$1,
  desp.m.ik[mes], "&lt;"&amp;EOMONTH(Q$1,0)+1
)</f>
        <v>0</v>
      </c>
      <c r="R180" s="186">
        <f ca="1">-SUMIFS(
  desp.m.ik[valor],
  desp.m.ik[nucleo], $B180,
  desp.m.ik[variavel], $B$176,
  desp.m.ik[mes], "&gt;="&amp;R$1,
  desp.m.ik[mes], "&lt;"&amp;EOMONTH(R$1,0)+1
)</f>
        <v>0</v>
      </c>
      <c r="S180" s="186">
        <f ca="1">-SUMIFS(
  desp.m.ik[valor],
  desp.m.ik[nucleo], $B180,
  desp.m.ik[variavel], $B$176,
  desp.m.ik[mes], "&gt;="&amp;S$1,
  desp.m.ik[mes], "&lt;"&amp;EOMONTH(S$1,0)+1
)</f>
        <v>0</v>
      </c>
      <c r="T180" s="186">
        <f ca="1">-SUMIFS(
  desp.m.ik[valor],
  desp.m.ik[nucleo], $B180,
  desp.m.ik[variavel], $B$176,
  desp.m.ik[mes], "&gt;="&amp;T$1,
  desp.m.ik[mes], "&lt;"&amp;EOMONTH(T$1,0)+1
)</f>
        <v>0</v>
      </c>
      <c r="U180" s="186">
        <f ca="1">-SUMIFS(
  desp.m.ik[valor],
  desp.m.ik[nucleo], $B180,
  desp.m.ik[variavel], $B$176,
  desp.m.ik[mes], "&gt;="&amp;U$1,
  desp.m.ik[mes], "&lt;"&amp;EOMONTH(U$1,0)+1
)</f>
        <v>0</v>
      </c>
      <c r="V180" s="186">
        <f ca="1">-SUMIFS(
  desp.m.ik[valor],
  desp.m.ik[nucleo], $B180,
  desp.m.ik[variavel], $B$176,
  desp.m.ik[mes], "&gt;="&amp;V$1,
  desp.m.ik[mes], "&lt;"&amp;EOMONTH(V$1,0)+1
)</f>
        <v>0</v>
      </c>
      <c r="W180" s="186">
        <f ca="1">-SUMIFS(
  desp.m.ik[valor],
  desp.m.ik[nucleo], $B180,
  desp.m.ik[variavel], $B$176,
  desp.m.ik[mes], "&gt;="&amp;W$1,
  desp.m.ik[mes], "&lt;"&amp;EOMONTH(W$1,0)+1
)</f>
        <v>0</v>
      </c>
      <c r="X180" s="186">
        <f ca="1">-SUMIFS(
  desp.m.ik[valor],
  desp.m.ik[nucleo], $B180,
  desp.m.ik[variavel], $B$176,
  desp.m.ik[mes], "&gt;="&amp;X$1,
  desp.m.ik[mes], "&lt;"&amp;EOMONTH(X$1,0)+1
)</f>
        <v>0</v>
      </c>
      <c r="Y180" s="186">
        <f ca="1">-SUMIFS(
  desp.m.ik[valor],
  desp.m.ik[nucleo], $B180,
  desp.m.ik[variavel], $B$176,
  desp.m.ik[mes], "&gt;="&amp;Y$1,
  desp.m.ik[mes], "&lt;"&amp;EOMONTH(Y$1,0)+1
)</f>
        <v>0</v>
      </c>
      <c r="Z180" s="186">
        <f ca="1">-SUMIFS(
  desp.m.ik[valor],
  desp.m.ik[nucleo], $B180,
  desp.m.ik[variavel], $B$176,
  desp.m.ik[mes], "&gt;="&amp;Z$1,
  desp.m.ik[mes], "&lt;"&amp;EOMONTH(Z$1,0)+1
)</f>
        <v>0</v>
      </c>
      <c r="AA180" s="186">
        <f ca="1">-SUMIFS(
  desp.m.ik[valor],
  desp.m.ik[nucleo], $B180,
  desp.m.ik[variavel], $B$176,
  desp.m.ik[mes], "&gt;="&amp;AA$1,
  desp.m.ik[mes], "&lt;"&amp;EOMONTH(AA$1,0)+1
)</f>
        <v>0</v>
      </c>
      <c r="AC180" s="178">
        <f t="shared" ca="1" si="31"/>
        <v>0</v>
      </c>
      <c r="AE180" s="178">
        <f t="shared" ca="1" si="32"/>
        <v>0</v>
      </c>
    </row>
    <row r="181" spans="1:31" hidden="1" outlineLevel="2" x14ac:dyDescent="0.25">
      <c r="A181" s="185" t="s">
        <v>601</v>
      </c>
      <c r="B181" s="185" t="s">
        <v>531</v>
      </c>
      <c r="C181" s="138" t="s">
        <v>514</v>
      </c>
      <c r="D181" s="186">
        <f ca="1">-SUMIFS(
  desp.m.ik[valor],
  desp.m.ik[nucleo], $B181,
  desp.m.ik[variavel], $B$176,
  desp.m.ik[mes], "&gt;="&amp;D$1,
  desp.m.ik[mes], "&lt;"&amp;EOMONTH(D$1,0)+1
)</f>
        <v>0</v>
      </c>
      <c r="E181" s="186">
        <f ca="1">-SUMIFS(
  desp.m.ik[valor],
  desp.m.ik[nucleo], $B181,
  desp.m.ik[variavel], $B$176,
  desp.m.ik[mes], "&gt;="&amp;E$1,
  desp.m.ik[mes], "&lt;"&amp;EOMONTH(E$1,0)+1
)</f>
        <v>0</v>
      </c>
      <c r="F181" s="186">
        <f ca="1">-SUMIFS(
  desp.m.ik[valor],
  desp.m.ik[nucleo], $B181,
  desp.m.ik[variavel], $B$176,
  desp.m.ik[mes], "&gt;="&amp;F$1,
  desp.m.ik[mes], "&lt;"&amp;EOMONTH(F$1,0)+1
)</f>
        <v>0</v>
      </c>
      <c r="G181" s="186">
        <f ca="1">-SUMIFS(
  desp.m.ik[valor],
  desp.m.ik[nucleo], $B181,
  desp.m.ik[variavel], $B$176,
  desp.m.ik[mes], "&gt;="&amp;G$1,
  desp.m.ik[mes], "&lt;"&amp;EOMONTH(G$1,0)+1
)</f>
        <v>0</v>
      </c>
      <c r="H181" s="186">
        <f ca="1">-SUMIFS(
  desp.m.ik[valor],
  desp.m.ik[nucleo], $B181,
  desp.m.ik[variavel], $B$176,
  desp.m.ik[mes], "&gt;="&amp;H$1,
  desp.m.ik[mes], "&lt;"&amp;EOMONTH(H$1,0)+1
)</f>
        <v>0</v>
      </c>
      <c r="I181" s="186">
        <f ca="1">-SUMIFS(
  desp.m.ik[valor],
  desp.m.ik[nucleo], $B181,
  desp.m.ik[variavel], $B$176,
  desp.m.ik[mes], "&gt;="&amp;I$1,
  desp.m.ik[mes], "&lt;"&amp;EOMONTH(I$1,0)+1
)</f>
        <v>0</v>
      </c>
      <c r="J181" s="186">
        <f ca="1">-SUMIFS(
  desp.m.ik[valor],
  desp.m.ik[nucleo], $B181,
  desp.m.ik[variavel], $B$176,
  desp.m.ik[mes], "&gt;="&amp;J$1,
  desp.m.ik[mes], "&lt;"&amp;EOMONTH(J$1,0)+1
)</f>
        <v>0</v>
      </c>
      <c r="K181" s="186">
        <f ca="1">-SUMIFS(
  desp.m.ik[valor],
  desp.m.ik[nucleo], $B181,
  desp.m.ik[variavel], $B$176,
  desp.m.ik[mes], "&gt;="&amp;K$1,
  desp.m.ik[mes], "&lt;"&amp;EOMONTH(K$1,0)+1
)</f>
        <v>0</v>
      </c>
      <c r="L181" s="186">
        <f ca="1">-SUMIFS(
  desp.m.ik[valor],
  desp.m.ik[nucleo], $B181,
  desp.m.ik[variavel], $B$176,
  desp.m.ik[mes], "&gt;="&amp;L$1,
  desp.m.ik[mes], "&lt;"&amp;EOMONTH(L$1,0)+1
)</f>
        <v>0</v>
      </c>
      <c r="M181" s="186">
        <f ca="1">-SUMIFS(
  desp.m.ik[valor],
  desp.m.ik[nucleo], $B181,
  desp.m.ik[variavel], $B$176,
  desp.m.ik[mes], "&gt;="&amp;M$1,
  desp.m.ik[mes], "&lt;"&amp;EOMONTH(M$1,0)+1
)</f>
        <v>0</v>
      </c>
      <c r="N181" s="186">
        <f ca="1">-SUMIFS(
  desp.m.ik[valor],
  desp.m.ik[nucleo], $B181,
  desp.m.ik[variavel], $B$176,
  desp.m.ik[mes], "&gt;="&amp;N$1,
  desp.m.ik[mes], "&lt;"&amp;EOMONTH(N$1,0)+1
)</f>
        <v>0</v>
      </c>
      <c r="O181" s="186">
        <f ca="1">-SUMIFS(
  desp.m.ik[valor],
  desp.m.ik[nucleo], $B181,
  desp.m.ik[variavel], $B$176,
  desp.m.ik[mes], "&gt;="&amp;O$1,
  desp.m.ik[mes], "&lt;"&amp;EOMONTH(O$1,0)+1
)</f>
        <v>0</v>
      </c>
      <c r="P181" s="186">
        <f ca="1">-SUMIFS(
  desp.m.ik[valor],
  desp.m.ik[nucleo], $B181,
  desp.m.ik[variavel], $B$176,
  desp.m.ik[mes], "&gt;="&amp;P$1,
  desp.m.ik[mes], "&lt;"&amp;EOMONTH(P$1,0)+1
)</f>
        <v>0</v>
      </c>
      <c r="Q181" s="186">
        <f ca="1">-SUMIFS(
  desp.m.ik[valor],
  desp.m.ik[nucleo], $B181,
  desp.m.ik[variavel], $B$176,
  desp.m.ik[mes], "&gt;="&amp;Q$1,
  desp.m.ik[mes], "&lt;"&amp;EOMONTH(Q$1,0)+1
)</f>
        <v>0</v>
      </c>
      <c r="R181" s="186">
        <f ca="1">-SUMIFS(
  desp.m.ik[valor],
  desp.m.ik[nucleo], $B181,
  desp.m.ik[variavel], $B$176,
  desp.m.ik[mes], "&gt;="&amp;R$1,
  desp.m.ik[mes], "&lt;"&amp;EOMONTH(R$1,0)+1
)</f>
        <v>0</v>
      </c>
      <c r="S181" s="186">
        <f ca="1">-SUMIFS(
  desp.m.ik[valor],
  desp.m.ik[nucleo], $B181,
  desp.m.ik[variavel], $B$176,
  desp.m.ik[mes], "&gt;="&amp;S$1,
  desp.m.ik[mes], "&lt;"&amp;EOMONTH(S$1,0)+1
)</f>
        <v>0</v>
      </c>
      <c r="T181" s="186">
        <f ca="1">-SUMIFS(
  desp.m.ik[valor],
  desp.m.ik[nucleo], $B181,
  desp.m.ik[variavel], $B$176,
  desp.m.ik[mes], "&gt;="&amp;T$1,
  desp.m.ik[mes], "&lt;"&amp;EOMONTH(T$1,0)+1
)</f>
        <v>0</v>
      </c>
      <c r="U181" s="186">
        <f ca="1">-SUMIFS(
  desp.m.ik[valor],
  desp.m.ik[nucleo], $B181,
  desp.m.ik[variavel], $B$176,
  desp.m.ik[mes], "&gt;="&amp;U$1,
  desp.m.ik[mes], "&lt;"&amp;EOMONTH(U$1,0)+1
)</f>
        <v>0</v>
      </c>
      <c r="V181" s="186">
        <f ca="1">-SUMIFS(
  desp.m.ik[valor],
  desp.m.ik[nucleo], $B181,
  desp.m.ik[variavel], $B$176,
  desp.m.ik[mes], "&gt;="&amp;V$1,
  desp.m.ik[mes], "&lt;"&amp;EOMONTH(V$1,0)+1
)</f>
        <v>0</v>
      </c>
      <c r="W181" s="186">
        <f ca="1">-SUMIFS(
  desp.m.ik[valor],
  desp.m.ik[nucleo], $B181,
  desp.m.ik[variavel], $B$176,
  desp.m.ik[mes], "&gt;="&amp;W$1,
  desp.m.ik[mes], "&lt;"&amp;EOMONTH(W$1,0)+1
)</f>
        <v>0</v>
      </c>
      <c r="X181" s="186">
        <f ca="1">-SUMIFS(
  desp.m.ik[valor],
  desp.m.ik[nucleo], $B181,
  desp.m.ik[variavel], $B$176,
  desp.m.ik[mes], "&gt;="&amp;X$1,
  desp.m.ik[mes], "&lt;"&amp;EOMONTH(X$1,0)+1
)</f>
        <v>0</v>
      </c>
      <c r="Y181" s="186">
        <f ca="1">-SUMIFS(
  desp.m.ik[valor],
  desp.m.ik[nucleo], $B181,
  desp.m.ik[variavel], $B$176,
  desp.m.ik[mes], "&gt;="&amp;Y$1,
  desp.m.ik[mes], "&lt;"&amp;EOMONTH(Y$1,0)+1
)</f>
        <v>0</v>
      </c>
      <c r="Z181" s="186">
        <f ca="1">-SUMIFS(
  desp.m.ik[valor],
  desp.m.ik[nucleo], $B181,
  desp.m.ik[variavel], $B$176,
  desp.m.ik[mes], "&gt;="&amp;Z$1,
  desp.m.ik[mes], "&lt;"&amp;EOMONTH(Z$1,0)+1
)</f>
        <v>0</v>
      </c>
      <c r="AA181" s="186">
        <f ca="1">-SUMIFS(
  desp.m.ik[valor],
  desp.m.ik[nucleo], $B181,
  desp.m.ik[variavel], $B$176,
  desp.m.ik[mes], "&gt;="&amp;AA$1,
  desp.m.ik[mes], "&lt;"&amp;EOMONTH(AA$1,0)+1
)</f>
        <v>0</v>
      </c>
      <c r="AC181" s="178">
        <f t="shared" ca="1" si="31"/>
        <v>0</v>
      </c>
      <c r="AE181" s="178">
        <f t="shared" ca="1" si="32"/>
        <v>0</v>
      </c>
    </row>
    <row r="182" spans="1:31" hidden="1" outlineLevel="2" x14ac:dyDescent="0.25">
      <c r="A182" s="185" t="s">
        <v>607</v>
      </c>
      <c r="B182" s="185" t="s">
        <v>704</v>
      </c>
      <c r="C182" s="138" t="s">
        <v>514</v>
      </c>
      <c r="D182" s="186">
        <f ca="1">-SUMIFS(
  desp.m.ik[valor],
  desp.m.ik[nucleo], $B182,
  desp.m.ik[variavel], $B$176,
  desp.m.ik[mes], "&gt;="&amp;D$1,
  desp.m.ik[mes], "&lt;"&amp;EOMONTH(D$1,0)+1
)</f>
        <v>0</v>
      </c>
      <c r="E182" s="186">
        <f ca="1">-SUMIFS(
  desp.m.ik[valor],
  desp.m.ik[nucleo], $B182,
  desp.m.ik[variavel], $B$176,
  desp.m.ik[mes], "&gt;="&amp;E$1,
  desp.m.ik[mes], "&lt;"&amp;EOMONTH(E$1,0)+1
)</f>
        <v>0</v>
      </c>
      <c r="F182" s="186">
        <f ca="1">-SUMIFS(
  desp.m.ik[valor],
  desp.m.ik[nucleo], $B182,
  desp.m.ik[variavel], $B$176,
  desp.m.ik[mes], "&gt;="&amp;F$1,
  desp.m.ik[mes], "&lt;"&amp;EOMONTH(F$1,0)+1
)</f>
        <v>0</v>
      </c>
      <c r="G182" s="186">
        <f ca="1">-SUMIFS(
  desp.m.ik[valor],
  desp.m.ik[nucleo], $B182,
  desp.m.ik[variavel], $B$176,
  desp.m.ik[mes], "&gt;="&amp;G$1,
  desp.m.ik[mes], "&lt;"&amp;EOMONTH(G$1,0)+1
)</f>
        <v>0</v>
      </c>
      <c r="H182" s="186">
        <f ca="1">-SUMIFS(
  desp.m.ik[valor],
  desp.m.ik[nucleo], $B182,
  desp.m.ik[variavel], $B$176,
  desp.m.ik[mes], "&gt;="&amp;H$1,
  desp.m.ik[mes], "&lt;"&amp;EOMONTH(H$1,0)+1
)</f>
        <v>0</v>
      </c>
      <c r="I182" s="186">
        <f ca="1">-SUMIFS(
  desp.m.ik[valor],
  desp.m.ik[nucleo], $B182,
  desp.m.ik[variavel], $B$176,
  desp.m.ik[mes], "&gt;="&amp;I$1,
  desp.m.ik[mes], "&lt;"&amp;EOMONTH(I$1,0)+1
)</f>
        <v>0</v>
      </c>
      <c r="J182" s="186">
        <f ca="1">-SUMIFS(
  desp.m.ik[valor],
  desp.m.ik[nucleo], $B182,
  desp.m.ik[variavel], $B$176,
  desp.m.ik[mes], "&gt;="&amp;J$1,
  desp.m.ik[mes], "&lt;"&amp;EOMONTH(J$1,0)+1
)</f>
        <v>0</v>
      </c>
      <c r="K182" s="186">
        <f ca="1">-SUMIFS(
  desp.m.ik[valor],
  desp.m.ik[nucleo], $B182,
  desp.m.ik[variavel], $B$176,
  desp.m.ik[mes], "&gt;="&amp;K$1,
  desp.m.ik[mes], "&lt;"&amp;EOMONTH(K$1,0)+1
)</f>
        <v>0</v>
      </c>
      <c r="L182" s="186">
        <f ca="1">-SUMIFS(
  desp.m.ik[valor],
  desp.m.ik[nucleo], $B182,
  desp.m.ik[variavel], $B$176,
  desp.m.ik[mes], "&gt;="&amp;L$1,
  desp.m.ik[mes], "&lt;"&amp;EOMONTH(L$1,0)+1
)</f>
        <v>0</v>
      </c>
      <c r="M182" s="186">
        <f ca="1">-SUMIFS(
  desp.m.ik[valor],
  desp.m.ik[nucleo], $B182,
  desp.m.ik[variavel], $B$176,
  desp.m.ik[mes], "&gt;="&amp;M$1,
  desp.m.ik[mes], "&lt;"&amp;EOMONTH(M$1,0)+1
)</f>
        <v>0</v>
      </c>
      <c r="N182" s="186">
        <f ca="1">-SUMIFS(
  desp.m.ik[valor],
  desp.m.ik[nucleo], $B182,
  desp.m.ik[variavel], $B$176,
  desp.m.ik[mes], "&gt;="&amp;N$1,
  desp.m.ik[mes], "&lt;"&amp;EOMONTH(N$1,0)+1
)</f>
        <v>0</v>
      </c>
      <c r="O182" s="186">
        <f ca="1">-SUMIFS(
  desp.m.ik[valor],
  desp.m.ik[nucleo], $B182,
  desp.m.ik[variavel], $B$176,
  desp.m.ik[mes], "&gt;="&amp;O$1,
  desp.m.ik[mes], "&lt;"&amp;EOMONTH(O$1,0)+1
)</f>
        <v>0</v>
      </c>
      <c r="P182" s="186">
        <f ca="1">-SUMIFS(
  desp.m.ik[valor],
  desp.m.ik[nucleo], $B182,
  desp.m.ik[variavel], $B$176,
  desp.m.ik[mes], "&gt;="&amp;P$1,
  desp.m.ik[mes], "&lt;"&amp;EOMONTH(P$1,0)+1
)</f>
        <v>0</v>
      </c>
      <c r="Q182" s="186">
        <f ca="1">-SUMIFS(
  desp.m.ik[valor],
  desp.m.ik[nucleo], $B182,
  desp.m.ik[variavel], $B$176,
  desp.m.ik[mes], "&gt;="&amp;Q$1,
  desp.m.ik[mes], "&lt;"&amp;EOMONTH(Q$1,0)+1
)</f>
        <v>0</v>
      </c>
      <c r="R182" s="186">
        <f ca="1">-SUMIFS(
  desp.m.ik[valor],
  desp.m.ik[nucleo], $B182,
  desp.m.ik[variavel], $B$176,
  desp.m.ik[mes], "&gt;="&amp;R$1,
  desp.m.ik[mes], "&lt;"&amp;EOMONTH(R$1,0)+1
)</f>
        <v>0</v>
      </c>
      <c r="S182" s="186">
        <f ca="1">-SUMIFS(
  desp.m.ik[valor],
  desp.m.ik[nucleo], $B182,
  desp.m.ik[variavel], $B$176,
  desp.m.ik[mes], "&gt;="&amp;S$1,
  desp.m.ik[mes], "&lt;"&amp;EOMONTH(S$1,0)+1
)</f>
        <v>0</v>
      </c>
      <c r="T182" s="186">
        <f ca="1">-SUMIFS(
  desp.m.ik[valor],
  desp.m.ik[nucleo], $B182,
  desp.m.ik[variavel], $B$176,
  desp.m.ik[mes], "&gt;="&amp;T$1,
  desp.m.ik[mes], "&lt;"&amp;EOMONTH(T$1,0)+1
)</f>
        <v>0</v>
      </c>
      <c r="U182" s="186">
        <f ca="1">-SUMIFS(
  desp.m.ik[valor],
  desp.m.ik[nucleo], $B182,
  desp.m.ik[variavel], $B$176,
  desp.m.ik[mes], "&gt;="&amp;U$1,
  desp.m.ik[mes], "&lt;"&amp;EOMONTH(U$1,0)+1
)</f>
        <v>0</v>
      </c>
      <c r="V182" s="186">
        <f ca="1">-SUMIFS(
  desp.m.ik[valor],
  desp.m.ik[nucleo], $B182,
  desp.m.ik[variavel], $B$176,
  desp.m.ik[mes], "&gt;="&amp;V$1,
  desp.m.ik[mes], "&lt;"&amp;EOMONTH(V$1,0)+1
)</f>
        <v>0</v>
      </c>
      <c r="W182" s="186">
        <f ca="1">-SUMIFS(
  desp.m.ik[valor],
  desp.m.ik[nucleo], $B182,
  desp.m.ik[variavel], $B$176,
  desp.m.ik[mes], "&gt;="&amp;W$1,
  desp.m.ik[mes], "&lt;"&amp;EOMONTH(W$1,0)+1
)</f>
        <v>0</v>
      </c>
      <c r="X182" s="186">
        <f ca="1">-SUMIFS(
  desp.m.ik[valor],
  desp.m.ik[nucleo], $B182,
  desp.m.ik[variavel], $B$176,
  desp.m.ik[mes], "&gt;="&amp;X$1,
  desp.m.ik[mes], "&lt;"&amp;EOMONTH(X$1,0)+1
)</f>
        <v>0</v>
      </c>
      <c r="Y182" s="186">
        <f ca="1">-SUMIFS(
  desp.m.ik[valor],
  desp.m.ik[nucleo], $B182,
  desp.m.ik[variavel], $B$176,
  desp.m.ik[mes], "&gt;="&amp;Y$1,
  desp.m.ik[mes], "&lt;"&amp;EOMONTH(Y$1,0)+1
)</f>
        <v>0</v>
      </c>
      <c r="Z182" s="186">
        <f ca="1">-SUMIFS(
  desp.m.ik[valor],
  desp.m.ik[nucleo], $B182,
  desp.m.ik[variavel], $B$176,
  desp.m.ik[mes], "&gt;="&amp;Z$1,
  desp.m.ik[mes], "&lt;"&amp;EOMONTH(Z$1,0)+1
)</f>
        <v>0</v>
      </c>
      <c r="AA182" s="186">
        <f ca="1">-SUMIFS(
  desp.m.ik[valor],
  desp.m.ik[nucleo], $B182,
  desp.m.ik[variavel], $B$176,
  desp.m.ik[mes], "&gt;="&amp;AA$1,
  desp.m.ik[mes], "&lt;"&amp;EOMONTH(AA$1,0)+1
)</f>
        <v>0</v>
      </c>
      <c r="AC182" s="178">
        <f t="shared" ca="1" si="31"/>
        <v>0</v>
      </c>
      <c r="AE182" s="178">
        <f ca="1">SUM(D182:AA182)</f>
        <v>0</v>
      </c>
    </row>
    <row r="183" spans="1:31" hidden="1" outlineLevel="2" x14ac:dyDescent="0.25">
      <c r="A183" s="185" t="s">
        <v>602</v>
      </c>
      <c r="B183" s="185" t="s">
        <v>533</v>
      </c>
      <c r="C183" s="138" t="s">
        <v>514</v>
      </c>
      <c r="D183" s="186">
        <f ca="1">-SUMIFS(
  desp.m.ik[valor],
  desp.m.ik[nucleo], $B183,
  desp.m.ik[variavel], $B$176,
  desp.m.ik[mes], "&gt;="&amp;D$1,
  desp.m.ik[mes], "&lt;"&amp;EOMONTH(D$1,0)+1
)</f>
        <v>0</v>
      </c>
      <c r="E183" s="186">
        <f ca="1">-SUMIFS(
  desp.m.ik[valor],
  desp.m.ik[nucleo], $B183,
  desp.m.ik[variavel], $B$176,
  desp.m.ik[mes], "&gt;="&amp;E$1,
  desp.m.ik[mes], "&lt;"&amp;EOMONTH(E$1,0)+1
)</f>
        <v>0</v>
      </c>
      <c r="F183" s="186">
        <f ca="1">-SUMIFS(
  desp.m.ik[valor],
  desp.m.ik[nucleo], $B183,
  desp.m.ik[variavel], $B$176,
  desp.m.ik[mes], "&gt;="&amp;F$1,
  desp.m.ik[mes], "&lt;"&amp;EOMONTH(F$1,0)+1
)</f>
        <v>0</v>
      </c>
      <c r="G183" s="186">
        <f ca="1">-SUMIFS(
  desp.m.ik[valor],
  desp.m.ik[nucleo], $B183,
  desp.m.ik[variavel], $B$176,
  desp.m.ik[mes], "&gt;="&amp;G$1,
  desp.m.ik[mes], "&lt;"&amp;EOMONTH(G$1,0)+1
)</f>
        <v>0</v>
      </c>
      <c r="H183" s="186">
        <f ca="1">-SUMIFS(
  desp.m.ik[valor],
  desp.m.ik[nucleo], $B183,
  desp.m.ik[variavel], $B$176,
  desp.m.ik[mes], "&gt;="&amp;H$1,
  desp.m.ik[mes], "&lt;"&amp;EOMONTH(H$1,0)+1
)</f>
        <v>0</v>
      </c>
      <c r="I183" s="186">
        <f ca="1">-SUMIFS(
  desp.m.ik[valor],
  desp.m.ik[nucleo], $B183,
  desp.m.ik[variavel], $B$176,
  desp.m.ik[mes], "&gt;="&amp;I$1,
  desp.m.ik[mes], "&lt;"&amp;EOMONTH(I$1,0)+1
)</f>
        <v>0</v>
      </c>
      <c r="J183" s="186">
        <f ca="1">-SUMIFS(
  desp.m.ik[valor],
  desp.m.ik[nucleo], $B183,
  desp.m.ik[variavel], $B$176,
  desp.m.ik[mes], "&gt;="&amp;J$1,
  desp.m.ik[mes], "&lt;"&amp;EOMONTH(J$1,0)+1
)</f>
        <v>0</v>
      </c>
      <c r="K183" s="186">
        <f ca="1">-SUMIFS(
  desp.m.ik[valor],
  desp.m.ik[nucleo], $B183,
  desp.m.ik[variavel], $B$176,
  desp.m.ik[mes], "&gt;="&amp;K$1,
  desp.m.ik[mes], "&lt;"&amp;EOMONTH(K$1,0)+1
)</f>
        <v>0</v>
      </c>
      <c r="L183" s="186">
        <f ca="1">-SUMIFS(
  desp.m.ik[valor],
  desp.m.ik[nucleo], $B183,
  desp.m.ik[variavel], $B$176,
  desp.m.ik[mes], "&gt;="&amp;L$1,
  desp.m.ik[mes], "&lt;"&amp;EOMONTH(L$1,0)+1
)</f>
        <v>0</v>
      </c>
      <c r="M183" s="186">
        <f ca="1">-SUMIFS(
  desp.m.ik[valor],
  desp.m.ik[nucleo], $B183,
  desp.m.ik[variavel], $B$176,
  desp.m.ik[mes], "&gt;="&amp;M$1,
  desp.m.ik[mes], "&lt;"&amp;EOMONTH(M$1,0)+1
)</f>
        <v>0</v>
      </c>
      <c r="N183" s="186">
        <f ca="1">-SUMIFS(
  desp.m.ik[valor],
  desp.m.ik[nucleo], $B183,
  desp.m.ik[variavel], $B$176,
  desp.m.ik[mes], "&gt;="&amp;N$1,
  desp.m.ik[mes], "&lt;"&amp;EOMONTH(N$1,0)+1
)</f>
        <v>0</v>
      </c>
      <c r="O183" s="186">
        <f ca="1">-SUMIFS(
  desp.m.ik[valor],
  desp.m.ik[nucleo], $B183,
  desp.m.ik[variavel], $B$176,
  desp.m.ik[mes], "&gt;="&amp;O$1,
  desp.m.ik[mes], "&lt;"&amp;EOMONTH(O$1,0)+1
)</f>
        <v>0</v>
      </c>
      <c r="P183" s="186">
        <f ca="1">-SUMIFS(
  desp.m.ik[valor],
  desp.m.ik[nucleo], $B183,
  desp.m.ik[variavel], $B$176,
  desp.m.ik[mes], "&gt;="&amp;P$1,
  desp.m.ik[mes], "&lt;"&amp;EOMONTH(P$1,0)+1
)</f>
        <v>0</v>
      </c>
      <c r="Q183" s="186">
        <f ca="1">-SUMIFS(
  desp.m.ik[valor],
  desp.m.ik[nucleo], $B183,
  desp.m.ik[variavel], $B$176,
  desp.m.ik[mes], "&gt;="&amp;Q$1,
  desp.m.ik[mes], "&lt;"&amp;EOMONTH(Q$1,0)+1
)</f>
        <v>0</v>
      </c>
      <c r="R183" s="186">
        <f ca="1">-SUMIFS(
  desp.m.ik[valor],
  desp.m.ik[nucleo], $B183,
  desp.m.ik[variavel], $B$176,
  desp.m.ik[mes], "&gt;="&amp;R$1,
  desp.m.ik[mes], "&lt;"&amp;EOMONTH(R$1,0)+1
)</f>
        <v>0</v>
      </c>
      <c r="S183" s="186">
        <f ca="1">-SUMIFS(
  desp.m.ik[valor],
  desp.m.ik[nucleo], $B183,
  desp.m.ik[variavel], $B$176,
  desp.m.ik[mes], "&gt;="&amp;S$1,
  desp.m.ik[mes], "&lt;"&amp;EOMONTH(S$1,0)+1
)</f>
        <v>0</v>
      </c>
      <c r="T183" s="186">
        <f ca="1">-SUMIFS(
  desp.m.ik[valor],
  desp.m.ik[nucleo], $B183,
  desp.m.ik[variavel], $B$176,
  desp.m.ik[mes], "&gt;="&amp;T$1,
  desp.m.ik[mes], "&lt;"&amp;EOMONTH(T$1,0)+1
)</f>
        <v>0</v>
      </c>
      <c r="U183" s="186">
        <f ca="1">-SUMIFS(
  desp.m.ik[valor],
  desp.m.ik[nucleo], $B183,
  desp.m.ik[variavel], $B$176,
  desp.m.ik[mes], "&gt;="&amp;U$1,
  desp.m.ik[mes], "&lt;"&amp;EOMONTH(U$1,0)+1
)</f>
        <v>0</v>
      </c>
      <c r="V183" s="186">
        <f ca="1">-SUMIFS(
  desp.m.ik[valor],
  desp.m.ik[nucleo], $B183,
  desp.m.ik[variavel], $B$176,
  desp.m.ik[mes], "&gt;="&amp;V$1,
  desp.m.ik[mes], "&lt;"&amp;EOMONTH(V$1,0)+1
)</f>
        <v>0</v>
      </c>
      <c r="W183" s="186">
        <f ca="1">-SUMIFS(
  desp.m.ik[valor],
  desp.m.ik[nucleo], $B183,
  desp.m.ik[variavel], $B$176,
  desp.m.ik[mes], "&gt;="&amp;W$1,
  desp.m.ik[mes], "&lt;"&amp;EOMONTH(W$1,0)+1
)</f>
        <v>0</v>
      </c>
      <c r="X183" s="186">
        <f ca="1">-SUMIFS(
  desp.m.ik[valor],
  desp.m.ik[nucleo], $B183,
  desp.m.ik[variavel], $B$176,
  desp.m.ik[mes], "&gt;="&amp;X$1,
  desp.m.ik[mes], "&lt;"&amp;EOMONTH(X$1,0)+1
)</f>
        <v>0</v>
      </c>
      <c r="Y183" s="186">
        <f ca="1">-SUMIFS(
  desp.m.ik[valor],
  desp.m.ik[nucleo], $B183,
  desp.m.ik[variavel], $B$176,
  desp.m.ik[mes], "&gt;="&amp;Y$1,
  desp.m.ik[mes], "&lt;"&amp;EOMONTH(Y$1,0)+1
)</f>
        <v>0</v>
      </c>
      <c r="Z183" s="186">
        <f ca="1">-SUMIFS(
  desp.m.ik[valor],
  desp.m.ik[nucleo], $B183,
  desp.m.ik[variavel], $B$176,
  desp.m.ik[mes], "&gt;="&amp;Z$1,
  desp.m.ik[mes], "&lt;"&amp;EOMONTH(Z$1,0)+1
)</f>
        <v>0</v>
      </c>
      <c r="AA183" s="186">
        <f ca="1">-SUMIFS(
  desp.m.ik[valor],
  desp.m.ik[nucleo], $B183,
  desp.m.ik[variavel], $B$176,
  desp.m.ik[mes], "&gt;="&amp;AA$1,
  desp.m.ik[mes], "&lt;"&amp;EOMONTH(AA$1,0)+1
)</f>
        <v>0</v>
      </c>
      <c r="AC183" s="178">
        <f t="shared" ca="1" si="31"/>
        <v>0</v>
      </c>
      <c r="AE183" s="178">
        <f t="shared" ca="1" si="32"/>
        <v>0</v>
      </c>
    </row>
    <row r="184" spans="1:31" hidden="1" outlineLevel="2" x14ac:dyDescent="0.25">
      <c r="A184" s="185" t="s">
        <v>603</v>
      </c>
      <c r="B184" s="185" t="s">
        <v>578</v>
      </c>
      <c r="C184" s="138" t="s">
        <v>514</v>
      </c>
      <c r="D184" s="186">
        <f ca="1">-SUMIFS(
  desp.m.ik[valor],
  desp.m.ik[nucleo], $B184,
  desp.m.ik[variavel], $B$176,
  desp.m.ik[mes], "&gt;="&amp;D$1,
  desp.m.ik[mes], "&lt;"&amp;EOMONTH(D$1,0)+1
)</f>
        <v>0</v>
      </c>
      <c r="E184" s="186">
        <f ca="1">-SUMIFS(
  desp.m.ik[valor],
  desp.m.ik[nucleo], $B184,
  desp.m.ik[variavel], $B$176,
  desp.m.ik[mes], "&gt;="&amp;E$1,
  desp.m.ik[mes], "&lt;"&amp;EOMONTH(E$1,0)+1
)</f>
        <v>0</v>
      </c>
      <c r="F184" s="186">
        <f ca="1">-SUMIFS(
  desp.m.ik[valor],
  desp.m.ik[nucleo], $B184,
  desp.m.ik[variavel], $B$176,
  desp.m.ik[mes], "&gt;="&amp;F$1,
  desp.m.ik[mes], "&lt;"&amp;EOMONTH(F$1,0)+1
)</f>
        <v>0</v>
      </c>
      <c r="G184" s="186">
        <f ca="1">-SUMIFS(
  desp.m.ik[valor],
  desp.m.ik[nucleo], $B184,
  desp.m.ik[variavel], $B$176,
  desp.m.ik[mes], "&gt;="&amp;G$1,
  desp.m.ik[mes], "&lt;"&amp;EOMONTH(G$1,0)+1
)</f>
        <v>0</v>
      </c>
      <c r="H184" s="186">
        <f ca="1">-SUMIFS(
  desp.m.ik[valor],
  desp.m.ik[nucleo], $B184,
  desp.m.ik[variavel], $B$176,
  desp.m.ik[mes], "&gt;="&amp;H$1,
  desp.m.ik[mes], "&lt;"&amp;EOMONTH(H$1,0)+1
)</f>
        <v>0</v>
      </c>
      <c r="I184" s="186">
        <f ca="1">-SUMIFS(
  desp.m.ik[valor],
  desp.m.ik[nucleo], $B184,
  desp.m.ik[variavel], $B$176,
  desp.m.ik[mes], "&gt;="&amp;I$1,
  desp.m.ik[mes], "&lt;"&amp;EOMONTH(I$1,0)+1
)</f>
        <v>0</v>
      </c>
      <c r="J184" s="186">
        <f ca="1">-SUMIFS(
  desp.m.ik[valor],
  desp.m.ik[nucleo], $B184,
  desp.m.ik[variavel], $B$176,
  desp.m.ik[mes], "&gt;="&amp;J$1,
  desp.m.ik[mes], "&lt;"&amp;EOMONTH(J$1,0)+1
)</f>
        <v>0</v>
      </c>
      <c r="K184" s="186">
        <f ca="1">-SUMIFS(
  desp.m.ik[valor],
  desp.m.ik[nucleo], $B184,
  desp.m.ik[variavel], $B$176,
  desp.m.ik[mes], "&gt;="&amp;K$1,
  desp.m.ik[mes], "&lt;"&amp;EOMONTH(K$1,0)+1
)</f>
        <v>0</v>
      </c>
      <c r="L184" s="186">
        <f ca="1">-SUMIFS(
  desp.m.ik[valor],
  desp.m.ik[nucleo], $B184,
  desp.m.ik[variavel], $B$176,
  desp.m.ik[mes], "&gt;="&amp;L$1,
  desp.m.ik[mes], "&lt;"&amp;EOMONTH(L$1,0)+1
)</f>
        <v>0</v>
      </c>
      <c r="M184" s="186">
        <f ca="1">-SUMIFS(
  desp.m.ik[valor],
  desp.m.ik[nucleo], $B184,
  desp.m.ik[variavel], $B$176,
  desp.m.ik[mes], "&gt;="&amp;M$1,
  desp.m.ik[mes], "&lt;"&amp;EOMONTH(M$1,0)+1
)</f>
        <v>0</v>
      </c>
      <c r="N184" s="186">
        <f ca="1">-SUMIFS(
  desp.m.ik[valor],
  desp.m.ik[nucleo], $B184,
  desp.m.ik[variavel], $B$176,
  desp.m.ik[mes], "&gt;="&amp;N$1,
  desp.m.ik[mes], "&lt;"&amp;EOMONTH(N$1,0)+1
)</f>
        <v>0</v>
      </c>
      <c r="O184" s="186">
        <f ca="1">-SUMIFS(
  desp.m.ik[valor],
  desp.m.ik[nucleo], $B184,
  desp.m.ik[variavel], $B$176,
  desp.m.ik[mes], "&gt;="&amp;O$1,
  desp.m.ik[mes], "&lt;"&amp;EOMONTH(O$1,0)+1
)</f>
        <v>0</v>
      </c>
      <c r="P184" s="186">
        <f ca="1">-SUMIFS(
  desp.m.ik[valor],
  desp.m.ik[nucleo], $B184,
  desp.m.ik[variavel], $B$176,
  desp.m.ik[mes], "&gt;="&amp;P$1,
  desp.m.ik[mes], "&lt;"&amp;EOMONTH(P$1,0)+1
)</f>
        <v>0</v>
      </c>
      <c r="Q184" s="186">
        <f ca="1">-SUMIFS(
  desp.m.ik[valor],
  desp.m.ik[nucleo], $B184,
  desp.m.ik[variavel], $B$176,
  desp.m.ik[mes], "&gt;="&amp;Q$1,
  desp.m.ik[mes], "&lt;"&amp;EOMONTH(Q$1,0)+1
)</f>
        <v>0</v>
      </c>
      <c r="R184" s="186">
        <f ca="1">-SUMIFS(
  desp.m.ik[valor],
  desp.m.ik[nucleo], $B184,
  desp.m.ik[variavel], $B$176,
  desp.m.ik[mes], "&gt;="&amp;R$1,
  desp.m.ik[mes], "&lt;"&amp;EOMONTH(R$1,0)+1
)</f>
        <v>0</v>
      </c>
      <c r="S184" s="186">
        <f ca="1">-SUMIFS(
  desp.m.ik[valor],
  desp.m.ik[nucleo], $B184,
  desp.m.ik[variavel], $B$176,
  desp.m.ik[mes], "&gt;="&amp;S$1,
  desp.m.ik[mes], "&lt;"&amp;EOMONTH(S$1,0)+1
)</f>
        <v>0</v>
      </c>
      <c r="T184" s="186">
        <f ca="1">-SUMIFS(
  desp.m.ik[valor],
  desp.m.ik[nucleo], $B184,
  desp.m.ik[variavel], $B$176,
  desp.m.ik[mes], "&gt;="&amp;T$1,
  desp.m.ik[mes], "&lt;"&amp;EOMONTH(T$1,0)+1
)</f>
        <v>0</v>
      </c>
      <c r="U184" s="186">
        <f ca="1">-SUMIFS(
  desp.m.ik[valor],
  desp.m.ik[nucleo], $B184,
  desp.m.ik[variavel], $B$176,
  desp.m.ik[mes], "&gt;="&amp;U$1,
  desp.m.ik[mes], "&lt;"&amp;EOMONTH(U$1,0)+1
)</f>
        <v>0</v>
      </c>
      <c r="V184" s="186">
        <f ca="1">-SUMIFS(
  desp.m.ik[valor],
  desp.m.ik[nucleo], $B184,
  desp.m.ik[variavel], $B$176,
  desp.m.ik[mes], "&gt;="&amp;V$1,
  desp.m.ik[mes], "&lt;"&amp;EOMONTH(V$1,0)+1
)</f>
        <v>0</v>
      </c>
      <c r="W184" s="186">
        <f ca="1">-SUMIFS(
  desp.m.ik[valor],
  desp.m.ik[nucleo], $B184,
  desp.m.ik[variavel], $B$176,
  desp.m.ik[mes], "&gt;="&amp;W$1,
  desp.m.ik[mes], "&lt;"&amp;EOMONTH(W$1,0)+1
)</f>
        <v>0</v>
      </c>
      <c r="X184" s="186">
        <f ca="1">-SUMIFS(
  desp.m.ik[valor],
  desp.m.ik[nucleo], $B184,
  desp.m.ik[variavel], $B$176,
  desp.m.ik[mes], "&gt;="&amp;X$1,
  desp.m.ik[mes], "&lt;"&amp;EOMONTH(X$1,0)+1
)</f>
        <v>0</v>
      </c>
      <c r="Y184" s="186">
        <f ca="1">-SUMIFS(
  desp.m.ik[valor],
  desp.m.ik[nucleo], $B184,
  desp.m.ik[variavel], $B$176,
  desp.m.ik[mes], "&gt;="&amp;Y$1,
  desp.m.ik[mes], "&lt;"&amp;EOMONTH(Y$1,0)+1
)</f>
        <v>0</v>
      </c>
      <c r="Z184" s="186">
        <f ca="1">-SUMIFS(
  desp.m.ik[valor],
  desp.m.ik[nucleo], $B184,
  desp.m.ik[variavel], $B$176,
  desp.m.ik[mes], "&gt;="&amp;Z$1,
  desp.m.ik[mes], "&lt;"&amp;EOMONTH(Z$1,0)+1
)</f>
        <v>0</v>
      </c>
      <c r="AA184" s="186">
        <f ca="1">-SUMIFS(
  desp.m.ik[valor],
  desp.m.ik[nucleo], $B184,
  desp.m.ik[variavel], $B$176,
  desp.m.ik[mes], "&gt;="&amp;AA$1,
  desp.m.ik[mes], "&lt;"&amp;EOMONTH(AA$1,0)+1
)</f>
        <v>0</v>
      </c>
      <c r="AC184" s="178">
        <f t="shared" ca="1" si="31"/>
        <v>0</v>
      </c>
      <c r="AE184" s="178">
        <f t="shared" ca="1" si="32"/>
        <v>0</v>
      </c>
    </row>
    <row r="185" spans="1:31" hidden="1" outlineLevel="2" x14ac:dyDescent="0.25">
      <c r="A185" s="185" t="s">
        <v>605</v>
      </c>
      <c r="B185" s="185" t="s">
        <v>541</v>
      </c>
      <c r="C185" s="138" t="s">
        <v>514</v>
      </c>
      <c r="D185" s="186">
        <f ca="1">-SUMIFS(
  desp.m.ik[valor],
  desp.m.ik[nucleo], $B185,
  desp.m.ik[variavel], $B$176,
  desp.m.ik[mes], "&gt;="&amp;D$1,
  desp.m.ik[mes], "&lt;"&amp;EOMONTH(D$1,0)+1
)</f>
        <v>0</v>
      </c>
      <c r="E185" s="186">
        <f ca="1">-SUMIFS(
  desp.m.ik[valor],
  desp.m.ik[nucleo], $B185,
  desp.m.ik[variavel], $B$176,
  desp.m.ik[mes], "&gt;="&amp;E$1,
  desp.m.ik[mes], "&lt;"&amp;EOMONTH(E$1,0)+1
)</f>
        <v>0</v>
      </c>
      <c r="F185" s="186">
        <f ca="1">-SUMIFS(
  desp.m.ik[valor],
  desp.m.ik[nucleo], $B185,
  desp.m.ik[variavel], $B$176,
  desp.m.ik[mes], "&gt;="&amp;F$1,
  desp.m.ik[mes], "&lt;"&amp;EOMONTH(F$1,0)+1
)</f>
        <v>0</v>
      </c>
      <c r="G185" s="186">
        <f ca="1">-SUMIFS(
  desp.m.ik[valor],
  desp.m.ik[nucleo], $B185,
  desp.m.ik[variavel], $B$176,
  desp.m.ik[mes], "&gt;="&amp;G$1,
  desp.m.ik[mes], "&lt;"&amp;EOMONTH(G$1,0)+1
)</f>
        <v>0</v>
      </c>
      <c r="H185" s="186">
        <f ca="1">-SUMIFS(
  desp.m.ik[valor],
  desp.m.ik[nucleo], $B185,
  desp.m.ik[variavel], $B$176,
  desp.m.ik[mes], "&gt;="&amp;H$1,
  desp.m.ik[mes], "&lt;"&amp;EOMONTH(H$1,0)+1
)</f>
        <v>0</v>
      </c>
      <c r="I185" s="186">
        <f ca="1">-SUMIFS(
  desp.m.ik[valor],
  desp.m.ik[nucleo], $B185,
  desp.m.ik[variavel], $B$176,
  desp.m.ik[mes], "&gt;="&amp;I$1,
  desp.m.ik[mes], "&lt;"&amp;EOMONTH(I$1,0)+1
)</f>
        <v>0</v>
      </c>
      <c r="J185" s="186">
        <f ca="1">-SUMIFS(
  desp.m.ik[valor],
  desp.m.ik[nucleo], $B185,
  desp.m.ik[variavel], $B$176,
  desp.m.ik[mes], "&gt;="&amp;J$1,
  desp.m.ik[mes], "&lt;"&amp;EOMONTH(J$1,0)+1
)</f>
        <v>0</v>
      </c>
      <c r="K185" s="186">
        <f ca="1">-SUMIFS(
  desp.m.ik[valor],
  desp.m.ik[nucleo], $B185,
  desp.m.ik[variavel], $B$176,
  desp.m.ik[mes], "&gt;="&amp;K$1,
  desp.m.ik[mes], "&lt;"&amp;EOMONTH(K$1,0)+1
)</f>
        <v>0</v>
      </c>
      <c r="L185" s="186">
        <f ca="1">-SUMIFS(
  desp.m.ik[valor],
  desp.m.ik[nucleo], $B185,
  desp.m.ik[variavel], $B$176,
  desp.m.ik[mes], "&gt;="&amp;L$1,
  desp.m.ik[mes], "&lt;"&amp;EOMONTH(L$1,0)+1
)</f>
        <v>0</v>
      </c>
      <c r="M185" s="186">
        <f ca="1">-SUMIFS(
  desp.m.ik[valor],
  desp.m.ik[nucleo], $B185,
  desp.m.ik[variavel], $B$176,
  desp.m.ik[mes], "&gt;="&amp;M$1,
  desp.m.ik[mes], "&lt;"&amp;EOMONTH(M$1,0)+1
)</f>
        <v>0</v>
      </c>
      <c r="N185" s="186">
        <f ca="1">-SUMIFS(
  desp.m.ik[valor],
  desp.m.ik[nucleo], $B185,
  desp.m.ik[variavel], $B$176,
  desp.m.ik[mes], "&gt;="&amp;N$1,
  desp.m.ik[mes], "&lt;"&amp;EOMONTH(N$1,0)+1
)</f>
        <v>0</v>
      </c>
      <c r="O185" s="186">
        <f ca="1">-SUMIFS(
  desp.m.ik[valor],
  desp.m.ik[nucleo], $B185,
  desp.m.ik[variavel], $B$176,
  desp.m.ik[mes], "&gt;="&amp;O$1,
  desp.m.ik[mes], "&lt;"&amp;EOMONTH(O$1,0)+1
)</f>
        <v>0</v>
      </c>
      <c r="P185" s="186">
        <f ca="1">-SUMIFS(
  desp.m.ik[valor],
  desp.m.ik[nucleo], $B185,
  desp.m.ik[variavel], $B$176,
  desp.m.ik[mes], "&gt;="&amp;P$1,
  desp.m.ik[mes], "&lt;"&amp;EOMONTH(P$1,0)+1
)</f>
        <v>0</v>
      </c>
      <c r="Q185" s="186">
        <f ca="1">-SUMIFS(
  desp.m.ik[valor],
  desp.m.ik[nucleo], $B185,
  desp.m.ik[variavel], $B$176,
  desp.m.ik[mes], "&gt;="&amp;Q$1,
  desp.m.ik[mes], "&lt;"&amp;EOMONTH(Q$1,0)+1
)</f>
        <v>0</v>
      </c>
      <c r="R185" s="186">
        <f ca="1">-SUMIFS(
  desp.m.ik[valor],
  desp.m.ik[nucleo], $B185,
  desp.m.ik[variavel], $B$176,
  desp.m.ik[mes], "&gt;="&amp;R$1,
  desp.m.ik[mes], "&lt;"&amp;EOMONTH(R$1,0)+1
)</f>
        <v>0</v>
      </c>
      <c r="S185" s="186">
        <f ca="1">-SUMIFS(
  desp.m.ik[valor],
  desp.m.ik[nucleo], $B185,
  desp.m.ik[variavel], $B$176,
  desp.m.ik[mes], "&gt;="&amp;S$1,
  desp.m.ik[mes], "&lt;"&amp;EOMONTH(S$1,0)+1
)</f>
        <v>0</v>
      </c>
      <c r="T185" s="186">
        <f ca="1">-SUMIFS(
  desp.m.ik[valor],
  desp.m.ik[nucleo], $B185,
  desp.m.ik[variavel], $B$176,
  desp.m.ik[mes], "&gt;="&amp;T$1,
  desp.m.ik[mes], "&lt;"&amp;EOMONTH(T$1,0)+1
)</f>
        <v>0</v>
      </c>
      <c r="U185" s="186">
        <f ca="1">-SUMIFS(
  desp.m.ik[valor],
  desp.m.ik[nucleo], $B185,
  desp.m.ik[variavel], $B$176,
  desp.m.ik[mes], "&gt;="&amp;U$1,
  desp.m.ik[mes], "&lt;"&amp;EOMONTH(U$1,0)+1
)</f>
        <v>0</v>
      </c>
      <c r="V185" s="186">
        <f ca="1">-SUMIFS(
  desp.m.ik[valor],
  desp.m.ik[nucleo], $B185,
  desp.m.ik[variavel], $B$176,
  desp.m.ik[mes], "&gt;="&amp;V$1,
  desp.m.ik[mes], "&lt;"&amp;EOMONTH(V$1,0)+1
)</f>
        <v>0</v>
      </c>
      <c r="W185" s="186">
        <f ca="1">-SUMIFS(
  desp.m.ik[valor],
  desp.m.ik[nucleo], $B185,
  desp.m.ik[variavel], $B$176,
  desp.m.ik[mes], "&gt;="&amp;W$1,
  desp.m.ik[mes], "&lt;"&amp;EOMONTH(W$1,0)+1
)</f>
        <v>0</v>
      </c>
      <c r="X185" s="186">
        <f ca="1">-SUMIFS(
  desp.m.ik[valor],
  desp.m.ik[nucleo], $B185,
  desp.m.ik[variavel], $B$176,
  desp.m.ik[mes], "&gt;="&amp;X$1,
  desp.m.ik[mes], "&lt;"&amp;EOMONTH(X$1,0)+1
)</f>
        <v>0</v>
      </c>
      <c r="Y185" s="186">
        <f ca="1">-SUMIFS(
  desp.m.ik[valor],
  desp.m.ik[nucleo], $B185,
  desp.m.ik[variavel], $B$176,
  desp.m.ik[mes], "&gt;="&amp;Y$1,
  desp.m.ik[mes], "&lt;"&amp;EOMONTH(Y$1,0)+1
)</f>
        <v>0</v>
      </c>
      <c r="Z185" s="186">
        <f ca="1">-SUMIFS(
  desp.m.ik[valor],
  desp.m.ik[nucleo], $B185,
  desp.m.ik[variavel], $B$176,
  desp.m.ik[mes], "&gt;="&amp;Z$1,
  desp.m.ik[mes], "&lt;"&amp;EOMONTH(Z$1,0)+1
)</f>
        <v>0</v>
      </c>
      <c r="AA185" s="186">
        <f ca="1">-SUMIFS(
  desp.m.ik[valor],
  desp.m.ik[nucleo], $B185,
  desp.m.ik[variavel], $B$176,
  desp.m.ik[mes], "&gt;="&amp;AA$1,
  desp.m.ik[mes], "&lt;"&amp;EOMONTH(AA$1,0)+1
)</f>
        <v>0</v>
      </c>
      <c r="AC185" s="178">
        <f t="shared" ca="1" si="31"/>
        <v>0</v>
      </c>
      <c r="AE185" s="178">
        <f t="shared" ca="1" si="32"/>
        <v>0</v>
      </c>
    </row>
    <row r="186" spans="1:31" hidden="1" outlineLevel="2" x14ac:dyDescent="0.25">
      <c r="A186" s="185" t="s">
        <v>604</v>
      </c>
      <c r="B186" s="185" t="s">
        <v>537</v>
      </c>
      <c r="C186" s="138" t="s">
        <v>514</v>
      </c>
      <c r="D186" s="186">
        <f ca="1">-SUMIFS(
  desp.m.ik[valor],
  desp.m.ik[nucleo], $B186,
  desp.m.ik[variavel], $B$176,
  desp.m.ik[mes], "&gt;="&amp;D$1,
  desp.m.ik[mes], "&lt;"&amp;EOMONTH(D$1,0)+1
)</f>
        <v>0</v>
      </c>
      <c r="E186" s="186">
        <f ca="1">-SUMIFS(
  desp.m.ik[valor],
  desp.m.ik[nucleo], $B186,
  desp.m.ik[variavel], $B$176,
  desp.m.ik[mes], "&gt;="&amp;E$1,
  desp.m.ik[mes], "&lt;"&amp;EOMONTH(E$1,0)+1
)</f>
        <v>0</v>
      </c>
      <c r="F186" s="186">
        <f ca="1">-SUMIFS(
  desp.m.ik[valor],
  desp.m.ik[nucleo], $B186,
  desp.m.ik[variavel], $B$176,
  desp.m.ik[mes], "&gt;="&amp;F$1,
  desp.m.ik[mes], "&lt;"&amp;EOMONTH(F$1,0)+1
)</f>
        <v>0</v>
      </c>
      <c r="G186" s="186">
        <f ca="1">-SUMIFS(
  desp.m.ik[valor],
  desp.m.ik[nucleo], $B186,
  desp.m.ik[variavel], $B$176,
  desp.m.ik[mes], "&gt;="&amp;G$1,
  desp.m.ik[mes], "&lt;"&amp;EOMONTH(G$1,0)+1
)</f>
        <v>0</v>
      </c>
      <c r="H186" s="186">
        <f ca="1">-SUMIFS(
  desp.m.ik[valor],
  desp.m.ik[nucleo], $B186,
  desp.m.ik[variavel], $B$176,
  desp.m.ik[mes], "&gt;="&amp;H$1,
  desp.m.ik[mes], "&lt;"&amp;EOMONTH(H$1,0)+1
)</f>
        <v>0</v>
      </c>
      <c r="I186" s="186">
        <f ca="1">-SUMIFS(
  desp.m.ik[valor],
  desp.m.ik[nucleo], $B186,
  desp.m.ik[variavel], $B$176,
  desp.m.ik[mes], "&gt;="&amp;I$1,
  desp.m.ik[mes], "&lt;"&amp;EOMONTH(I$1,0)+1
)</f>
        <v>0</v>
      </c>
      <c r="J186" s="186">
        <f ca="1">-SUMIFS(
  desp.m.ik[valor],
  desp.m.ik[nucleo], $B186,
  desp.m.ik[variavel], $B$176,
  desp.m.ik[mes], "&gt;="&amp;J$1,
  desp.m.ik[mes], "&lt;"&amp;EOMONTH(J$1,0)+1
)</f>
        <v>0</v>
      </c>
      <c r="K186" s="186">
        <f ca="1">-SUMIFS(
  desp.m.ik[valor],
  desp.m.ik[nucleo], $B186,
  desp.m.ik[variavel], $B$176,
  desp.m.ik[mes], "&gt;="&amp;K$1,
  desp.m.ik[mes], "&lt;"&amp;EOMONTH(K$1,0)+1
)</f>
        <v>0</v>
      </c>
      <c r="L186" s="186">
        <f ca="1">-SUMIFS(
  desp.m.ik[valor],
  desp.m.ik[nucleo], $B186,
  desp.m.ik[variavel], $B$176,
  desp.m.ik[mes], "&gt;="&amp;L$1,
  desp.m.ik[mes], "&lt;"&amp;EOMONTH(L$1,0)+1
)</f>
        <v>0</v>
      </c>
      <c r="M186" s="186">
        <f ca="1">-SUMIFS(
  desp.m.ik[valor],
  desp.m.ik[nucleo], $B186,
  desp.m.ik[variavel], $B$176,
  desp.m.ik[mes], "&gt;="&amp;M$1,
  desp.m.ik[mes], "&lt;"&amp;EOMONTH(M$1,0)+1
)</f>
        <v>0</v>
      </c>
      <c r="N186" s="186">
        <f ca="1">-SUMIFS(
  desp.m.ik[valor],
  desp.m.ik[nucleo], $B186,
  desp.m.ik[variavel], $B$176,
  desp.m.ik[mes], "&gt;="&amp;N$1,
  desp.m.ik[mes], "&lt;"&amp;EOMONTH(N$1,0)+1
)</f>
        <v>0</v>
      </c>
      <c r="O186" s="186">
        <f ca="1">-SUMIFS(
  desp.m.ik[valor],
  desp.m.ik[nucleo], $B186,
  desp.m.ik[variavel], $B$176,
  desp.m.ik[mes], "&gt;="&amp;O$1,
  desp.m.ik[mes], "&lt;"&amp;EOMONTH(O$1,0)+1
)</f>
        <v>0</v>
      </c>
      <c r="P186" s="186">
        <f ca="1">-SUMIFS(
  desp.m.ik[valor],
  desp.m.ik[nucleo], $B186,
  desp.m.ik[variavel], $B$176,
  desp.m.ik[mes], "&gt;="&amp;P$1,
  desp.m.ik[mes], "&lt;"&amp;EOMONTH(P$1,0)+1
)</f>
        <v>0</v>
      </c>
      <c r="Q186" s="186">
        <f ca="1">-SUMIFS(
  desp.m.ik[valor],
  desp.m.ik[nucleo], $B186,
  desp.m.ik[variavel], $B$176,
  desp.m.ik[mes], "&gt;="&amp;Q$1,
  desp.m.ik[mes], "&lt;"&amp;EOMONTH(Q$1,0)+1
)</f>
        <v>0</v>
      </c>
      <c r="R186" s="186">
        <f ca="1">-SUMIFS(
  desp.m.ik[valor],
  desp.m.ik[nucleo], $B186,
  desp.m.ik[variavel], $B$176,
  desp.m.ik[mes], "&gt;="&amp;R$1,
  desp.m.ik[mes], "&lt;"&amp;EOMONTH(R$1,0)+1
)</f>
        <v>0</v>
      </c>
      <c r="S186" s="186">
        <f ca="1">-SUMIFS(
  desp.m.ik[valor],
  desp.m.ik[nucleo], $B186,
  desp.m.ik[variavel], $B$176,
  desp.m.ik[mes], "&gt;="&amp;S$1,
  desp.m.ik[mes], "&lt;"&amp;EOMONTH(S$1,0)+1
)</f>
        <v>0</v>
      </c>
      <c r="T186" s="186">
        <f ca="1">-SUMIFS(
  desp.m.ik[valor],
  desp.m.ik[nucleo], $B186,
  desp.m.ik[variavel], $B$176,
  desp.m.ik[mes], "&gt;="&amp;T$1,
  desp.m.ik[mes], "&lt;"&amp;EOMONTH(T$1,0)+1
)</f>
        <v>0</v>
      </c>
      <c r="U186" s="186">
        <f ca="1">-SUMIFS(
  desp.m.ik[valor],
  desp.m.ik[nucleo], $B186,
  desp.m.ik[variavel], $B$176,
  desp.m.ik[mes], "&gt;="&amp;U$1,
  desp.m.ik[mes], "&lt;"&amp;EOMONTH(U$1,0)+1
)</f>
        <v>0</v>
      </c>
      <c r="V186" s="186">
        <f ca="1">-SUMIFS(
  desp.m.ik[valor],
  desp.m.ik[nucleo], $B186,
  desp.m.ik[variavel], $B$176,
  desp.m.ik[mes], "&gt;="&amp;V$1,
  desp.m.ik[mes], "&lt;"&amp;EOMONTH(V$1,0)+1
)</f>
        <v>0</v>
      </c>
      <c r="W186" s="186">
        <f ca="1">-SUMIFS(
  desp.m.ik[valor],
  desp.m.ik[nucleo], $B186,
  desp.m.ik[variavel], $B$176,
  desp.m.ik[mes], "&gt;="&amp;W$1,
  desp.m.ik[mes], "&lt;"&amp;EOMONTH(W$1,0)+1
)</f>
        <v>0</v>
      </c>
      <c r="X186" s="186">
        <f ca="1">-SUMIFS(
  desp.m.ik[valor],
  desp.m.ik[nucleo], $B186,
  desp.m.ik[variavel], $B$176,
  desp.m.ik[mes], "&gt;="&amp;X$1,
  desp.m.ik[mes], "&lt;"&amp;EOMONTH(X$1,0)+1
)</f>
        <v>0</v>
      </c>
      <c r="Y186" s="186">
        <f ca="1">-SUMIFS(
  desp.m.ik[valor],
  desp.m.ik[nucleo], $B186,
  desp.m.ik[variavel], $B$176,
  desp.m.ik[mes], "&gt;="&amp;Y$1,
  desp.m.ik[mes], "&lt;"&amp;EOMONTH(Y$1,0)+1
)</f>
        <v>0</v>
      </c>
      <c r="Z186" s="186">
        <f ca="1">-SUMIFS(
  desp.m.ik[valor],
  desp.m.ik[nucleo], $B186,
  desp.m.ik[variavel], $B$176,
  desp.m.ik[mes], "&gt;="&amp;Z$1,
  desp.m.ik[mes], "&lt;"&amp;EOMONTH(Z$1,0)+1
)</f>
        <v>0</v>
      </c>
      <c r="AA186" s="186">
        <f ca="1">-SUMIFS(
  desp.m.ik[valor],
  desp.m.ik[nucleo], $B186,
  desp.m.ik[variavel], $B$176,
  desp.m.ik[mes], "&gt;="&amp;AA$1,
  desp.m.ik[mes], "&lt;"&amp;EOMONTH(AA$1,0)+1
)</f>
        <v>0</v>
      </c>
      <c r="AC186" s="178">
        <f t="shared" ca="1" si="31"/>
        <v>0</v>
      </c>
      <c r="AE186" s="178">
        <f t="shared" ca="1" si="32"/>
        <v>0</v>
      </c>
    </row>
    <row r="187" spans="1:31" hidden="1" outlineLevel="2" x14ac:dyDescent="0.25">
      <c r="A187" s="185" t="s">
        <v>606</v>
      </c>
      <c r="B187" s="185" t="s">
        <v>577</v>
      </c>
      <c r="C187" s="138" t="s">
        <v>514</v>
      </c>
      <c r="D187" s="186">
        <f ca="1">-SUMIFS(
  desp.m.ik[valor],
  desp.m.ik[nucleo], $B187,
  desp.m.ik[variavel], $B$176,
  desp.m.ik[mes], "&gt;="&amp;D$1,
  desp.m.ik[mes], "&lt;"&amp;EOMONTH(D$1,0)+1
)</f>
        <v>0</v>
      </c>
      <c r="E187" s="186">
        <f ca="1">-SUMIFS(
  desp.m.ik[valor],
  desp.m.ik[nucleo], $B187,
  desp.m.ik[variavel], $B$176,
  desp.m.ik[mes], "&gt;="&amp;E$1,
  desp.m.ik[mes], "&lt;"&amp;EOMONTH(E$1,0)+1
)</f>
        <v>0</v>
      </c>
      <c r="F187" s="186">
        <f ca="1">-SUMIFS(
  desp.m.ik[valor],
  desp.m.ik[nucleo], $B187,
  desp.m.ik[variavel], $B$176,
  desp.m.ik[mes], "&gt;="&amp;F$1,
  desp.m.ik[mes], "&lt;"&amp;EOMONTH(F$1,0)+1
)</f>
        <v>0</v>
      </c>
      <c r="G187" s="186">
        <f ca="1">-SUMIFS(
  desp.m.ik[valor],
  desp.m.ik[nucleo], $B187,
  desp.m.ik[variavel], $B$176,
  desp.m.ik[mes], "&gt;="&amp;G$1,
  desp.m.ik[mes], "&lt;"&amp;EOMONTH(G$1,0)+1
)</f>
        <v>0</v>
      </c>
      <c r="H187" s="186">
        <f ca="1">-SUMIFS(
  desp.m.ik[valor],
  desp.m.ik[nucleo], $B187,
  desp.m.ik[variavel], $B$176,
  desp.m.ik[mes], "&gt;="&amp;H$1,
  desp.m.ik[mes], "&lt;"&amp;EOMONTH(H$1,0)+1
)</f>
        <v>0</v>
      </c>
      <c r="I187" s="186">
        <f ca="1">-SUMIFS(
  desp.m.ik[valor],
  desp.m.ik[nucleo], $B187,
  desp.m.ik[variavel], $B$176,
  desp.m.ik[mes], "&gt;="&amp;I$1,
  desp.m.ik[mes], "&lt;"&amp;EOMONTH(I$1,0)+1
)</f>
        <v>0</v>
      </c>
      <c r="J187" s="186">
        <f ca="1">-SUMIFS(
  desp.m.ik[valor],
  desp.m.ik[nucleo], $B187,
  desp.m.ik[variavel], $B$176,
  desp.m.ik[mes], "&gt;="&amp;J$1,
  desp.m.ik[mes], "&lt;"&amp;EOMONTH(J$1,0)+1
)</f>
        <v>0</v>
      </c>
      <c r="K187" s="186">
        <f ca="1">-SUMIFS(
  desp.m.ik[valor],
  desp.m.ik[nucleo], $B187,
  desp.m.ik[variavel], $B$176,
  desp.m.ik[mes], "&gt;="&amp;K$1,
  desp.m.ik[mes], "&lt;"&amp;EOMONTH(K$1,0)+1
)</f>
        <v>0</v>
      </c>
      <c r="L187" s="186">
        <f ca="1">-SUMIFS(
  desp.m.ik[valor],
  desp.m.ik[nucleo], $B187,
  desp.m.ik[variavel], $B$176,
  desp.m.ik[mes], "&gt;="&amp;L$1,
  desp.m.ik[mes], "&lt;"&amp;EOMONTH(L$1,0)+1
)</f>
        <v>0</v>
      </c>
      <c r="M187" s="186">
        <f ca="1">-SUMIFS(
  desp.m.ik[valor],
  desp.m.ik[nucleo], $B187,
  desp.m.ik[variavel], $B$176,
  desp.m.ik[mes], "&gt;="&amp;M$1,
  desp.m.ik[mes], "&lt;"&amp;EOMONTH(M$1,0)+1
)</f>
        <v>0</v>
      </c>
      <c r="N187" s="186">
        <f ca="1">-SUMIFS(
  desp.m.ik[valor],
  desp.m.ik[nucleo], $B187,
  desp.m.ik[variavel], $B$176,
  desp.m.ik[mes], "&gt;="&amp;N$1,
  desp.m.ik[mes], "&lt;"&amp;EOMONTH(N$1,0)+1
)</f>
        <v>0</v>
      </c>
      <c r="O187" s="186">
        <f ca="1">-SUMIFS(
  desp.m.ik[valor],
  desp.m.ik[nucleo], $B187,
  desp.m.ik[variavel], $B$176,
  desp.m.ik[mes], "&gt;="&amp;O$1,
  desp.m.ik[mes], "&lt;"&amp;EOMONTH(O$1,0)+1
)</f>
        <v>0</v>
      </c>
      <c r="P187" s="186">
        <f ca="1">-SUMIFS(
  desp.m.ik[valor],
  desp.m.ik[nucleo], $B187,
  desp.m.ik[variavel], $B$176,
  desp.m.ik[mes], "&gt;="&amp;P$1,
  desp.m.ik[mes], "&lt;"&amp;EOMONTH(P$1,0)+1
)</f>
        <v>0</v>
      </c>
      <c r="Q187" s="186">
        <f ca="1">-SUMIFS(
  desp.m.ik[valor],
  desp.m.ik[nucleo], $B187,
  desp.m.ik[variavel], $B$176,
  desp.m.ik[mes], "&gt;="&amp;Q$1,
  desp.m.ik[mes], "&lt;"&amp;EOMONTH(Q$1,0)+1
)</f>
        <v>0</v>
      </c>
      <c r="R187" s="186">
        <f ca="1">-SUMIFS(
  desp.m.ik[valor],
  desp.m.ik[nucleo], $B187,
  desp.m.ik[variavel], $B$176,
  desp.m.ik[mes], "&gt;="&amp;R$1,
  desp.m.ik[mes], "&lt;"&amp;EOMONTH(R$1,0)+1
)</f>
        <v>0</v>
      </c>
      <c r="S187" s="186">
        <f ca="1">-SUMIFS(
  desp.m.ik[valor],
  desp.m.ik[nucleo], $B187,
  desp.m.ik[variavel], $B$176,
  desp.m.ik[mes], "&gt;="&amp;S$1,
  desp.m.ik[mes], "&lt;"&amp;EOMONTH(S$1,0)+1
)</f>
        <v>0</v>
      </c>
      <c r="T187" s="186">
        <f ca="1">-SUMIFS(
  desp.m.ik[valor],
  desp.m.ik[nucleo], $B187,
  desp.m.ik[variavel], $B$176,
  desp.m.ik[mes], "&gt;="&amp;T$1,
  desp.m.ik[mes], "&lt;"&amp;EOMONTH(T$1,0)+1
)</f>
        <v>0</v>
      </c>
      <c r="U187" s="186">
        <f ca="1">-SUMIFS(
  desp.m.ik[valor],
  desp.m.ik[nucleo], $B187,
  desp.m.ik[variavel], $B$176,
  desp.m.ik[mes], "&gt;="&amp;U$1,
  desp.m.ik[mes], "&lt;"&amp;EOMONTH(U$1,0)+1
)</f>
        <v>0</v>
      </c>
      <c r="V187" s="186">
        <f ca="1">-SUMIFS(
  desp.m.ik[valor],
  desp.m.ik[nucleo], $B187,
  desp.m.ik[variavel], $B$176,
  desp.m.ik[mes], "&gt;="&amp;V$1,
  desp.m.ik[mes], "&lt;"&amp;EOMONTH(V$1,0)+1
)</f>
        <v>0</v>
      </c>
      <c r="W187" s="186">
        <f ca="1">-SUMIFS(
  desp.m.ik[valor],
  desp.m.ik[nucleo], $B187,
  desp.m.ik[variavel], $B$176,
  desp.m.ik[mes], "&gt;="&amp;W$1,
  desp.m.ik[mes], "&lt;"&amp;EOMONTH(W$1,0)+1
)</f>
        <v>0</v>
      </c>
      <c r="X187" s="186">
        <f ca="1">-SUMIFS(
  desp.m.ik[valor],
  desp.m.ik[nucleo], $B187,
  desp.m.ik[variavel], $B$176,
  desp.m.ik[mes], "&gt;="&amp;X$1,
  desp.m.ik[mes], "&lt;"&amp;EOMONTH(X$1,0)+1
)</f>
        <v>0</v>
      </c>
      <c r="Y187" s="186">
        <f ca="1">-SUMIFS(
  desp.m.ik[valor],
  desp.m.ik[nucleo], $B187,
  desp.m.ik[variavel], $B$176,
  desp.m.ik[mes], "&gt;="&amp;Y$1,
  desp.m.ik[mes], "&lt;"&amp;EOMONTH(Y$1,0)+1
)</f>
        <v>0</v>
      </c>
      <c r="Z187" s="186">
        <f ca="1">-SUMIFS(
  desp.m.ik[valor],
  desp.m.ik[nucleo], $B187,
  desp.m.ik[variavel], $B$176,
  desp.m.ik[mes], "&gt;="&amp;Z$1,
  desp.m.ik[mes], "&lt;"&amp;EOMONTH(Z$1,0)+1
)</f>
        <v>0</v>
      </c>
      <c r="AA187" s="186">
        <f ca="1">-SUMIFS(
  desp.m.ik[valor],
  desp.m.ik[nucleo], $B187,
  desp.m.ik[variavel], $B$176,
  desp.m.ik[mes], "&gt;="&amp;AA$1,
  desp.m.ik[mes], "&lt;"&amp;EOMONTH(AA$1,0)+1
)</f>
        <v>0</v>
      </c>
      <c r="AC187" s="178">
        <f t="shared" ca="1" si="31"/>
        <v>0</v>
      </c>
      <c r="AE187" s="178">
        <f t="shared" ca="1" si="32"/>
        <v>0</v>
      </c>
    </row>
    <row r="188" spans="1:31" hidden="1" outlineLevel="2" x14ac:dyDescent="0.25">
      <c r="A188" s="185" t="s">
        <v>609</v>
      </c>
      <c r="B188" s="185" t="s">
        <v>535</v>
      </c>
      <c r="C188" s="138" t="s">
        <v>514</v>
      </c>
      <c r="D188" s="186">
        <f ca="1">-SUMIFS(
  desp.m.ik[valor],
  desp.m.ik[nucleo], $B188,
  desp.m.ik[variavel], $B$176,
  desp.m.ik[mes], "&gt;="&amp;D$1,
  desp.m.ik[mes], "&lt;"&amp;EOMONTH(D$1,0)+1
)</f>
        <v>0</v>
      </c>
      <c r="E188" s="186">
        <f ca="1">-SUMIFS(
  desp.m.ik[valor],
  desp.m.ik[nucleo], $B188,
  desp.m.ik[variavel], $B$176,
  desp.m.ik[mes], "&gt;="&amp;E$1,
  desp.m.ik[mes], "&lt;"&amp;EOMONTH(E$1,0)+1
)</f>
        <v>0</v>
      </c>
      <c r="F188" s="186">
        <f ca="1">-SUMIFS(
  desp.m.ik[valor],
  desp.m.ik[nucleo], $B188,
  desp.m.ik[variavel], $B$176,
  desp.m.ik[mes], "&gt;="&amp;F$1,
  desp.m.ik[mes], "&lt;"&amp;EOMONTH(F$1,0)+1
)</f>
        <v>0</v>
      </c>
      <c r="G188" s="186">
        <f ca="1">-SUMIFS(
  desp.m.ik[valor],
  desp.m.ik[nucleo], $B188,
  desp.m.ik[variavel], $B$176,
  desp.m.ik[mes], "&gt;="&amp;G$1,
  desp.m.ik[mes], "&lt;"&amp;EOMONTH(G$1,0)+1
)</f>
        <v>0</v>
      </c>
      <c r="H188" s="186">
        <f ca="1">-SUMIFS(
  desp.m.ik[valor],
  desp.m.ik[nucleo], $B188,
  desp.m.ik[variavel], $B$176,
  desp.m.ik[mes], "&gt;="&amp;H$1,
  desp.m.ik[mes], "&lt;"&amp;EOMONTH(H$1,0)+1
)</f>
        <v>0</v>
      </c>
      <c r="I188" s="186">
        <f ca="1">-SUMIFS(
  desp.m.ik[valor],
  desp.m.ik[nucleo], $B188,
  desp.m.ik[variavel], $B$176,
  desp.m.ik[mes], "&gt;="&amp;I$1,
  desp.m.ik[mes], "&lt;"&amp;EOMONTH(I$1,0)+1
)</f>
        <v>0</v>
      </c>
      <c r="J188" s="186">
        <f ca="1">-SUMIFS(
  desp.m.ik[valor],
  desp.m.ik[nucleo], $B188,
  desp.m.ik[variavel], $B$176,
  desp.m.ik[mes], "&gt;="&amp;J$1,
  desp.m.ik[mes], "&lt;"&amp;EOMONTH(J$1,0)+1
)</f>
        <v>0</v>
      </c>
      <c r="K188" s="186">
        <f ca="1">-SUMIFS(
  desp.m.ik[valor],
  desp.m.ik[nucleo], $B188,
  desp.m.ik[variavel], $B$176,
  desp.m.ik[mes], "&gt;="&amp;K$1,
  desp.m.ik[mes], "&lt;"&amp;EOMONTH(K$1,0)+1
)</f>
        <v>0</v>
      </c>
      <c r="L188" s="186">
        <f ca="1">-SUMIFS(
  desp.m.ik[valor],
  desp.m.ik[nucleo], $B188,
  desp.m.ik[variavel], $B$176,
  desp.m.ik[mes], "&gt;="&amp;L$1,
  desp.m.ik[mes], "&lt;"&amp;EOMONTH(L$1,0)+1
)</f>
        <v>0</v>
      </c>
      <c r="M188" s="186">
        <f ca="1">-SUMIFS(
  desp.m.ik[valor],
  desp.m.ik[nucleo], $B188,
  desp.m.ik[variavel], $B$176,
  desp.m.ik[mes], "&gt;="&amp;M$1,
  desp.m.ik[mes], "&lt;"&amp;EOMONTH(M$1,0)+1
)</f>
        <v>0</v>
      </c>
      <c r="N188" s="186">
        <f ca="1">-SUMIFS(
  desp.m.ik[valor],
  desp.m.ik[nucleo], $B188,
  desp.m.ik[variavel], $B$176,
  desp.m.ik[mes], "&gt;="&amp;N$1,
  desp.m.ik[mes], "&lt;"&amp;EOMONTH(N$1,0)+1
)</f>
        <v>0</v>
      </c>
      <c r="O188" s="186">
        <f ca="1">-SUMIFS(
  desp.m.ik[valor],
  desp.m.ik[nucleo], $B188,
  desp.m.ik[variavel], $B$176,
  desp.m.ik[mes], "&gt;="&amp;O$1,
  desp.m.ik[mes], "&lt;"&amp;EOMONTH(O$1,0)+1
)</f>
        <v>0</v>
      </c>
      <c r="P188" s="186">
        <f ca="1">-SUMIFS(
  desp.m.ik[valor],
  desp.m.ik[nucleo], $B188,
  desp.m.ik[variavel], $B$176,
  desp.m.ik[mes], "&gt;="&amp;P$1,
  desp.m.ik[mes], "&lt;"&amp;EOMONTH(P$1,0)+1
)</f>
        <v>0</v>
      </c>
      <c r="Q188" s="186">
        <f ca="1">-SUMIFS(
  desp.m.ik[valor],
  desp.m.ik[nucleo], $B188,
  desp.m.ik[variavel], $B$176,
  desp.m.ik[mes], "&gt;="&amp;Q$1,
  desp.m.ik[mes], "&lt;"&amp;EOMONTH(Q$1,0)+1
)</f>
        <v>0</v>
      </c>
      <c r="R188" s="186">
        <f ca="1">-SUMIFS(
  desp.m.ik[valor],
  desp.m.ik[nucleo], $B188,
  desp.m.ik[variavel], $B$176,
  desp.m.ik[mes], "&gt;="&amp;R$1,
  desp.m.ik[mes], "&lt;"&amp;EOMONTH(R$1,0)+1
)</f>
        <v>0</v>
      </c>
      <c r="S188" s="186">
        <f ca="1">-SUMIFS(
  desp.m.ik[valor],
  desp.m.ik[nucleo], $B188,
  desp.m.ik[variavel], $B$176,
  desp.m.ik[mes], "&gt;="&amp;S$1,
  desp.m.ik[mes], "&lt;"&amp;EOMONTH(S$1,0)+1
)</f>
        <v>0</v>
      </c>
      <c r="T188" s="186">
        <f ca="1">-SUMIFS(
  desp.m.ik[valor],
  desp.m.ik[nucleo], $B188,
  desp.m.ik[variavel], $B$176,
  desp.m.ik[mes], "&gt;="&amp;T$1,
  desp.m.ik[mes], "&lt;"&amp;EOMONTH(T$1,0)+1
)</f>
        <v>0</v>
      </c>
      <c r="U188" s="186">
        <f ca="1">-SUMIFS(
  desp.m.ik[valor],
  desp.m.ik[nucleo], $B188,
  desp.m.ik[variavel], $B$176,
  desp.m.ik[mes], "&gt;="&amp;U$1,
  desp.m.ik[mes], "&lt;"&amp;EOMONTH(U$1,0)+1
)</f>
        <v>0</v>
      </c>
      <c r="V188" s="186">
        <f ca="1">-SUMIFS(
  desp.m.ik[valor],
  desp.m.ik[nucleo], $B188,
  desp.m.ik[variavel], $B$176,
  desp.m.ik[mes], "&gt;="&amp;V$1,
  desp.m.ik[mes], "&lt;"&amp;EOMONTH(V$1,0)+1
)</f>
        <v>0</v>
      </c>
      <c r="W188" s="186">
        <f ca="1">-SUMIFS(
  desp.m.ik[valor],
  desp.m.ik[nucleo], $B188,
  desp.m.ik[variavel], $B$176,
  desp.m.ik[mes], "&gt;="&amp;W$1,
  desp.m.ik[mes], "&lt;"&amp;EOMONTH(W$1,0)+1
)</f>
        <v>0</v>
      </c>
      <c r="X188" s="186">
        <f ca="1">-SUMIFS(
  desp.m.ik[valor],
  desp.m.ik[nucleo], $B188,
  desp.m.ik[variavel], $B$176,
  desp.m.ik[mes], "&gt;="&amp;X$1,
  desp.m.ik[mes], "&lt;"&amp;EOMONTH(X$1,0)+1
)</f>
        <v>0</v>
      </c>
      <c r="Y188" s="186">
        <f ca="1">-SUMIFS(
  desp.m.ik[valor],
  desp.m.ik[nucleo], $B188,
  desp.m.ik[variavel], $B$176,
  desp.m.ik[mes], "&gt;="&amp;Y$1,
  desp.m.ik[mes], "&lt;"&amp;EOMONTH(Y$1,0)+1
)</f>
        <v>0</v>
      </c>
      <c r="Z188" s="186">
        <f ca="1">-SUMIFS(
  desp.m.ik[valor],
  desp.m.ik[nucleo], $B188,
  desp.m.ik[variavel], $B$176,
  desp.m.ik[mes], "&gt;="&amp;Z$1,
  desp.m.ik[mes], "&lt;"&amp;EOMONTH(Z$1,0)+1
)</f>
        <v>0</v>
      </c>
      <c r="AA188" s="186">
        <f ca="1">-SUMIFS(
  desp.m.ik[valor],
  desp.m.ik[nucleo], $B188,
  desp.m.ik[variavel], $B$176,
  desp.m.ik[mes], "&gt;="&amp;AA$1,
  desp.m.ik[mes], "&lt;"&amp;EOMONTH(AA$1,0)+1
)</f>
        <v>0</v>
      </c>
      <c r="AC188" s="178">
        <f t="shared" ca="1" si="31"/>
        <v>0</v>
      </c>
      <c r="AE188" s="178">
        <f t="shared" ca="1" si="32"/>
        <v>0</v>
      </c>
    </row>
    <row r="189" spans="1:31" hidden="1" outlineLevel="2" x14ac:dyDescent="0.25">
      <c r="A189" s="185" t="s">
        <v>608</v>
      </c>
      <c r="B189" s="185" t="s">
        <v>539</v>
      </c>
      <c r="C189" s="138" t="s">
        <v>514</v>
      </c>
      <c r="D189" s="186">
        <f ca="1">-SUMIFS(
  desp.m.ik[valor],
  desp.m.ik[nucleo], $B189,
  desp.m.ik[variavel], $B$176,
  desp.m.ik[mes], "&gt;="&amp;D$1,
  desp.m.ik[mes], "&lt;"&amp;EOMONTH(D$1,0)+1
)</f>
        <v>0</v>
      </c>
      <c r="E189" s="186">
        <f ca="1">-SUMIFS(
  desp.m.ik[valor],
  desp.m.ik[nucleo], $B189,
  desp.m.ik[variavel], $B$176,
  desp.m.ik[mes], "&gt;="&amp;E$1,
  desp.m.ik[mes], "&lt;"&amp;EOMONTH(E$1,0)+1
)</f>
        <v>0</v>
      </c>
      <c r="F189" s="186">
        <f ca="1">-SUMIFS(
  desp.m.ik[valor],
  desp.m.ik[nucleo], $B189,
  desp.m.ik[variavel], $B$176,
  desp.m.ik[mes], "&gt;="&amp;F$1,
  desp.m.ik[mes], "&lt;"&amp;EOMONTH(F$1,0)+1
)</f>
        <v>0</v>
      </c>
      <c r="G189" s="186">
        <f ca="1">-SUMIFS(
  desp.m.ik[valor],
  desp.m.ik[nucleo], $B189,
  desp.m.ik[variavel], $B$176,
  desp.m.ik[mes], "&gt;="&amp;G$1,
  desp.m.ik[mes], "&lt;"&amp;EOMONTH(G$1,0)+1
)</f>
        <v>0</v>
      </c>
      <c r="H189" s="186">
        <f ca="1">-SUMIFS(
  desp.m.ik[valor],
  desp.m.ik[nucleo], $B189,
  desp.m.ik[variavel], $B$176,
  desp.m.ik[mes], "&gt;="&amp;H$1,
  desp.m.ik[mes], "&lt;"&amp;EOMONTH(H$1,0)+1
)</f>
        <v>0</v>
      </c>
      <c r="I189" s="186">
        <f ca="1">-SUMIFS(
  desp.m.ik[valor],
  desp.m.ik[nucleo], $B189,
  desp.m.ik[variavel], $B$176,
  desp.m.ik[mes], "&gt;="&amp;I$1,
  desp.m.ik[mes], "&lt;"&amp;EOMONTH(I$1,0)+1
)</f>
        <v>0</v>
      </c>
      <c r="J189" s="186">
        <f ca="1">-SUMIFS(
  desp.m.ik[valor],
  desp.m.ik[nucleo], $B189,
  desp.m.ik[variavel], $B$176,
  desp.m.ik[mes], "&gt;="&amp;J$1,
  desp.m.ik[mes], "&lt;"&amp;EOMONTH(J$1,0)+1
)</f>
        <v>0</v>
      </c>
      <c r="K189" s="186">
        <f ca="1">-SUMIFS(
  desp.m.ik[valor],
  desp.m.ik[nucleo], $B189,
  desp.m.ik[variavel], $B$176,
  desp.m.ik[mes], "&gt;="&amp;K$1,
  desp.m.ik[mes], "&lt;"&amp;EOMONTH(K$1,0)+1
)</f>
        <v>0</v>
      </c>
      <c r="L189" s="186">
        <f ca="1">-SUMIFS(
  desp.m.ik[valor],
  desp.m.ik[nucleo], $B189,
  desp.m.ik[variavel], $B$176,
  desp.m.ik[mes], "&gt;="&amp;L$1,
  desp.m.ik[mes], "&lt;"&amp;EOMONTH(L$1,0)+1
)</f>
        <v>0</v>
      </c>
      <c r="M189" s="186">
        <f ca="1">-SUMIFS(
  desp.m.ik[valor],
  desp.m.ik[nucleo], $B189,
  desp.m.ik[variavel], $B$176,
  desp.m.ik[mes], "&gt;="&amp;M$1,
  desp.m.ik[mes], "&lt;"&amp;EOMONTH(M$1,0)+1
)</f>
        <v>0</v>
      </c>
      <c r="N189" s="186">
        <f ca="1">-SUMIFS(
  desp.m.ik[valor],
  desp.m.ik[nucleo], $B189,
  desp.m.ik[variavel], $B$176,
  desp.m.ik[mes], "&gt;="&amp;N$1,
  desp.m.ik[mes], "&lt;"&amp;EOMONTH(N$1,0)+1
)</f>
        <v>0</v>
      </c>
      <c r="O189" s="186">
        <f ca="1">-SUMIFS(
  desp.m.ik[valor],
  desp.m.ik[nucleo], $B189,
  desp.m.ik[variavel], $B$176,
  desp.m.ik[mes], "&gt;="&amp;O$1,
  desp.m.ik[mes], "&lt;"&amp;EOMONTH(O$1,0)+1
)</f>
        <v>0</v>
      </c>
      <c r="P189" s="186">
        <f ca="1">-SUMIFS(
  desp.m.ik[valor],
  desp.m.ik[nucleo], $B189,
  desp.m.ik[variavel], $B$176,
  desp.m.ik[mes], "&gt;="&amp;P$1,
  desp.m.ik[mes], "&lt;"&amp;EOMONTH(P$1,0)+1
)</f>
        <v>0</v>
      </c>
      <c r="Q189" s="186">
        <f ca="1">-SUMIFS(
  desp.m.ik[valor],
  desp.m.ik[nucleo], $B189,
  desp.m.ik[variavel], $B$176,
  desp.m.ik[mes], "&gt;="&amp;Q$1,
  desp.m.ik[mes], "&lt;"&amp;EOMONTH(Q$1,0)+1
)</f>
        <v>0</v>
      </c>
      <c r="R189" s="186">
        <f ca="1">-SUMIFS(
  desp.m.ik[valor],
  desp.m.ik[nucleo], $B189,
  desp.m.ik[variavel], $B$176,
  desp.m.ik[mes], "&gt;="&amp;R$1,
  desp.m.ik[mes], "&lt;"&amp;EOMONTH(R$1,0)+1
)</f>
        <v>0</v>
      </c>
      <c r="S189" s="186">
        <f ca="1">-SUMIFS(
  desp.m.ik[valor],
  desp.m.ik[nucleo], $B189,
  desp.m.ik[variavel], $B$176,
  desp.m.ik[mes], "&gt;="&amp;S$1,
  desp.m.ik[mes], "&lt;"&amp;EOMONTH(S$1,0)+1
)</f>
        <v>0</v>
      </c>
      <c r="T189" s="186">
        <f ca="1">-SUMIFS(
  desp.m.ik[valor],
  desp.m.ik[nucleo], $B189,
  desp.m.ik[variavel], $B$176,
  desp.m.ik[mes], "&gt;="&amp;T$1,
  desp.m.ik[mes], "&lt;"&amp;EOMONTH(T$1,0)+1
)</f>
        <v>0</v>
      </c>
      <c r="U189" s="186">
        <f ca="1">-SUMIFS(
  desp.m.ik[valor],
  desp.m.ik[nucleo], $B189,
  desp.m.ik[variavel], $B$176,
  desp.m.ik[mes], "&gt;="&amp;U$1,
  desp.m.ik[mes], "&lt;"&amp;EOMONTH(U$1,0)+1
)</f>
        <v>0</v>
      </c>
      <c r="V189" s="186">
        <f ca="1">-SUMIFS(
  desp.m.ik[valor],
  desp.m.ik[nucleo], $B189,
  desp.m.ik[variavel], $B$176,
  desp.m.ik[mes], "&gt;="&amp;V$1,
  desp.m.ik[mes], "&lt;"&amp;EOMONTH(V$1,0)+1
)</f>
        <v>0</v>
      </c>
      <c r="W189" s="186">
        <f ca="1">-SUMIFS(
  desp.m.ik[valor],
  desp.m.ik[nucleo], $B189,
  desp.m.ik[variavel], $B$176,
  desp.m.ik[mes], "&gt;="&amp;W$1,
  desp.m.ik[mes], "&lt;"&amp;EOMONTH(W$1,0)+1
)</f>
        <v>0</v>
      </c>
      <c r="X189" s="186">
        <f ca="1">-SUMIFS(
  desp.m.ik[valor],
  desp.m.ik[nucleo], $B189,
  desp.m.ik[variavel], $B$176,
  desp.m.ik[mes], "&gt;="&amp;X$1,
  desp.m.ik[mes], "&lt;"&amp;EOMONTH(X$1,0)+1
)</f>
        <v>0</v>
      </c>
      <c r="Y189" s="186">
        <f ca="1">-SUMIFS(
  desp.m.ik[valor],
  desp.m.ik[nucleo], $B189,
  desp.m.ik[variavel], $B$176,
  desp.m.ik[mes], "&gt;="&amp;Y$1,
  desp.m.ik[mes], "&lt;"&amp;EOMONTH(Y$1,0)+1
)</f>
        <v>0</v>
      </c>
      <c r="Z189" s="186">
        <f ca="1">-SUMIFS(
  desp.m.ik[valor],
  desp.m.ik[nucleo], $B189,
  desp.m.ik[variavel], $B$176,
  desp.m.ik[mes], "&gt;="&amp;Z$1,
  desp.m.ik[mes], "&lt;"&amp;EOMONTH(Z$1,0)+1
)</f>
        <v>0</v>
      </c>
      <c r="AA189" s="186">
        <f ca="1">-SUMIFS(
  desp.m.ik[valor],
  desp.m.ik[nucleo], $B189,
  desp.m.ik[variavel], $B$176,
  desp.m.ik[mes], "&gt;="&amp;AA$1,
  desp.m.ik[mes], "&lt;"&amp;EOMONTH(AA$1,0)+1
)</f>
        <v>0</v>
      </c>
      <c r="AC189" s="178">
        <f t="shared" ca="1" si="31"/>
        <v>0</v>
      </c>
      <c r="AE189" s="178">
        <f t="shared" ca="1" si="32"/>
        <v>0</v>
      </c>
    </row>
    <row r="190" spans="1:31" hidden="1" outlineLevel="2" x14ac:dyDescent="0.25">
      <c r="A190" s="185" t="s">
        <v>606</v>
      </c>
      <c r="B190" s="185" t="s">
        <v>581</v>
      </c>
      <c r="C190" s="138" t="s">
        <v>514</v>
      </c>
      <c r="D190" s="186">
        <f ca="1">-SUMIFS(
  desp.m.ik[valor],
  desp.m.ik[nucleo], $B190,
  desp.m.ik[variavel], $B$176,
  desp.m.ik[mes], "&gt;="&amp;D$1,
  desp.m.ik[mes], "&lt;"&amp;EOMONTH(D$1,0)+1
)</f>
        <v>0</v>
      </c>
      <c r="E190" s="186">
        <f ca="1">-SUMIFS(
  desp.m.ik[valor],
  desp.m.ik[nucleo], $B190,
  desp.m.ik[variavel], $B$176,
  desp.m.ik[mes], "&gt;="&amp;E$1,
  desp.m.ik[mes], "&lt;"&amp;EOMONTH(E$1,0)+1
)</f>
        <v>0</v>
      </c>
      <c r="F190" s="186">
        <f ca="1">-SUMIFS(
  desp.m.ik[valor],
  desp.m.ik[nucleo], $B190,
  desp.m.ik[variavel], $B$176,
  desp.m.ik[mes], "&gt;="&amp;F$1,
  desp.m.ik[mes], "&lt;"&amp;EOMONTH(F$1,0)+1
)</f>
        <v>0</v>
      </c>
      <c r="G190" s="186">
        <f ca="1">-SUMIFS(
  desp.m.ik[valor],
  desp.m.ik[nucleo], $B190,
  desp.m.ik[variavel], $B$176,
  desp.m.ik[mes], "&gt;="&amp;G$1,
  desp.m.ik[mes], "&lt;"&amp;EOMONTH(G$1,0)+1
)</f>
        <v>0</v>
      </c>
      <c r="H190" s="186">
        <f ca="1">-SUMIFS(
  desp.m.ik[valor],
  desp.m.ik[nucleo], $B190,
  desp.m.ik[variavel], $B$176,
  desp.m.ik[mes], "&gt;="&amp;H$1,
  desp.m.ik[mes], "&lt;"&amp;EOMONTH(H$1,0)+1
)</f>
        <v>0</v>
      </c>
      <c r="I190" s="186">
        <f ca="1">-SUMIFS(
  desp.m.ik[valor],
  desp.m.ik[nucleo], $B190,
  desp.m.ik[variavel], $B$176,
  desp.m.ik[mes], "&gt;="&amp;I$1,
  desp.m.ik[mes], "&lt;"&amp;EOMONTH(I$1,0)+1
)</f>
        <v>0</v>
      </c>
      <c r="J190" s="186">
        <f ca="1">-SUMIFS(
  desp.m.ik[valor],
  desp.m.ik[nucleo], $B190,
  desp.m.ik[variavel], $B$176,
  desp.m.ik[mes], "&gt;="&amp;J$1,
  desp.m.ik[mes], "&lt;"&amp;EOMONTH(J$1,0)+1
)</f>
        <v>0</v>
      </c>
      <c r="K190" s="186">
        <f ca="1">-SUMIFS(
  desp.m.ik[valor],
  desp.m.ik[nucleo], $B190,
  desp.m.ik[variavel], $B$176,
  desp.m.ik[mes], "&gt;="&amp;K$1,
  desp.m.ik[mes], "&lt;"&amp;EOMONTH(K$1,0)+1
)</f>
        <v>0</v>
      </c>
      <c r="L190" s="186">
        <f ca="1">-SUMIFS(
  desp.m.ik[valor],
  desp.m.ik[nucleo], $B190,
  desp.m.ik[variavel], $B$176,
  desp.m.ik[mes], "&gt;="&amp;L$1,
  desp.m.ik[mes], "&lt;"&amp;EOMONTH(L$1,0)+1
)</f>
        <v>0</v>
      </c>
      <c r="M190" s="186">
        <f ca="1">-SUMIFS(
  desp.m.ik[valor],
  desp.m.ik[nucleo], $B190,
  desp.m.ik[variavel], $B$176,
  desp.m.ik[mes], "&gt;="&amp;M$1,
  desp.m.ik[mes], "&lt;"&amp;EOMONTH(M$1,0)+1
)</f>
        <v>0</v>
      </c>
      <c r="N190" s="186">
        <f ca="1">-SUMIFS(
  desp.m.ik[valor],
  desp.m.ik[nucleo], $B190,
  desp.m.ik[variavel], $B$176,
  desp.m.ik[mes], "&gt;="&amp;N$1,
  desp.m.ik[mes], "&lt;"&amp;EOMONTH(N$1,0)+1
)</f>
        <v>0</v>
      </c>
      <c r="O190" s="186">
        <f ca="1">-SUMIFS(
  desp.m.ik[valor],
  desp.m.ik[nucleo], $B190,
  desp.m.ik[variavel], $B$176,
  desp.m.ik[mes], "&gt;="&amp;O$1,
  desp.m.ik[mes], "&lt;"&amp;EOMONTH(O$1,0)+1
)</f>
        <v>0</v>
      </c>
      <c r="P190" s="186">
        <f ca="1">-SUMIFS(
  desp.m.ik[valor],
  desp.m.ik[nucleo], $B190,
  desp.m.ik[variavel], $B$176,
  desp.m.ik[mes], "&gt;="&amp;P$1,
  desp.m.ik[mes], "&lt;"&amp;EOMONTH(P$1,0)+1
)</f>
        <v>0</v>
      </c>
      <c r="Q190" s="186">
        <f ca="1">-SUMIFS(
  desp.m.ik[valor],
  desp.m.ik[nucleo], $B190,
  desp.m.ik[variavel], $B$176,
  desp.m.ik[mes], "&gt;="&amp;Q$1,
  desp.m.ik[mes], "&lt;"&amp;EOMONTH(Q$1,0)+1
)</f>
        <v>0</v>
      </c>
      <c r="R190" s="186">
        <f ca="1">-SUMIFS(
  desp.m.ik[valor],
  desp.m.ik[nucleo], $B190,
  desp.m.ik[variavel], $B$176,
  desp.m.ik[mes], "&gt;="&amp;R$1,
  desp.m.ik[mes], "&lt;"&amp;EOMONTH(R$1,0)+1
)</f>
        <v>0</v>
      </c>
      <c r="S190" s="186">
        <f ca="1">-SUMIFS(
  desp.m.ik[valor],
  desp.m.ik[nucleo], $B190,
  desp.m.ik[variavel], $B$176,
  desp.m.ik[mes], "&gt;="&amp;S$1,
  desp.m.ik[mes], "&lt;"&amp;EOMONTH(S$1,0)+1
)</f>
        <v>0</v>
      </c>
      <c r="T190" s="186">
        <f ca="1">-SUMIFS(
  desp.m.ik[valor],
  desp.m.ik[nucleo], $B190,
  desp.m.ik[variavel], $B$176,
  desp.m.ik[mes], "&gt;="&amp;T$1,
  desp.m.ik[mes], "&lt;"&amp;EOMONTH(T$1,0)+1
)</f>
        <v>0</v>
      </c>
      <c r="U190" s="186">
        <f ca="1">-SUMIFS(
  desp.m.ik[valor],
  desp.m.ik[nucleo], $B190,
  desp.m.ik[variavel], $B$176,
  desp.m.ik[mes], "&gt;="&amp;U$1,
  desp.m.ik[mes], "&lt;"&amp;EOMONTH(U$1,0)+1
)</f>
        <v>0</v>
      </c>
      <c r="V190" s="186">
        <f ca="1">-SUMIFS(
  desp.m.ik[valor],
  desp.m.ik[nucleo], $B190,
  desp.m.ik[variavel], $B$176,
  desp.m.ik[mes], "&gt;="&amp;V$1,
  desp.m.ik[mes], "&lt;"&amp;EOMONTH(V$1,0)+1
)</f>
        <v>0</v>
      </c>
      <c r="W190" s="186">
        <f ca="1">-SUMIFS(
  desp.m.ik[valor],
  desp.m.ik[nucleo], $B190,
  desp.m.ik[variavel], $B$176,
  desp.m.ik[mes], "&gt;="&amp;W$1,
  desp.m.ik[mes], "&lt;"&amp;EOMONTH(W$1,0)+1
)</f>
        <v>0</v>
      </c>
      <c r="X190" s="186">
        <f ca="1">-SUMIFS(
  desp.m.ik[valor],
  desp.m.ik[nucleo], $B190,
  desp.m.ik[variavel], $B$176,
  desp.m.ik[mes], "&gt;="&amp;X$1,
  desp.m.ik[mes], "&lt;"&amp;EOMONTH(X$1,0)+1
)</f>
        <v>0</v>
      </c>
      <c r="Y190" s="186">
        <f ca="1">-SUMIFS(
  desp.m.ik[valor],
  desp.m.ik[nucleo], $B190,
  desp.m.ik[variavel], $B$176,
  desp.m.ik[mes], "&gt;="&amp;Y$1,
  desp.m.ik[mes], "&lt;"&amp;EOMONTH(Y$1,0)+1
)</f>
        <v>0</v>
      </c>
      <c r="Z190" s="186">
        <f ca="1">-SUMIFS(
  desp.m.ik[valor],
  desp.m.ik[nucleo], $B190,
  desp.m.ik[variavel], $B$176,
  desp.m.ik[mes], "&gt;="&amp;Z$1,
  desp.m.ik[mes], "&lt;"&amp;EOMONTH(Z$1,0)+1
)</f>
        <v>0</v>
      </c>
      <c r="AA190" s="186">
        <f ca="1">-SUMIFS(
  desp.m.ik[valor],
  desp.m.ik[nucleo], $B190,
  desp.m.ik[variavel], $B$176,
  desp.m.ik[mes], "&gt;="&amp;AA$1,
  desp.m.ik[mes], "&lt;"&amp;EOMONTH(AA$1,0)+1
)</f>
        <v>0</v>
      </c>
      <c r="AC190" s="178">
        <f t="shared" ca="1" si="31"/>
        <v>0</v>
      </c>
      <c r="AE190" s="178">
        <f t="shared" ca="1" si="32"/>
        <v>0</v>
      </c>
    </row>
    <row r="191" spans="1:31" hidden="1" outlineLevel="2" x14ac:dyDescent="0.25">
      <c r="A191" s="185" t="s">
        <v>611</v>
      </c>
      <c r="B191" s="185" t="s">
        <v>580</v>
      </c>
      <c r="C191" s="138" t="s">
        <v>514</v>
      </c>
      <c r="D191" s="186">
        <f ca="1">-SUMIFS(
  desp.m.ik[valor],
  desp.m.ik[nucleo], $B191,
  desp.m.ik[variavel], $B$176,
  desp.m.ik[mes], "&gt;="&amp;D$1,
  desp.m.ik[mes], "&lt;"&amp;EOMONTH(D$1,0)+1
)</f>
        <v>0</v>
      </c>
      <c r="E191" s="186">
        <f ca="1">-SUMIFS(
  desp.m.ik[valor],
  desp.m.ik[nucleo], $B191,
  desp.m.ik[variavel], $B$176,
  desp.m.ik[mes], "&gt;="&amp;E$1,
  desp.m.ik[mes], "&lt;"&amp;EOMONTH(E$1,0)+1
)</f>
        <v>0</v>
      </c>
      <c r="F191" s="186">
        <f ca="1">-SUMIFS(
  desp.m.ik[valor],
  desp.m.ik[nucleo], $B191,
  desp.m.ik[variavel], $B$176,
  desp.m.ik[mes], "&gt;="&amp;F$1,
  desp.m.ik[mes], "&lt;"&amp;EOMONTH(F$1,0)+1
)</f>
        <v>0</v>
      </c>
      <c r="G191" s="186">
        <f ca="1">-SUMIFS(
  desp.m.ik[valor],
  desp.m.ik[nucleo], $B191,
  desp.m.ik[variavel], $B$176,
  desp.m.ik[mes], "&gt;="&amp;G$1,
  desp.m.ik[mes], "&lt;"&amp;EOMONTH(G$1,0)+1
)</f>
        <v>0</v>
      </c>
      <c r="H191" s="186">
        <f ca="1">-SUMIFS(
  desp.m.ik[valor],
  desp.m.ik[nucleo], $B191,
  desp.m.ik[variavel], $B$176,
  desp.m.ik[mes], "&gt;="&amp;H$1,
  desp.m.ik[mes], "&lt;"&amp;EOMONTH(H$1,0)+1
)</f>
        <v>0</v>
      </c>
      <c r="I191" s="186">
        <f ca="1">-SUMIFS(
  desp.m.ik[valor],
  desp.m.ik[nucleo], $B191,
  desp.m.ik[variavel], $B$176,
  desp.m.ik[mes], "&gt;="&amp;I$1,
  desp.m.ik[mes], "&lt;"&amp;EOMONTH(I$1,0)+1
)</f>
        <v>0</v>
      </c>
      <c r="J191" s="186">
        <f ca="1">-SUMIFS(
  desp.m.ik[valor],
  desp.m.ik[nucleo], $B191,
  desp.m.ik[variavel], $B$176,
  desp.m.ik[mes], "&gt;="&amp;J$1,
  desp.m.ik[mes], "&lt;"&amp;EOMONTH(J$1,0)+1
)</f>
        <v>0</v>
      </c>
      <c r="K191" s="186">
        <f ca="1">-SUMIFS(
  desp.m.ik[valor],
  desp.m.ik[nucleo], $B191,
  desp.m.ik[variavel], $B$176,
  desp.m.ik[mes], "&gt;="&amp;K$1,
  desp.m.ik[mes], "&lt;"&amp;EOMONTH(K$1,0)+1
)</f>
        <v>0</v>
      </c>
      <c r="L191" s="186">
        <f ca="1">-SUMIFS(
  desp.m.ik[valor],
  desp.m.ik[nucleo], $B191,
  desp.m.ik[variavel], $B$176,
  desp.m.ik[mes], "&gt;="&amp;L$1,
  desp.m.ik[mes], "&lt;"&amp;EOMONTH(L$1,0)+1
)</f>
        <v>0</v>
      </c>
      <c r="M191" s="186">
        <f ca="1">-SUMIFS(
  desp.m.ik[valor],
  desp.m.ik[nucleo], $B191,
  desp.m.ik[variavel], $B$176,
  desp.m.ik[mes], "&gt;="&amp;M$1,
  desp.m.ik[mes], "&lt;"&amp;EOMONTH(M$1,0)+1
)</f>
        <v>0</v>
      </c>
      <c r="N191" s="186">
        <f ca="1">-SUMIFS(
  desp.m.ik[valor],
  desp.m.ik[nucleo], $B191,
  desp.m.ik[variavel], $B$176,
  desp.m.ik[mes], "&gt;="&amp;N$1,
  desp.m.ik[mes], "&lt;"&amp;EOMONTH(N$1,0)+1
)</f>
        <v>0</v>
      </c>
      <c r="O191" s="186">
        <f ca="1">-SUMIFS(
  desp.m.ik[valor],
  desp.m.ik[nucleo], $B191,
  desp.m.ik[variavel], $B$176,
  desp.m.ik[mes], "&gt;="&amp;O$1,
  desp.m.ik[mes], "&lt;"&amp;EOMONTH(O$1,0)+1
)</f>
        <v>0</v>
      </c>
      <c r="P191" s="186">
        <f ca="1">-SUMIFS(
  desp.m.ik[valor],
  desp.m.ik[nucleo], $B191,
  desp.m.ik[variavel], $B$176,
  desp.m.ik[mes], "&gt;="&amp;P$1,
  desp.m.ik[mes], "&lt;"&amp;EOMONTH(P$1,0)+1
)</f>
        <v>0</v>
      </c>
      <c r="Q191" s="186">
        <f ca="1">-SUMIFS(
  desp.m.ik[valor],
  desp.m.ik[nucleo], $B191,
  desp.m.ik[variavel], $B$176,
  desp.m.ik[mes], "&gt;="&amp;Q$1,
  desp.m.ik[mes], "&lt;"&amp;EOMONTH(Q$1,0)+1
)</f>
        <v>0</v>
      </c>
      <c r="R191" s="186">
        <f ca="1">-SUMIFS(
  desp.m.ik[valor],
  desp.m.ik[nucleo], $B191,
  desp.m.ik[variavel], $B$176,
  desp.m.ik[mes], "&gt;="&amp;R$1,
  desp.m.ik[mes], "&lt;"&amp;EOMONTH(R$1,0)+1
)</f>
        <v>0</v>
      </c>
      <c r="S191" s="186">
        <f ca="1">-SUMIFS(
  desp.m.ik[valor],
  desp.m.ik[nucleo], $B191,
  desp.m.ik[variavel], $B$176,
  desp.m.ik[mes], "&gt;="&amp;S$1,
  desp.m.ik[mes], "&lt;"&amp;EOMONTH(S$1,0)+1
)</f>
        <v>0</v>
      </c>
      <c r="T191" s="186">
        <f ca="1">-SUMIFS(
  desp.m.ik[valor],
  desp.m.ik[nucleo], $B191,
  desp.m.ik[variavel], $B$176,
  desp.m.ik[mes], "&gt;="&amp;T$1,
  desp.m.ik[mes], "&lt;"&amp;EOMONTH(T$1,0)+1
)</f>
        <v>0</v>
      </c>
      <c r="U191" s="186">
        <f ca="1">-SUMIFS(
  desp.m.ik[valor],
  desp.m.ik[nucleo], $B191,
  desp.m.ik[variavel], $B$176,
  desp.m.ik[mes], "&gt;="&amp;U$1,
  desp.m.ik[mes], "&lt;"&amp;EOMONTH(U$1,0)+1
)</f>
        <v>0</v>
      </c>
      <c r="V191" s="186">
        <f ca="1">-SUMIFS(
  desp.m.ik[valor],
  desp.m.ik[nucleo], $B191,
  desp.m.ik[variavel], $B$176,
  desp.m.ik[mes], "&gt;="&amp;V$1,
  desp.m.ik[mes], "&lt;"&amp;EOMONTH(V$1,0)+1
)</f>
        <v>0</v>
      </c>
      <c r="W191" s="186">
        <f ca="1">-SUMIFS(
  desp.m.ik[valor],
  desp.m.ik[nucleo], $B191,
  desp.m.ik[variavel], $B$176,
  desp.m.ik[mes], "&gt;="&amp;W$1,
  desp.m.ik[mes], "&lt;"&amp;EOMONTH(W$1,0)+1
)</f>
        <v>0</v>
      </c>
      <c r="X191" s="186">
        <f ca="1">-SUMIFS(
  desp.m.ik[valor],
  desp.m.ik[nucleo], $B191,
  desp.m.ik[variavel], $B$176,
  desp.m.ik[mes], "&gt;="&amp;X$1,
  desp.m.ik[mes], "&lt;"&amp;EOMONTH(X$1,0)+1
)</f>
        <v>0</v>
      </c>
      <c r="Y191" s="186">
        <f ca="1">-SUMIFS(
  desp.m.ik[valor],
  desp.m.ik[nucleo], $B191,
  desp.m.ik[variavel], $B$176,
  desp.m.ik[mes], "&gt;="&amp;Y$1,
  desp.m.ik[mes], "&lt;"&amp;EOMONTH(Y$1,0)+1
)</f>
        <v>0</v>
      </c>
      <c r="Z191" s="186">
        <f ca="1">-SUMIFS(
  desp.m.ik[valor],
  desp.m.ik[nucleo], $B191,
  desp.m.ik[variavel], $B$176,
  desp.m.ik[mes], "&gt;="&amp;Z$1,
  desp.m.ik[mes], "&lt;"&amp;EOMONTH(Z$1,0)+1
)</f>
        <v>0</v>
      </c>
      <c r="AA191" s="186">
        <f ca="1">-SUMIFS(
  desp.m.ik[valor],
  desp.m.ik[nucleo], $B191,
  desp.m.ik[variavel], $B$176,
  desp.m.ik[mes], "&gt;="&amp;AA$1,
  desp.m.ik[mes], "&lt;"&amp;EOMONTH(AA$1,0)+1
)</f>
        <v>0</v>
      </c>
      <c r="AC191" s="178">
        <f t="shared" ca="1" si="31"/>
        <v>0</v>
      </c>
      <c r="AE191" s="178">
        <f t="shared" ca="1" si="32"/>
        <v>0</v>
      </c>
    </row>
    <row r="192" spans="1:31" hidden="1" outlineLevel="2" x14ac:dyDescent="0.25">
      <c r="A192" s="185" t="s">
        <v>606</v>
      </c>
      <c r="B192" s="185" t="s">
        <v>706</v>
      </c>
      <c r="C192" s="138" t="s">
        <v>514</v>
      </c>
      <c r="D192" s="186">
        <f ca="1">-SUMIFS(
  desp.m.ik[valor],
  desp.m.ik[nucleo], $B192,
  desp.m.ik[variavel], $B$176,
  desp.m.ik[mes], "&gt;="&amp;D$1,
  desp.m.ik[mes], "&lt;"&amp;EOMONTH(D$1,0)+1
)</f>
        <v>0</v>
      </c>
      <c r="E192" s="186">
        <f ca="1">-SUMIFS(
  desp.m.ik[valor],
  desp.m.ik[nucleo], $B192,
  desp.m.ik[variavel], $B$176,
  desp.m.ik[mes], "&gt;="&amp;E$1,
  desp.m.ik[mes], "&lt;"&amp;EOMONTH(E$1,0)+1
)</f>
        <v>0</v>
      </c>
      <c r="F192" s="186">
        <f ca="1">-SUMIFS(
  desp.m.ik[valor],
  desp.m.ik[nucleo], $B192,
  desp.m.ik[variavel], $B$176,
  desp.m.ik[mes], "&gt;="&amp;F$1,
  desp.m.ik[mes], "&lt;"&amp;EOMONTH(F$1,0)+1
)</f>
        <v>0</v>
      </c>
      <c r="G192" s="186">
        <f ca="1">-SUMIFS(
  desp.m.ik[valor],
  desp.m.ik[nucleo], $B192,
  desp.m.ik[variavel], $B$176,
  desp.m.ik[mes], "&gt;="&amp;G$1,
  desp.m.ik[mes], "&lt;"&amp;EOMONTH(G$1,0)+1
)</f>
        <v>0</v>
      </c>
      <c r="H192" s="186">
        <f ca="1">-SUMIFS(
  desp.m.ik[valor],
  desp.m.ik[nucleo], $B192,
  desp.m.ik[variavel], $B$176,
  desp.m.ik[mes], "&gt;="&amp;H$1,
  desp.m.ik[mes], "&lt;"&amp;EOMONTH(H$1,0)+1
)</f>
        <v>0</v>
      </c>
      <c r="I192" s="186">
        <f ca="1">-SUMIFS(
  desp.m.ik[valor],
  desp.m.ik[nucleo], $B192,
  desp.m.ik[variavel], $B$176,
  desp.m.ik[mes], "&gt;="&amp;I$1,
  desp.m.ik[mes], "&lt;"&amp;EOMONTH(I$1,0)+1
)</f>
        <v>0</v>
      </c>
      <c r="J192" s="186">
        <f ca="1">-SUMIFS(
  desp.m.ik[valor],
  desp.m.ik[nucleo], $B192,
  desp.m.ik[variavel], $B$176,
  desp.m.ik[mes], "&gt;="&amp;J$1,
  desp.m.ik[mes], "&lt;"&amp;EOMONTH(J$1,0)+1
)</f>
        <v>0</v>
      </c>
      <c r="K192" s="186">
        <f ca="1">-SUMIFS(
  desp.m.ik[valor],
  desp.m.ik[nucleo], $B192,
  desp.m.ik[variavel], $B$176,
  desp.m.ik[mes], "&gt;="&amp;K$1,
  desp.m.ik[mes], "&lt;"&amp;EOMONTH(K$1,0)+1
)</f>
        <v>0</v>
      </c>
      <c r="L192" s="186">
        <f ca="1">-SUMIFS(
  desp.m.ik[valor],
  desp.m.ik[nucleo], $B192,
  desp.m.ik[variavel], $B$176,
  desp.m.ik[mes], "&gt;="&amp;L$1,
  desp.m.ik[mes], "&lt;"&amp;EOMONTH(L$1,0)+1
)</f>
        <v>0</v>
      </c>
      <c r="M192" s="186">
        <f ca="1">-SUMIFS(
  desp.m.ik[valor],
  desp.m.ik[nucleo], $B192,
  desp.m.ik[variavel], $B$176,
  desp.m.ik[mes], "&gt;="&amp;M$1,
  desp.m.ik[mes], "&lt;"&amp;EOMONTH(M$1,0)+1
)</f>
        <v>0</v>
      </c>
      <c r="N192" s="186">
        <f ca="1">-SUMIFS(
  desp.m.ik[valor],
  desp.m.ik[nucleo], $B192,
  desp.m.ik[variavel], $B$176,
  desp.m.ik[mes], "&gt;="&amp;N$1,
  desp.m.ik[mes], "&lt;"&amp;EOMONTH(N$1,0)+1
)</f>
        <v>0</v>
      </c>
      <c r="O192" s="186">
        <f ca="1">-SUMIFS(
  desp.m.ik[valor],
  desp.m.ik[nucleo], $B192,
  desp.m.ik[variavel], $B$176,
  desp.m.ik[mes], "&gt;="&amp;O$1,
  desp.m.ik[mes], "&lt;"&amp;EOMONTH(O$1,0)+1
)</f>
        <v>0</v>
      </c>
      <c r="P192" s="186">
        <f ca="1">-SUMIFS(
  desp.m.ik[valor],
  desp.m.ik[nucleo], $B192,
  desp.m.ik[variavel], $B$176,
  desp.m.ik[mes], "&gt;="&amp;P$1,
  desp.m.ik[mes], "&lt;"&amp;EOMONTH(P$1,0)+1
)</f>
        <v>0</v>
      </c>
      <c r="Q192" s="186">
        <f ca="1">-SUMIFS(
  desp.m.ik[valor],
  desp.m.ik[nucleo], $B192,
  desp.m.ik[variavel], $B$176,
  desp.m.ik[mes], "&gt;="&amp;Q$1,
  desp.m.ik[mes], "&lt;"&amp;EOMONTH(Q$1,0)+1
)</f>
        <v>0</v>
      </c>
      <c r="R192" s="186">
        <f ca="1">-SUMIFS(
  desp.m.ik[valor],
  desp.m.ik[nucleo], $B192,
  desp.m.ik[variavel], $B$176,
  desp.m.ik[mes], "&gt;="&amp;R$1,
  desp.m.ik[mes], "&lt;"&amp;EOMONTH(R$1,0)+1
)</f>
        <v>0</v>
      </c>
      <c r="S192" s="186">
        <f ca="1">-SUMIFS(
  desp.m.ik[valor],
  desp.m.ik[nucleo], $B192,
  desp.m.ik[variavel], $B$176,
  desp.m.ik[mes], "&gt;="&amp;S$1,
  desp.m.ik[mes], "&lt;"&amp;EOMONTH(S$1,0)+1
)</f>
        <v>0</v>
      </c>
      <c r="T192" s="186">
        <f ca="1">-SUMIFS(
  desp.m.ik[valor],
  desp.m.ik[nucleo], $B192,
  desp.m.ik[variavel], $B$176,
  desp.m.ik[mes], "&gt;="&amp;T$1,
  desp.m.ik[mes], "&lt;"&amp;EOMONTH(T$1,0)+1
)</f>
        <v>0</v>
      </c>
      <c r="U192" s="186">
        <f ca="1">-SUMIFS(
  desp.m.ik[valor],
  desp.m.ik[nucleo], $B192,
  desp.m.ik[variavel], $B$176,
  desp.m.ik[mes], "&gt;="&amp;U$1,
  desp.m.ik[mes], "&lt;"&amp;EOMONTH(U$1,0)+1
)</f>
        <v>0</v>
      </c>
      <c r="V192" s="186">
        <f ca="1">-SUMIFS(
  desp.m.ik[valor],
  desp.m.ik[nucleo], $B192,
  desp.m.ik[variavel], $B$176,
  desp.m.ik[mes], "&gt;="&amp;V$1,
  desp.m.ik[mes], "&lt;"&amp;EOMONTH(V$1,0)+1
)</f>
        <v>0</v>
      </c>
      <c r="W192" s="186">
        <f ca="1">-SUMIFS(
  desp.m.ik[valor],
  desp.m.ik[nucleo], $B192,
  desp.m.ik[variavel], $B$176,
  desp.m.ik[mes], "&gt;="&amp;W$1,
  desp.m.ik[mes], "&lt;"&amp;EOMONTH(W$1,0)+1
)</f>
        <v>0</v>
      </c>
      <c r="X192" s="186">
        <f ca="1">-SUMIFS(
  desp.m.ik[valor],
  desp.m.ik[nucleo], $B192,
  desp.m.ik[variavel], $B$176,
  desp.m.ik[mes], "&gt;="&amp;X$1,
  desp.m.ik[mes], "&lt;"&amp;EOMONTH(X$1,0)+1
)</f>
        <v>0</v>
      </c>
      <c r="Y192" s="186">
        <f ca="1">-SUMIFS(
  desp.m.ik[valor],
  desp.m.ik[nucleo], $B192,
  desp.m.ik[variavel], $B$176,
  desp.m.ik[mes], "&gt;="&amp;Y$1,
  desp.m.ik[mes], "&lt;"&amp;EOMONTH(Y$1,0)+1
)</f>
        <v>0</v>
      </c>
      <c r="Z192" s="186">
        <f ca="1">-SUMIFS(
  desp.m.ik[valor],
  desp.m.ik[nucleo], $B192,
  desp.m.ik[variavel], $B$176,
  desp.m.ik[mes], "&gt;="&amp;Z$1,
  desp.m.ik[mes], "&lt;"&amp;EOMONTH(Z$1,0)+1
)</f>
        <v>0</v>
      </c>
      <c r="AA192" s="186">
        <f ca="1">-SUMIFS(
  desp.m.ik[valor],
  desp.m.ik[nucleo], $B192,
  desp.m.ik[variavel], $B$176,
  desp.m.ik[mes], "&gt;="&amp;AA$1,
  desp.m.ik[mes], "&lt;"&amp;EOMONTH(AA$1,0)+1
)</f>
        <v>0</v>
      </c>
      <c r="AC192" s="178">
        <f t="shared" ca="1" si="31"/>
        <v>0</v>
      </c>
      <c r="AE192" s="178">
        <f ca="1">SUM(D192:AA192)</f>
        <v>0</v>
      </c>
    </row>
    <row r="193" spans="1:31" hidden="1" outlineLevel="2" x14ac:dyDescent="0.25">
      <c r="A193" s="185" t="s">
        <v>610</v>
      </c>
      <c r="B193" s="185" t="s">
        <v>557</v>
      </c>
      <c r="C193" s="138" t="s">
        <v>514</v>
      </c>
      <c r="D193" s="186">
        <f ca="1">-SUMIFS(
  desp.m.ik[valor],
  desp.m.ik[nucleo], $B193,
  desp.m.ik[variavel], $B$176,
  desp.m.ik[mes], "&gt;="&amp;D$1,
  desp.m.ik[mes], "&lt;"&amp;EOMONTH(D$1,0)+1
)</f>
        <v>0</v>
      </c>
      <c r="E193" s="186">
        <f ca="1">-SUMIFS(
  desp.m.ik[valor],
  desp.m.ik[nucleo], $B193,
  desp.m.ik[variavel], $B$176,
  desp.m.ik[mes], "&gt;="&amp;E$1,
  desp.m.ik[mes], "&lt;"&amp;EOMONTH(E$1,0)+1
)</f>
        <v>0</v>
      </c>
      <c r="F193" s="186">
        <f ca="1">-SUMIFS(
  desp.m.ik[valor],
  desp.m.ik[nucleo], $B193,
  desp.m.ik[variavel], $B$176,
  desp.m.ik[mes], "&gt;="&amp;F$1,
  desp.m.ik[mes], "&lt;"&amp;EOMONTH(F$1,0)+1
)</f>
        <v>0</v>
      </c>
      <c r="G193" s="186">
        <f ca="1">-SUMIFS(
  desp.m.ik[valor],
  desp.m.ik[nucleo], $B193,
  desp.m.ik[variavel], $B$176,
  desp.m.ik[mes], "&gt;="&amp;G$1,
  desp.m.ik[mes], "&lt;"&amp;EOMONTH(G$1,0)+1
)</f>
        <v>0</v>
      </c>
      <c r="H193" s="186">
        <f ca="1">-SUMIFS(
  desp.m.ik[valor],
  desp.m.ik[nucleo], $B193,
  desp.m.ik[variavel], $B$176,
  desp.m.ik[mes], "&gt;="&amp;H$1,
  desp.m.ik[mes], "&lt;"&amp;EOMONTH(H$1,0)+1
)</f>
        <v>0</v>
      </c>
      <c r="I193" s="186">
        <f ca="1">-SUMIFS(
  desp.m.ik[valor],
  desp.m.ik[nucleo], $B193,
  desp.m.ik[variavel], $B$176,
  desp.m.ik[mes], "&gt;="&amp;I$1,
  desp.m.ik[mes], "&lt;"&amp;EOMONTH(I$1,0)+1
)</f>
        <v>0</v>
      </c>
      <c r="J193" s="186">
        <f ca="1">-SUMIFS(
  desp.m.ik[valor],
  desp.m.ik[nucleo], $B193,
  desp.m.ik[variavel], $B$176,
  desp.m.ik[mes], "&gt;="&amp;J$1,
  desp.m.ik[mes], "&lt;"&amp;EOMONTH(J$1,0)+1
)</f>
        <v>0</v>
      </c>
      <c r="K193" s="186">
        <f ca="1">-SUMIFS(
  desp.m.ik[valor],
  desp.m.ik[nucleo], $B193,
  desp.m.ik[variavel], $B$176,
  desp.m.ik[mes], "&gt;="&amp;K$1,
  desp.m.ik[mes], "&lt;"&amp;EOMONTH(K$1,0)+1
)</f>
        <v>0</v>
      </c>
      <c r="L193" s="186">
        <f ca="1">-SUMIFS(
  desp.m.ik[valor],
  desp.m.ik[nucleo], $B193,
  desp.m.ik[variavel], $B$176,
  desp.m.ik[mes], "&gt;="&amp;L$1,
  desp.m.ik[mes], "&lt;"&amp;EOMONTH(L$1,0)+1
)</f>
        <v>0</v>
      </c>
      <c r="M193" s="186">
        <f ca="1">-SUMIFS(
  desp.m.ik[valor],
  desp.m.ik[nucleo], $B193,
  desp.m.ik[variavel], $B$176,
  desp.m.ik[mes], "&gt;="&amp;M$1,
  desp.m.ik[mes], "&lt;"&amp;EOMONTH(M$1,0)+1
)</f>
        <v>0</v>
      </c>
      <c r="N193" s="186">
        <f ca="1">-SUMIFS(
  desp.m.ik[valor],
  desp.m.ik[nucleo], $B193,
  desp.m.ik[variavel], $B$176,
  desp.m.ik[mes], "&gt;="&amp;N$1,
  desp.m.ik[mes], "&lt;"&amp;EOMONTH(N$1,0)+1
)</f>
        <v>0</v>
      </c>
      <c r="O193" s="186">
        <f ca="1">-SUMIFS(
  desp.m.ik[valor],
  desp.m.ik[nucleo], $B193,
  desp.m.ik[variavel], $B$176,
  desp.m.ik[mes], "&gt;="&amp;O$1,
  desp.m.ik[mes], "&lt;"&amp;EOMONTH(O$1,0)+1
)</f>
        <v>0</v>
      </c>
      <c r="P193" s="186">
        <f ca="1">-SUMIFS(
  desp.m.ik[valor],
  desp.m.ik[nucleo], $B193,
  desp.m.ik[variavel], $B$176,
  desp.m.ik[mes], "&gt;="&amp;P$1,
  desp.m.ik[mes], "&lt;"&amp;EOMONTH(P$1,0)+1
)</f>
        <v>0</v>
      </c>
      <c r="Q193" s="186">
        <f ca="1">-SUMIFS(
  desp.m.ik[valor],
  desp.m.ik[nucleo], $B193,
  desp.m.ik[variavel], $B$176,
  desp.m.ik[mes], "&gt;="&amp;Q$1,
  desp.m.ik[mes], "&lt;"&amp;EOMONTH(Q$1,0)+1
)</f>
        <v>0</v>
      </c>
      <c r="R193" s="186">
        <f ca="1">-SUMIFS(
  desp.m.ik[valor],
  desp.m.ik[nucleo], $B193,
  desp.m.ik[variavel], $B$176,
  desp.m.ik[mes], "&gt;="&amp;R$1,
  desp.m.ik[mes], "&lt;"&amp;EOMONTH(R$1,0)+1
)</f>
        <v>0</v>
      </c>
      <c r="S193" s="186">
        <f ca="1">-SUMIFS(
  desp.m.ik[valor],
  desp.m.ik[nucleo], $B193,
  desp.m.ik[variavel], $B$176,
  desp.m.ik[mes], "&gt;="&amp;S$1,
  desp.m.ik[mes], "&lt;"&amp;EOMONTH(S$1,0)+1
)</f>
        <v>0</v>
      </c>
      <c r="T193" s="186">
        <f ca="1">-SUMIFS(
  desp.m.ik[valor],
  desp.m.ik[nucleo], $B193,
  desp.m.ik[variavel], $B$176,
  desp.m.ik[mes], "&gt;="&amp;T$1,
  desp.m.ik[mes], "&lt;"&amp;EOMONTH(T$1,0)+1
)</f>
        <v>0</v>
      </c>
      <c r="U193" s="186">
        <f ca="1">-SUMIFS(
  desp.m.ik[valor],
  desp.m.ik[nucleo], $B193,
  desp.m.ik[variavel], $B$176,
  desp.m.ik[mes], "&gt;="&amp;U$1,
  desp.m.ik[mes], "&lt;"&amp;EOMONTH(U$1,0)+1
)</f>
        <v>0</v>
      </c>
      <c r="V193" s="186">
        <f ca="1">-SUMIFS(
  desp.m.ik[valor],
  desp.m.ik[nucleo], $B193,
  desp.m.ik[variavel], $B$176,
  desp.m.ik[mes], "&gt;="&amp;V$1,
  desp.m.ik[mes], "&lt;"&amp;EOMONTH(V$1,0)+1
)</f>
        <v>0</v>
      </c>
      <c r="W193" s="186">
        <f ca="1">-SUMIFS(
  desp.m.ik[valor],
  desp.m.ik[nucleo], $B193,
  desp.m.ik[variavel], $B$176,
  desp.m.ik[mes], "&gt;="&amp;W$1,
  desp.m.ik[mes], "&lt;"&amp;EOMONTH(W$1,0)+1
)</f>
        <v>0</v>
      </c>
      <c r="X193" s="186">
        <f ca="1">-SUMIFS(
  desp.m.ik[valor],
  desp.m.ik[nucleo], $B193,
  desp.m.ik[variavel], $B$176,
  desp.m.ik[mes], "&gt;="&amp;X$1,
  desp.m.ik[mes], "&lt;"&amp;EOMONTH(X$1,0)+1
)</f>
        <v>0</v>
      </c>
      <c r="Y193" s="186">
        <f ca="1">-SUMIFS(
  desp.m.ik[valor],
  desp.m.ik[nucleo], $B193,
  desp.m.ik[variavel], $B$176,
  desp.m.ik[mes], "&gt;="&amp;Y$1,
  desp.m.ik[mes], "&lt;"&amp;EOMONTH(Y$1,0)+1
)</f>
        <v>0</v>
      </c>
      <c r="Z193" s="186">
        <f ca="1">-SUMIFS(
  desp.m.ik[valor],
  desp.m.ik[nucleo], $B193,
  desp.m.ik[variavel], $B$176,
  desp.m.ik[mes], "&gt;="&amp;Z$1,
  desp.m.ik[mes], "&lt;"&amp;EOMONTH(Z$1,0)+1
)</f>
        <v>0</v>
      </c>
      <c r="AA193" s="186">
        <f ca="1">-SUMIFS(
  desp.m.ik[valor],
  desp.m.ik[nucleo], $B193,
  desp.m.ik[variavel], $B$176,
  desp.m.ik[mes], "&gt;="&amp;AA$1,
  desp.m.ik[mes], "&lt;"&amp;EOMONTH(AA$1,0)+1
)</f>
        <v>0</v>
      </c>
      <c r="AC193" s="178">
        <f t="shared" ca="1" si="31"/>
        <v>0</v>
      </c>
      <c r="AE193" s="178">
        <f t="shared" ca="1" si="32"/>
        <v>0</v>
      </c>
    </row>
    <row r="194" spans="1:31" hidden="1" outlineLevel="2" x14ac:dyDescent="0.25">
      <c r="A194" s="185" t="s">
        <v>606</v>
      </c>
      <c r="B194" s="185" t="s">
        <v>569</v>
      </c>
      <c r="C194" s="138" t="s">
        <v>514</v>
      </c>
      <c r="D194" s="186">
        <f ca="1">-SUMIFS(
  desp.m.ik[valor],
  desp.m.ik[nucleo], $B194,
  desp.m.ik[variavel], $B$176,
  desp.m.ik[mes], "&gt;="&amp;D$1,
  desp.m.ik[mes], "&lt;"&amp;EOMONTH(D$1,0)+1
)</f>
        <v>0</v>
      </c>
      <c r="E194" s="186">
        <f ca="1">-SUMIFS(
  desp.m.ik[valor],
  desp.m.ik[nucleo], $B194,
  desp.m.ik[variavel], $B$176,
  desp.m.ik[mes], "&gt;="&amp;E$1,
  desp.m.ik[mes], "&lt;"&amp;EOMONTH(E$1,0)+1
)</f>
        <v>0</v>
      </c>
      <c r="F194" s="186">
        <f ca="1">-SUMIFS(
  desp.m.ik[valor],
  desp.m.ik[nucleo], $B194,
  desp.m.ik[variavel], $B$176,
  desp.m.ik[mes], "&gt;="&amp;F$1,
  desp.m.ik[mes], "&lt;"&amp;EOMONTH(F$1,0)+1
)</f>
        <v>0</v>
      </c>
      <c r="G194" s="186">
        <f ca="1">-SUMIFS(
  desp.m.ik[valor],
  desp.m.ik[nucleo], $B194,
  desp.m.ik[variavel], $B$176,
  desp.m.ik[mes], "&gt;="&amp;G$1,
  desp.m.ik[mes], "&lt;"&amp;EOMONTH(G$1,0)+1
)</f>
        <v>0</v>
      </c>
      <c r="H194" s="186">
        <f ca="1">-SUMIFS(
  desp.m.ik[valor],
  desp.m.ik[nucleo], $B194,
  desp.m.ik[variavel], $B$176,
  desp.m.ik[mes], "&gt;="&amp;H$1,
  desp.m.ik[mes], "&lt;"&amp;EOMONTH(H$1,0)+1
)</f>
        <v>0</v>
      </c>
      <c r="I194" s="186">
        <f ca="1">-SUMIFS(
  desp.m.ik[valor],
  desp.m.ik[nucleo], $B194,
  desp.m.ik[variavel], $B$176,
  desp.m.ik[mes], "&gt;="&amp;I$1,
  desp.m.ik[mes], "&lt;"&amp;EOMONTH(I$1,0)+1
)</f>
        <v>0</v>
      </c>
      <c r="J194" s="186">
        <f ca="1">-SUMIFS(
  desp.m.ik[valor],
  desp.m.ik[nucleo], $B194,
  desp.m.ik[variavel], $B$176,
  desp.m.ik[mes], "&gt;="&amp;J$1,
  desp.m.ik[mes], "&lt;"&amp;EOMONTH(J$1,0)+1
)</f>
        <v>0</v>
      </c>
      <c r="K194" s="186">
        <f ca="1">-SUMIFS(
  desp.m.ik[valor],
  desp.m.ik[nucleo], $B194,
  desp.m.ik[variavel], $B$176,
  desp.m.ik[mes], "&gt;="&amp;K$1,
  desp.m.ik[mes], "&lt;"&amp;EOMONTH(K$1,0)+1
)</f>
        <v>0</v>
      </c>
      <c r="L194" s="186">
        <f ca="1">-SUMIFS(
  desp.m.ik[valor],
  desp.m.ik[nucleo], $B194,
  desp.m.ik[variavel], $B$176,
  desp.m.ik[mes], "&gt;="&amp;L$1,
  desp.m.ik[mes], "&lt;"&amp;EOMONTH(L$1,0)+1
)</f>
        <v>0</v>
      </c>
      <c r="M194" s="186">
        <f ca="1">-SUMIFS(
  desp.m.ik[valor],
  desp.m.ik[nucleo], $B194,
  desp.m.ik[variavel], $B$176,
  desp.m.ik[mes], "&gt;="&amp;M$1,
  desp.m.ik[mes], "&lt;"&amp;EOMONTH(M$1,0)+1
)</f>
        <v>0</v>
      </c>
      <c r="N194" s="186">
        <f ca="1">-SUMIFS(
  desp.m.ik[valor],
  desp.m.ik[nucleo], $B194,
  desp.m.ik[variavel], $B$176,
  desp.m.ik[mes], "&gt;="&amp;N$1,
  desp.m.ik[mes], "&lt;"&amp;EOMONTH(N$1,0)+1
)</f>
        <v>0</v>
      </c>
      <c r="O194" s="186">
        <f ca="1">-SUMIFS(
  desp.m.ik[valor],
  desp.m.ik[nucleo], $B194,
  desp.m.ik[variavel], $B$176,
  desp.m.ik[mes], "&gt;="&amp;O$1,
  desp.m.ik[mes], "&lt;"&amp;EOMONTH(O$1,0)+1
)</f>
        <v>0</v>
      </c>
      <c r="P194" s="186">
        <f ca="1">-SUMIFS(
  desp.m.ik[valor],
  desp.m.ik[nucleo], $B194,
  desp.m.ik[variavel], $B$176,
  desp.m.ik[mes], "&gt;="&amp;P$1,
  desp.m.ik[mes], "&lt;"&amp;EOMONTH(P$1,0)+1
)</f>
        <v>0</v>
      </c>
      <c r="Q194" s="186">
        <f ca="1">-SUMIFS(
  desp.m.ik[valor],
  desp.m.ik[nucleo], $B194,
  desp.m.ik[variavel], $B$176,
  desp.m.ik[mes], "&gt;="&amp;Q$1,
  desp.m.ik[mes], "&lt;"&amp;EOMONTH(Q$1,0)+1
)</f>
        <v>0</v>
      </c>
      <c r="R194" s="186">
        <f ca="1">-SUMIFS(
  desp.m.ik[valor],
  desp.m.ik[nucleo], $B194,
  desp.m.ik[variavel], $B$176,
  desp.m.ik[mes], "&gt;="&amp;R$1,
  desp.m.ik[mes], "&lt;"&amp;EOMONTH(R$1,0)+1
)</f>
        <v>0</v>
      </c>
      <c r="S194" s="186">
        <f ca="1">-SUMIFS(
  desp.m.ik[valor],
  desp.m.ik[nucleo], $B194,
  desp.m.ik[variavel], $B$176,
  desp.m.ik[mes], "&gt;="&amp;S$1,
  desp.m.ik[mes], "&lt;"&amp;EOMONTH(S$1,0)+1
)</f>
        <v>0</v>
      </c>
      <c r="T194" s="186">
        <f ca="1">-SUMIFS(
  desp.m.ik[valor],
  desp.m.ik[nucleo], $B194,
  desp.m.ik[variavel], $B$176,
  desp.m.ik[mes], "&gt;="&amp;T$1,
  desp.m.ik[mes], "&lt;"&amp;EOMONTH(T$1,0)+1
)</f>
        <v>0</v>
      </c>
      <c r="U194" s="186">
        <f ca="1">-SUMIFS(
  desp.m.ik[valor],
  desp.m.ik[nucleo], $B194,
  desp.m.ik[variavel], $B$176,
  desp.m.ik[mes], "&gt;="&amp;U$1,
  desp.m.ik[mes], "&lt;"&amp;EOMONTH(U$1,0)+1
)</f>
        <v>0</v>
      </c>
      <c r="V194" s="186">
        <f ca="1">-SUMIFS(
  desp.m.ik[valor],
  desp.m.ik[nucleo], $B194,
  desp.m.ik[variavel], $B$176,
  desp.m.ik[mes], "&gt;="&amp;V$1,
  desp.m.ik[mes], "&lt;"&amp;EOMONTH(V$1,0)+1
)</f>
        <v>0</v>
      </c>
      <c r="W194" s="186">
        <f ca="1">-SUMIFS(
  desp.m.ik[valor],
  desp.m.ik[nucleo], $B194,
  desp.m.ik[variavel], $B$176,
  desp.m.ik[mes], "&gt;="&amp;W$1,
  desp.m.ik[mes], "&lt;"&amp;EOMONTH(W$1,0)+1
)</f>
        <v>0</v>
      </c>
      <c r="X194" s="186">
        <f ca="1">-SUMIFS(
  desp.m.ik[valor],
  desp.m.ik[nucleo], $B194,
  desp.m.ik[variavel], $B$176,
  desp.m.ik[mes], "&gt;="&amp;X$1,
  desp.m.ik[mes], "&lt;"&amp;EOMONTH(X$1,0)+1
)</f>
        <v>0</v>
      </c>
      <c r="Y194" s="186">
        <f ca="1">-SUMIFS(
  desp.m.ik[valor],
  desp.m.ik[nucleo], $B194,
  desp.m.ik[variavel], $B$176,
  desp.m.ik[mes], "&gt;="&amp;Y$1,
  desp.m.ik[mes], "&lt;"&amp;EOMONTH(Y$1,0)+1
)</f>
        <v>0</v>
      </c>
      <c r="Z194" s="186">
        <f ca="1">-SUMIFS(
  desp.m.ik[valor],
  desp.m.ik[nucleo], $B194,
  desp.m.ik[variavel], $B$176,
  desp.m.ik[mes], "&gt;="&amp;Z$1,
  desp.m.ik[mes], "&lt;"&amp;EOMONTH(Z$1,0)+1
)</f>
        <v>0</v>
      </c>
      <c r="AA194" s="186">
        <f ca="1">-SUMIFS(
  desp.m.ik[valor],
  desp.m.ik[nucleo], $B194,
  desp.m.ik[variavel], $B$176,
  desp.m.ik[mes], "&gt;="&amp;AA$1,
  desp.m.ik[mes], "&lt;"&amp;EOMONTH(AA$1,0)+1
)</f>
        <v>0</v>
      </c>
      <c r="AC194" s="178">
        <f t="shared" ca="1" si="31"/>
        <v>0</v>
      </c>
      <c r="AE194" s="178">
        <f t="shared" ref="AE194:AE262" ca="1" si="40">SUM(D194:AA194)</f>
        <v>0</v>
      </c>
    </row>
    <row r="195" spans="1:31" hidden="1" outlineLevel="1" x14ac:dyDescent="0.25">
      <c r="A195" s="195" t="s">
        <v>612</v>
      </c>
      <c r="B195" s="192" t="s">
        <v>613</v>
      </c>
      <c r="C195" s="138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  <c r="AA195" s="186"/>
      <c r="AC195" s="178">
        <f t="shared" si="31"/>
        <v>0</v>
      </c>
      <c r="AE195" s="178">
        <f t="shared" si="40"/>
        <v>0</v>
      </c>
    </row>
    <row r="196" spans="1:31" hidden="1" outlineLevel="1" x14ac:dyDescent="0.25">
      <c r="A196" s="195" t="s">
        <v>614</v>
      </c>
      <c r="B196" s="192" t="s">
        <v>615</v>
      </c>
      <c r="C196" s="138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  <c r="AA196" s="186"/>
      <c r="AC196" s="178">
        <f t="shared" ref="AC196:AC259" si="41">SUM(D196:U196)</f>
        <v>0</v>
      </c>
      <c r="AE196" s="178">
        <f t="shared" si="40"/>
        <v>0</v>
      </c>
    </row>
    <row r="197" spans="1:31" collapsed="1" x14ac:dyDescent="0.25">
      <c r="A197" s="175" t="s">
        <v>616</v>
      </c>
      <c r="B197" s="175" t="s">
        <v>617</v>
      </c>
      <c r="C197" s="176"/>
      <c r="D197" s="177">
        <f t="shared" ref="D197:AA197" ca="1" si="42">D$198+D$222</f>
        <v>1301708.8500000001</v>
      </c>
      <c r="E197" s="177">
        <f t="shared" ca="1" si="42"/>
        <v>0</v>
      </c>
      <c r="F197" s="177">
        <f t="shared" ca="1" si="42"/>
        <v>621715.06000000006</v>
      </c>
      <c r="G197" s="177">
        <f t="shared" ca="1" si="42"/>
        <v>2880120.66</v>
      </c>
      <c r="H197" s="177">
        <f t="shared" ca="1" si="42"/>
        <v>-4574829.6099999985</v>
      </c>
      <c r="I197" s="177">
        <f t="shared" ca="1" si="42"/>
        <v>2693304.8</v>
      </c>
      <c r="J197" s="177">
        <f t="shared" ca="1" si="42"/>
        <v>-1135314.7800000003</v>
      </c>
      <c r="K197" s="177">
        <f t="shared" ca="1" si="42"/>
        <v>13459049.359999999</v>
      </c>
      <c r="L197" s="177">
        <f t="shared" ca="1" si="42"/>
        <v>1226397.81</v>
      </c>
      <c r="M197" s="177">
        <f t="shared" ca="1" si="42"/>
        <v>3497137.5199999996</v>
      </c>
      <c r="N197" s="177">
        <f t="shared" ca="1" si="42"/>
        <v>-3397342.11</v>
      </c>
      <c r="O197" s="177">
        <f t="shared" ca="1" si="42"/>
        <v>471701.2</v>
      </c>
      <c r="P197" s="177">
        <f t="shared" ca="1" si="42"/>
        <v>1138483.6300000001</v>
      </c>
      <c r="Q197" s="177">
        <f t="shared" ca="1" si="42"/>
        <v>3697790.27</v>
      </c>
      <c r="R197" s="177">
        <f t="shared" ca="1" si="42"/>
        <v>2245616.4500000002</v>
      </c>
      <c r="S197" s="177">
        <f t="shared" ca="1" si="42"/>
        <v>902872.02</v>
      </c>
      <c r="T197" s="177">
        <f t="shared" ca="1" si="42"/>
        <v>6832317.2400000002</v>
      </c>
      <c r="U197" s="177">
        <f t="shared" ca="1" si="42"/>
        <v>1365955.58</v>
      </c>
      <c r="V197" s="177">
        <f t="shared" ca="1" si="42"/>
        <v>0</v>
      </c>
      <c r="W197" s="177">
        <f t="shared" ca="1" si="42"/>
        <v>0</v>
      </c>
      <c r="X197" s="177">
        <f t="shared" ca="1" si="42"/>
        <v>0</v>
      </c>
      <c r="Y197" s="177">
        <f t="shared" ca="1" si="42"/>
        <v>0</v>
      </c>
      <c r="Z197" s="177">
        <f t="shared" ca="1" si="42"/>
        <v>0</v>
      </c>
      <c r="AA197" s="177">
        <f t="shared" ca="1" si="42"/>
        <v>0</v>
      </c>
      <c r="AC197" s="278">
        <f t="shared" ca="1" si="41"/>
        <v>33226683.949999996</v>
      </c>
      <c r="AE197" s="278">
        <f t="shared" ca="1" si="40"/>
        <v>33226683.949999996</v>
      </c>
    </row>
    <row r="198" spans="1:31" x14ac:dyDescent="0.25">
      <c r="A198" s="179" t="s">
        <v>618</v>
      </c>
      <c r="B198" s="179" t="s">
        <v>619</v>
      </c>
      <c r="C198" s="180"/>
      <c r="D198" s="181">
        <f t="shared" ref="D198:AA198" si="43">SUM(D$199,D$221)</f>
        <v>1301708.8500000001</v>
      </c>
      <c r="E198" s="181">
        <f t="shared" si="43"/>
        <v>0</v>
      </c>
      <c r="F198" s="181">
        <f t="shared" si="43"/>
        <v>621715.06000000006</v>
      </c>
      <c r="G198" s="181">
        <f t="shared" si="43"/>
        <v>3408120.66</v>
      </c>
      <c r="H198" s="181">
        <f t="shared" si="43"/>
        <v>6070665.4500000002</v>
      </c>
      <c r="I198" s="181">
        <f t="shared" si="43"/>
        <v>2693304.8</v>
      </c>
      <c r="J198" s="181">
        <f t="shared" si="43"/>
        <v>1715270.17</v>
      </c>
      <c r="K198" s="181">
        <f t="shared" si="43"/>
        <v>13459049.359999999</v>
      </c>
      <c r="L198" s="181">
        <f t="shared" si="43"/>
        <v>1226397.81</v>
      </c>
      <c r="M198" s="181">
        <f t="shared" si="43"/>
        <v>6497137.5199999996</v>
      </c>
      <c r="N198" s="181">
        <f t="shared" si="43"/>
        <v>809114.0199999999</v>
      </c>
      <c r="O198" s="181">
        <f t="shared" si="43"/>
        <v>471701.2</v>
      </c>
      <c r="P198" s="181">
        <f t="shared" si="43"/>
        <v>1138483.6300000001</v>
      </c>
      <c r="Q198" s="181">
        <f t="shared" si="43"/>
        <v>3697790.27</v>
      </c>
      <c r="R198" s="181">
        <f t="shared" si="43"/>
        <v>2245616.4500000002</v>
      </c>
      <c r="S198" s="181">
        <f t="shared" si="43"/>
        <v>902872.02</v>
      </c>
      <c r="T198" s="181">
        <f t="shared" si="43"/>
        <v>6832317.2400000002</v>
      </c>
      <c r="U198" s="181">
        <f t="shared" si="43"/>
        <v>1365955.58</v>
      </c>
      <c r="V198" s="181">
        <f t="shared" si="43"/>
        <v>0</v>
      </c>
      <c r="W198" s="181">
        <f t="shared" si="43"/>
        <v>0</v>
      </c>
      <c r="X198" s="181">
        <f t="shared" si="43"/>
        <v>0</v>
      </c>
      <c r="Y198" s="181">
        <f t="shared" si="43"/>
        <v>0</v>
      </c>
      <c r="Z198" s="181">
        <f t="shared" si="43"/>
        <v>0</v>
      </c>
      <c r="AA198" s="181">
        <f t="shared" si="43"/>
        <v>0</v>
      </c>
      <c r="AC198" s="279">
        <f t="shared" si="41"/>
        <v>54457220.090000018</v>
      </c>
      <c r="AE198" s="279">
        <f t="shared" si="40"/>
        <v>54457220.090000018</v>
      </c>
    </row>
    <row r="199" spans="1:31" hidden="1" outlineLevel="1" x14ac:dyDescent="0.25">
      <c r="A199" s="182" t="s">
        <v>620</v>
      </c>
      <c r="B199" s="182" t="s">
        <v>621</v>
      </c>
      <c r="C199" s="183" t="s">
        <v>622</v>
      </c>
      <c r="D199" s="184">
        <f t="shared" ref="D199:AA199" si="44">SUM(D$200,D$206)</f>
        <v>1301708.8500000001</v>
      </c>
      <c r="E199" s="184">
        <f t="shared" si="44"/>
        <v>0</v>
      </c>
      <c r="F199" s="184">
        <f t="shared" si="44"/>
        <v>621715.06000000006</v>
      </c>
      <c r="G199" s="184">
        <f t="shared" si="44"/>
        <v>3408120.66</v>
      </c>
      <c r="H199" s="184">
        <f t="shared" si="44"/>
        <v>6070665.4500000002</v>
      </c>
      <c r="I199" s="184">
        <f t="shared" si="44"/>
        <v>2693304.8</v>
      </c>
      <c r="J199" s="184">
        <f t="shared" si="44"/>
        <v>1715270.17</v>
      </c>
      <c r="K199" s="184">
        <f t="shared" si="44"/>
        <v>13459049.359999999</v>
      </c>
      <c r="L199" s="184">
        <f t="shared" si="44"/>
        <v>1226397.81</v>
      </c>
      <c r="M199" s="184">
        <f t="shared" si="44"/>
        <v>6497137.5199999996</v>
      </c>
      <c r="N199" s="184">
        <f t="shared" si="44"/>
        <v>809114.0199999999</v>
      </c>
      <c r="O199" s="184">
        <f t="shared" si="44"/>
        <v>471701.2</v>
      </c>
      <c r="P199" s="184">
        <f t="shared" si="44"/>
        <v>1138483.6300000001</v>
      </c>
      <c r="Q199" s="184">
        <f t="shared" si="44"/>
        <v>3697790.27</v>
      </c>
      <c r="R199" s="184">
        <f t="shared" si="44"/>
        <v>2245616.4500000002</v>
      </c>
      <c r="S199" s="184">
        <f t="shared" si="44"/>
        <v>902872.02</v>
      </c>
      <c r="T199" s="184">
        <f t="shared" si="44"/>
        <v>6832317.2400000002</v>
      </c>
      <c r="U199" s="184">
        <f t="shared" si="44"/>
        <v>1365955.58</v>
      </c>
      <c r="V199" s="184">
        <f t="shared" si="44"/>
        <v>0</v>
      </c>
      <c r="W199" s="184">
        <f t="shared" si="44"/>
        <v>0</v>
      </c>
      <c r="X199" s="184">
        <f t="shared" si="44"/>
        <v>0</v>
      </c>
      <c r="Y199" s="184">
        <f t="shared" si="44"/>
        <v>0</v>
      </c>
      <c r="Z199" s="184">
        <f t="shared" si="44"/>
        <v>0</v>
      </c>
      <c r="AA199" s="184">
        <f t="shared" si="44"/>
        <v>0</v>
      </c>
      <c r="AC199" s="280">
        <f t="shared" si="41"/>
        <v>54457220.090000018</v>
      </c>
      <c r="AE199" s="280">
        <f t="shared" si="40"/>
        <v>54457220.090000018</v>
      </c>
    </row>
    <row r="200" spans="1:31" hidden="1" outlineLevel="1" x14ac:dyDescent="0.25">
      <c r="A200" s="196" t="s">
        <v>623</v>
      </c>
      <c r="B200" s="196" t="s">
        <v>624</v>
      </c>
      <c r="C200" s="183" t="s">
        <v>474</v>
      </c>
      <c r="D200" s="184">
        <f t="shared" ref="D200:AA200" si="45">SUM(D$201:D$205)</f>
        <v>489068.85</v>
      </c>
      <c r="E200" s="184">
        <f t="shared" si="45"/>
        <v>0</v>
      </c>
      <c r="F200" s="184">
        <f t="shared" si="45"/>
        <v>621715.06000000006</v>
      </c>
      <c r="G200" s="184">
        <f t="shared" si="45"/>
        <v>497086.75</v>
      </c>
      <c r="H200" s="184">
        <f t="shared" si="45"/>
        <v>134752.4</v>
      </c>
      <c r="I200" s="184">
        <f t="shared" si="45"/>
        <v>289304.8</v>
      </c>
      <c r="J200" s="184">
        <f t="shared" si="45"/>
        <v>1169364.17</v>
      </c>
      <c r="K200" s="184">
        <f t="shared" si="45"/>
        <v>1447049.36</v>
      </c>
      <c r="L200" s="184">
        <f t="shared" si="45"/>
        <v>726397.81</v>
      </c>
      <c r="M200" s="184">
        <f t="shared" si="45"/>
        <v>746758.73</v>
      </c>
      <c r="N200" s="184">
        <f t="shared" si="45"/>
        <v>809114.0199999999</v>
      </c>
      <c r="O200" s="184">
        <f t="shared" si="45"/>
        <v>471701.2</v>
      </c>
      <c r="P200" s="184">
        <f t="shared" si="45"/>
        <v>1138483.6300000001</v>
      </c>
      <c r="Q200" s="184">
        <f t="shared" si="45"/>
        <v>697790.27</v>
      </c>
      <c r="R200" s="184">
        <f t="shared" si="45"/>
        <v>2245616.4500000002</v>
      </c>
      <c r="S200" s="184">
        <f t="shared" si="45"/>
        <v>902872.02</v>
      </c>
      <c r="T200" s="184">
        <f t="shared" si="45"/>
        <v>1832317.24</v>
      </c>
      <c r="U200" s="184">
        <f t="shared" si="45"/>
        <v>1365955.58</v>
      </c>
      <c r="V200" s="184">
        <f t="shared" si="45"/>
        <v>0</v>
      </c>
      <c r="W200" s="184">
        <f t="shared" si="45"/>
        <v>0</v>
      </c>
      <c r="X200" s="184">
        <f t="shared" si="45"/>
        <v>0</v>
      </c>
      <c r="Y200" s="184">
        <f t="shared" si="45"/>
        <v>0</v>
      </c>
      <c r="Z200" s="184">
        <f t="shared" si="45"/>
        <v>0</v>
      </c>
      <c r="AA200" s="184">
        <f t="shared" si="45"/>
        <v>0</v>
      </c>
      <c r="AC200" s="280">
        <f t="shared" si="41"/>
        <v>15585348.34</v>
      </c>
      <c r="AE200" s="280">
        <f t="shared" si="40"/>
        <v>15585348.34</v>
      </c>
    </row>
    <row r="201" spans="1:31" hidden="1" outlineLevel="2" collapsed="1" x14ac:dyDescent="0.25">
      <c r="A201" s="197" t="s">
        <v>628</v>
      </c>
      <c r="B201" s="197" t="s">
        <v>12</v>
      </c>
      <c r="C201" s="138" t="s">
        <v>474</v>
      </c>
      <c r="D201" s="186" cm="1">
        <f t="array" ref="D201:U201">TRANSPOSE(_xlfn._xlws.FILTER(inputs!$CF$51:$CF$123,inputs!$CF$51:$CF$123&lt;&gt;""))</f>
        <v>0</v>
      </c>
      <c r="E201" s="186">
        <v>0</v>
      </c>
      <c r="F201" s="186">
        <v>236708.67</v>
      </c>
      <c r="G201" s="186">
        <v>273233.02</v>
      </c>
      <c r="H201" s="186">
        <v>0</v>
      </c>
      <c r="I201" s="186">
        <v>0</v>
      </c>
      <c r="J201" s="186">
        <v>504350.63</v>
      </c>
      <c r="K201" s="186">
        <v>249520.85</v>
      </c>
      <c r="L201" s="186">
        <v>315799.90000000002</v>
      </c>
      <c r="M201" s="186">
        <v>165252.20000000001</v>
      </c>
      <c r="N201" s="186">
        <v>200573.37</v>
      </c>
      <c r="O201" s="186">
        <v>0</v>
      </c>
      <c r="P201" s="186">
        <v>311984.76</v>
      </c>
      <c r="Q201" s="186">
        <v>378029.53</v>
      </c>
      <c r="R201" s="186">
        <v>472296.31</v>
      </c>
      <c r="S201" s="186">
        <v>437711.45</v>
      </c>
      <c r="T201" s="186">
        <v>478515.22</v>
      </c>
      <c r="U201" s="186">
        <v>364294.47</v>
      </c>
      <c r="V201" s="186"/>
      <c r="W201" s="186"/>
      <c r="X201" s="186"/>
      <c r="Y201" s="186"/>
      <c r="Z201" s="186"/>
      <c r="AA201" s="186"/>
      <c r="AC201" s="178">
        <f t="shared" si="41"/>
        <v>4388270.3800000008</v>
      </c>
      <c r="AE201" s="178">
        <f t="shared" si="40"/>
        <v>4388270.3800000008</v>
      </c>
    </row>
    <row r="202" spans="1:31" hidden="1" outlineLevel="2" collapsed="1" x14ac:dyDescent="0.25">
      <c r="A202" s="197" t="s">
        <v>664</v>
      </c>
      <c r="B202" s="197" t="s">
        <v>10</v>
      </c>
      <c r="C202" s="138" t="s">
        <v>474</v>
      </c>
      <c r="D202" s="186" cm="1">
        <f t="array" ref="D202:U202">TRANSPOSE(_xlfn._xlws.FILTER(inputs!$AZ$51:$AZ$123,inputs!$AZ$51:$AZ$123&lt;&gt;""))</f>
        <v>0</v>
      </c>
      <c r="E202" s="186">
        <v>0</v>
      </c>
      <c r="F202" s="186">
        <v>0</v>
      </c>
      <c r="G202" s="186">
        <v>0</v>
      </c>
      <c r="H202" s="186">
        <v>0</v>
      </c>
      <c r="I202" s="186">
        <v>0</v>
      </c>
      <c r="J202" s="186">
        <v>0</v>
      </c>
      <c r="K202" s="186">
        <v>0</v>
      </c>
      <c r="L202" s="186">
        <v>0</v>
      </c>
      <c r="M202" s="186">
        <v>0</v>
      </c>
      <c r="N202" s="186">
        <v>0</v>
      </c>
      <c r="O202" s="186">
        <v>0</v>
      </c>
      <c r="P202" s="186">
        <v>513271.28</v>
      </c>
      <c r="Q202" s="186">
        <v>272968.38</v>
      </c>
      <c r="R202" s="186">
        <v>1245070.1599999999</v>
      </c>
      <c r="S202" s="186">
        <v>465160.57</v>
      </c>
      <c r="T202" s="186">
        <v>919179.34</v>
      </c>
      <c r="U202" s="186">
        <v>793792.24</v>
      </c>
      <c r="V202" s="186"/>
      <c r="W202" s="186"/>
      <c r="X202" s="186"/>
      <c r="Y202" s="186"/>
      <c r="Z202" s="186"/>
      <c r="AA202" s="186"/>
      <c r="AC202" s="178">
        <f t="shared" si="41"/>
        <v>4209441.97</v>
      </c>
      <c r="AE202" s="178">
        <f>SUM(D202:AA202)</f>
        <v>4209441.97</v>
      </c>
    </row>
    <row r="203" spans="1:31" hidden="1" outlineLevel="2" x14ac:dyDescent="0.25">
      <c r="A203" s="197" t="s">
        <v>627</v>
      </c>
      <c r="B203" s="197" t="s">
        <v>9</v>
      </c>
      <c r="C203" s="138" t="s">
        <v>474</v>
      </c>
      <c r="D203" s="186" cm="1">
        <f t="array" ref="D203:U203">TRANSPOSE(_xlfn._xlws.FILTER(inputs!$AN$51:$AN$123,inputs!$AN$51:$AN$123&lt;&gt;""))</f>
        <v>0</v>
      </c>
      <c r="E203" s="186">
        <v>0</v>
      </c>
      <c r="F203" s="186">
        <v>0</v>
      </c>
      <c r="G203" s="186">
        <v>0</v>
      </c>
      <c r="H203" s="186">
        <v>0</v>
      </c>
      <c r="I203" s="186">
        <v>0</v>
      </c>
      <c r="J203" s="186">
        <v>493410.63</v>
      </c>
      <c r="K203" s="186">
        <v>831222.47</v>
      </c>
      <c r="L203" s="186">
        <v>229516.7</v>
      </c>
      <c r="M203" s="186">
        <v>314892.83</v>
      </c>
      <c r="N203" s="186">
        <v>378061.31</v>
      </c>
      <c r="O203" s="186">
        <v>0</v>
      </c>
      <c r="P203" s="186">
        <v>313227.59000000003</v>
      </c>
      <c r="Q203" s="186">
        <v>0</v>
      </c>
      <c r="R203" s="186">
        <v>528249.98</v>
      </c>
      <c r="S203" s="186">
        <v>0</v>
      </c>
      <c r="T203" s="186">
        <v>434622.68</v>
      </c>
      <c r="U203" s="186">
        <v>0</v>
      </c>
      <c r="V203" s="186"/>
      <c r="W203" s="186"/>
      <c r="X203" s="186"/>
      <c r="Y203" s="186"/>
      <c r="Z203" s="186"/>
      <c r="AA203" s="186"/>
      <c r="AC203" s="178">
        <f t="shared" si="41"/>
        <v>3523204.19</v>
      </c>
      <c r="AE203" s="178">
        <f t="shared" si="40"/>
        <v>3523204.19</v>
      </c>
    </row>
    <row r="204" spans="1:31" hidden="1" outlineLevel="2" x14ac:dyDescent="0.25">
      <c r="A204" s="197" t="s">
        <v>625</v>
      </c>
      <c r="B204" s="197" t="s">
        <v>7</v>
      </c>
      <c r="C204" s="138" t="s">
        <v>474</v>
      </c>
      <c r="D204" s="186" cm="1">
        <f t="array" ref="D204:U204">TRANSPOSE(_xlfn._xlws.FILTER(inputs!$F$51:$F$123,inputs!$F$51:$F$123&lt;&gt;""))</f>
        <v>489068.85</v>
      </c>
      <c r="E204" s="186">
        <v>0</v>
      </c>
      <c r="F204" s="186">
        <v>385006.39</v>
      </c>
      <c r="G204" s="186">
        <v>223853.73</v>
      </c>
      <c r="H204" s="186">
        <v>134752.4</v>
      </c>
      <c r="I204" s="186">
        <v>289304.8</v>
      </c>
      <c r="J204" s="186">
        <v>171602.91</v>
      </c>
      <c r="K204" s="186">
        <v>366306.04</v>
      </c>
      <c r="L204" s="186">
        <v>181081.21</v>
      </c>
      <c r="M204" s="186">
        <v>266613.7</v>
      </c>
      <c r="N204" s="186">
        <v>230479.34</v>
      </c>
      <c r="O204" s="186">
        <v>471701.2</v>
      </c>
      <c r="P204" s="186">
        <v>0</v>
      </c>
      <c r="Q204" s="186">
        <v>46792.36</v>
      </c>
      <c r="R204" s="186">
        <v>0</v>
      </c>
      <c r="S204" s="186">
        <v>0</v>
      </c>
      <c r="T204" s="186">
        <v>0</v>
      </c>
      <c r="U204" s="186">
        <v>207868.87</v>
      </c>
      <c r="V204" s="186"/>
      <c r="W204" s="186"/>
      <c r="X204" s="186"/>
      <c r="Y204" s="186"/>
      <c r="Z204" s="186"/>
      <c r="AA204" s="186"/>
      <c r="AC204" s="178">
        <f t="shared" si="41"/>
        <v>3464431.8000000003</v>
      </c>
      <c r="AE204" s="178">
        <f>SUM(D204:AA204)</f>
        <v>3464431.8000000003</v>
      </c>
    </row>
    <row r="205" spans="1:31" hidden="1" outlineLevel="2" x14ac:dyDescent="0.25">
      <c r="A205" s="197" t="s">
        <v>626</v>
      </c>
      <c r="B205" s="197" t="s">
        <v>8</v>
      </c>
      <c r="C205" s="138" t="s">
        <v>474</v>
      </c>
      <c r="D205" s="186" cm="1">
        <f t="array" ref="D205:U205">TRANSPOSE(_xlfn._xlws.FILTER(inputs!$R$51:$R$123,inputs!$R$51:$R$123&lt;&gt;""))</f>
        <v>0</v>
      </c>
      <c r="E205" s="186">
        <v>0</v>
      </c>
      <c r="F205" s="186">
        <v>0</v>
      </c>
      <c r="G205" s="186">
        <v>0</v>
      </c>
      <c r="H205" s="186">
        <v>0</v>
      </c>
      <c r="I205" s="186">
        <v>0</v>
      </c>
      <c r="J205" s="186">
        <v>0</v>
      </c>
      <c r="K205" s="186">
        <v>0</v>
      </c>
      <c r="L205" s="186">
        <v>0</v>
      </c>
      <c r="M205" s="186">
        <v>0</v>
      </c>
      <c r="N205" s="186">
        <v>0</v>
      </c>
      <c r="O205" s="186">
        <v>0</v>
      </c>
      <c r="P205" s="186">
        <v>0</v>
      </c>
      <c r="Q205" s="186">
        <v>0</v>
      </c>
      <c r="R205" s="186">
        <v>0</v>
      </c>
      <c r="S205" s="186">
        <v>0</v>
      </c>
      <c r="T205" s="186">
        <v>0</v>
      </c>
      <c r="U205" s="186">
        <v>0</v>
      </c>
      <c r="V205" s="186"/>
      <c r="W205" s="186"/>
      <c r="X205" s="186"/>
      <c r="Y205" s="186"/>
      <c r="Z205" s="186"/>
      <c r="AA205" s="186"/>
      <c r="AC205" s="178">
        <f t="shared" si="41"/>
        <v>0</v>
      </c>
      <c r="AE205" s="178">
        <f t="shared" si="40"/>
        <v>0</v>
      </c>
    </row>
    <row r="206" spans="1:31" hidden="1" outlineLevel="1" x14ac:dyDescent="0.25">
      <c r="A206" s="196" t="s">
        <v>629</v>
      </c>
      <c r="B206" s="196" t="s">
        <v>344</v>
      </c>
      <c r="C206" s="183" t="s">
        <v>630</v>
      </c>
      <c r="D206" s="184">
        <f t="shared" ref="D206:AA206" si="46">SUM(D$207:D$220)</f>
        <v>812640</v>
      </c>
      <c r="E206" s="184">
        <f t="shared" si="46"/>
        <v>0</v>
      </c>
      <c r="F206" s="184">
        <f t="shared" si="46"/>
        <v>0</v>
      </c>
      <c r="G206" s="184">
        <f t="shared" si="46"/>
        <v>2911033.91</v>
      </c>
      <c r="H206" s="184">
        <f t="shared" si="46"/>
        <v>5935913.0499999998</v>
      </c>
      <c r="I206" s="184">
        <f t="shared" si="46"/>
        <v>2404000</v>
      </c>
      <c r="J206" s="184">
        <f t="shared" si="46"/>
        <v>545906</v>
      </c>
      <c r="K206" s="184">
        <f t="shared" si="46"/>
        <v>12012000</v>
      </c>
      <c r="L206" s="184">
        <f t="shared" si="46"/>
        <v>500000</v>
      </c>
      <c r="M206" s="184">
        <f t="shared" si="46"/>
        <v>5750378.79</v>
      </c>
      <c r="N206" s="184">
        <f t="shared" si="46"/>
        <v>0</v>
      </c>
      <c r="O206" s="184">
        <f t="shared" si="46"/>
        <v>0</v>
      </c>
      <c r="P206" s="184">
        <f t="shared" si="46"/>
        <v>0</v>
      </c>
      <c r="Q206" s="184">
        <f t="shared" si="46"/>
        <v>3000000</v>
      </c>
      <c r="R206" s="184">
        <f t="shared" si="46"/>
        <v>0</v>
      </c>
      <c r="S206" s="184">
        <f t="shared" si="46"/>
        <v>0</v>
      </c>
      <c r="T206" s="184">
        <f t="shared" si="46"/>
        <v>5000000</v>
      </c>
      <c r="U206" s="184">
        <f t="shared" si="46"/>
        <v>0</v>
      </c>
      <c r="V206" s="184">
        <f t="shared" si="46"/>
        <v>0</v>
      </c>
      <c r="W206" s="184">
        <f t="shared" si="46"/>
        <v>0</v>
      </c>
      <c r="X206" s="184">
        <f t="shared" si="46"/>
        <v>0</v>
      </c>
      <c r="Y206" s="184">
        <f t="shared" si="46"/>
        <v>0</v>
      </c>
      <c r="Z206" s="184">
        <f t="shared" si="46"/>
        <v>0</v>
      </c>
      <c r="AA206" s="184">
        <f t="shared" si="46"/>
        <v>0</v>
      </c>
      <c r="AC206" s="280">
        <f t="shared" si="41"/>
        <v>38871871.75</v>
      </c>
      <c r="AE206" s="280">
        <f t="shared" si="40"/>
        <v>38871871.75</v>
      </c>
    </row>
    <row r="207" spans="1:31" hidden="1" outlineLevel="2" x14ac:dyDescent="0.25">
      <c r="A207" s="197" t="s">
        <v>631</v>
      </c>
      <c r="B207" s="197" t="s">
        <v>942</v>
      </c>
      <c r="C207" s="138" t="s">
        <v>630</v>
      </c>
      <c r="D207" s="186" cm="1">
        <f t="array" ref="D207">SUMPRODUCT(
  fin[jan/25] *
  (fin[Id]=$B207)
)</f>
        <v>0</v>
      </c>
      <c r="E207" s="186" cm="1">
        <f t="array" ref="E207">SUMPRODUCT(
  fin[fev/25] *
  (fin[Id]=$B207)
)</f>
        <v>0</v>
      </c>
      <c r="F207" s="186" cm="1">
        <f t="array" ref="F207">SUMPRODUCT(
  fin[mar/25] *
  (fin[Id]=$B207)
)</f>
        <v>0</v>
      </c>
      <c r="G207" s="186" cm="1">
        <f t="array" ref="G207">SUMPRODUCT(
  fin[abr/25] *
  (fin[Id]=$B207)
)</f>
        <v>0</v>
      </c>
      <c r="H207" s="186" cm="1">
        <f t="array" ref="H207">SUMPRODUCT(
  fin[mai/25] *
  (fin[Id]=$B207)
)</f>
        <v>3185913.05</v>
      </c>
      <c r="I207" s="186" cm="1">
        <f t="array" ref="I207">SUMPRODUCT(
  fin[jun/25] *
  (fin[Id]=$B207)
)</f>
        <v>1604000</v>
      </c>
      <c r="J207" s="186" cm="1">
        <f t="array" ref="J207">SUMPRODUCT(
  fin[jul/25] *
  (fin[Id]=$B207)
)</f>
        <v>0</v>
      </c>
      <c r="K207" s="186" cm="1">
        <f t="array" ref="K207">SUMPRODUCT(
  fin[ago/25] *
  (fin[Id]=$B207)
)</f>
        <v>0</v>
      </c>
      <c r="L207" s="186" cm="1">
        <f t="array" ref="L207">SUMPRODUCT(
  fin[set/25] *
  (fin[Id]=$B207)
)</f>
        <v>0</v>
      </c>
      <c r="M207" s="186" cm="1">
        <f t="array" ref="M207">SUMPRODUCT(
  fin[out/25] *
  (fin[Id]=$B207)
)</f>
        <v>5750378.79</v>
      </c>
      <c r="N207" s="186" cm="1">
        <f t="array" ref="N207">SUMPRODUCT(
  fin[nov/25] *
  (fin[Id]=$B207)
)</f>
        <v>0</v>
      </c>
      <c r="O207" s="186" cm="1">
        <f t="array" ref="O207">SUMPRODUCT(
  fin[dez/25] *
  (fin[Id]=$B207)
)</f>
        <v>0</v>
      </c>
      <c r="P207" s="186" cm="1">
        <f t="array" ref="P207">SUMPRODUCT(
  fin[jan/26] *
  (fin[Id]=$B207)
)</f>
        <v>0</v>
      </c>
      <c r="Q207" s="186" cm="1">
        <f t="array" ref="Q207">SUMPRODUCT(
  fin[fev/26] *
  (fin[Id]=$B207)
)</f>
        <v>0</v>
      </c>
      <c r="R207" s="186" cm="1">
        <f t="array" ref="R207">SUMPRODUCT(
  fin[mar/26] *
  (fin[Id]=$B207)
)</f>
        <v>0</v>
      </c>
      <c r="S207" s="186" cm="1">
        <f t="array" ref="S207">SUMPRODUCT(
  fin[abr/26] *
  (fin[Id]=$B207)
)</f>
        <v>0</v>
      </c>
      <c r="T207" s="186" cm="1">
        <f t="array" ref="T207">SUMPRODUCT(
  fin[mai/26] *
  (fin[Id]=$B207)
)</f>
        <v>0</v>
      </c>
      <c r="U207" s="186" cm="1">
        <f t="array" ref="U207">SUMPRODUCT(
  fin[jun/26] *
  (fin[Id]=$B207)
)</f>
        <v>0</v>
      </c>
      <c r="V207" s="186" cm="1">
        <f t="array" ref="V207">SUMPRODUCT(
  fin[jul/26] *
  (fin[Id]=$B207)
)</f>
        <v>0</v>
      </c>
      <c r="W207" s="186" cm="1">
        <f t="array" ref="W207">SUMPRODUCT(
  fin[ago/26] *
  (fin[Id]=$B207)
)</f>
        <v>0</v>
      </c>
      <c r="X207" s="186" cm="1">
        <f t="array" ref="X207">SUMPRODUCT(
  fin[set/26] *
  (fin[Id]=$B207)
)</f>
        <v>0</v>
      </c>
      <c r="Y207" s="186" cm="1">
        <f t="array" ref="Y207">SUMPRODUCT(
  fin[out/26] *
  (fin[Id]=$B207)
)</f>
        <v>0</v>
      </c>
      <c r="Z207" s="186" cm="1">
        <f t="array" ref="Z207">SUMPRODUCT(
  fin[nov/26] *
  (fin[Id]=$B207)
)</f>
        <v>0</v>
      </c>
      <c r="AA207" s="186" cm="1">
        <f t="array" ref="AA207">SUMPRODUCT(
  fin[dez/26] *
  (fin[Id]=$B207)
)</f>
        <v>0</v>
      </c>
      <c r="AC207" s="178">
        <f t="shared" si="41"/>
        <v>10540291.84</v>
      </c>
      <c r="AE207" s="178">
        <f t="shared" si="40"/>
        <v>10540291.84</v>
      </c>
    </row>
    <row r="208" spans="1:31" hidden="1" outlineLevel="2" x14ac:dyDescent="0.25">
      <c r="A208" s="197" t="s">
        <v>631</v>
      </c>
      <c r="B208" s="197" t="s">
        <v>632</v>
      </c>
      <c r="C208" s="138" t="s">
        <v>630</v>
      </c>
      <c r="D208" s="186" cm="1">
        <f t="array" ref="D208">SUMPRODUCT(
  fin[jan/25] *
  (fin[Id]=$B208)
)</f>
        <v>0</v>
      </c>
      <c r="E208" s="186" cm="1">
        <f t="array" ref="E208">SUMPRODUCT(
  fin[fev/25] *
  (fin[Id]=$B208)
)</f>
        <v>0</v>
      </c>
      <c r="F208" s="186" cm="1">
        <f t="array" ref="F208">SUMPRODUCT(
  fin[mar/25] *
  (fin[Id]=$B208)
)</f>
        <v>0</v>
      </c>
      <c r="G208" s="186" cm="1">
        <f t="array" ref="G208">SUMPRODUCT(
  fin[abr/25] *
  (fin[Id]=$B208)
)</f>
        <v>0</v>
      </c>
      <c r="H208" s="186" cm="1">
        <f t="array" ref="H208">SUMPRODUCT(
  fin[mai/25] *
  (fin[Id]=$B208)
)</f>
        <v>0</v>
      </c>
      <c r="I208" s="186" cm="1">
        <f t="array" ref="I208">SUMPRODUCT(
  fin[jun/25] *
  (fin[Id]=$B208)
)</f>
        <v>0</v>
      </c>
      <c r="J208" s="186" cm="1">
        <f t="array" ref="J208">SUMPRODUCT(
  fin[jul/25] *
  (fin[Id]=$B208)
)</f>
        <v>0</v>
      </c>
      <c r="K208" s="186" cm="1">
        <f t="array" ref="K208">SUMPRODUCT(
  fin[ago/25] *
  (fin[Id]=$B208)
)</f>
        <v>6000000</v>
      </c>
      <c r="L208" s="186" cm="1">
        <f t="array" ref="L208">SUMPRODUCT(
  fin[set/25] *
  (fin[Id]=$B208)
)</f>
        <v>0</v>
      </c>
      <c r="M208" s="186" cm="1">
        <f t="array" ref="M208">SUMPRODUCT(
  fin[out/25] *
  (fin[Id]=$B208)
)</f>
        <v>0</v>
      </c>
      <c r="N208" s="186" cm="1">
        <f t="array" ref="N208">SUMPRODUCT(
  fin[nov/25] *
  (fin[Id]=$B208)
)</f>
        <v>0</v>
      </c>
      <c r="O208" s="186" cm="1">
        <f t="array" ref="O208">SUMPRODUCT(
  fin[dez/25] *
  (fin[Id]=$B208)
)</f>
        <v>0</v>
      </c>
      <c r="P208" s="186" cm="1">
        <f t="array" ref="P208">SUMPRODUCT(
  fin[jan/26] *
  (fin[Id]=$B208)
)</f>
        <v>0</v>
      </c>
      <c r="Q208" s="186" cm="1">
        <f t="array" ref="Q208">SUMPRODUCT(
  fin[fev/26] *
  (fin[Id]=$B208)
)</f>
        <v>0</v>
      </c>
      <c r="R208" s="186" cm="1">
        <f t="array" ref="R208">SUMPRODUCT(
  fin[mar/26] *
  (fin[Id]=$B208)
)</f>
        <v>0</v>
      </c>
      <c r="S208" s="186" cm="1">
        <f t="array" ref="S208">SUMPRODUCT(
  fin[abr/26] *
  (fin[Id]=$B208)
)</f>
        <v>0</v>
      </c>
      <c r="T208" s="186" cm="1">
        <f t="array" ref="T208">SUMPRODUCT(
  fin[mai/26] *
  (fin[Id]=$B208)
)</f>
        <v>0</v>
      </c>
      <c r="U208" s="186" cm="1">
        <f t="array" ref="U208">SUMPRODUCT(
  fin[jun/26] *
  (fin[Id]=$B208)
)</f>
        <v>0</v>
      </c>
      <c r="V208" s="186" cm="1">
        <f t="array" ref="V208">SUMPRODUCT(
  fin[jul/26] *
  (fin[Id]=$B208)
)</f>
        <v>0</v>
      </c>
      <c r="W208" s="186" cm="1">
        <f t="array" ref="W208">SUMPRODUCT(
  fin[ago/26] *
  (fin[Id]=$B208)
)</f>
        <v>0</v>
      </c>
      <c r="X208" s="186" cm="1">
        <f t="array" ref="X208">SUMPRODUCT(
  fin[set/26] *
  (fin[Id]=$B208)
)</f>
        <v>0</v>
      </c>
      <c r="Y208" s="186" cm="1">
        <f t="array" ref="Y208">SUMPRODUCT(
  fin[out/26] *
  (fin[Id]=$B208)
)</f>
        <v>0</v>
      </c>
      <c r="Z208" s="186" cm="1">
        <f t="array" ref="Z208">SUMPRODUCT(
  fin[nov/26] *
  (fin[Id]=$B208)
)</f>
        <v>0</v>
      </c>
      <c r="AA208" s="186" cm="1">
        <f t="array" ref="AA208">SUMPRODUCT(
  fin[dez/26] *
  (fin[Id]=$B208)
)</f>
        <v>0</v>
      </c>
      <c r="AC208" s="178">
        <f t="shared" si="41"/>
        <v>6000000</v>
      </c>
      <c r="AE208" s="178">
        <f t="shared" si="40"/>
        <v>6000000</v>
      </c>
    </row>
    <row r="209" spans="1:31" hidden="1" outlineLevel="2" x14ac:dyDescent="0.25">
      <c r="A209" s="197" t="s">
        <v>631</v>
      </c>
      <c r="B209" s="197" t="s">
        <v>725</v>
      </c>
      <c r="C209" s="138" t="s">
        <v>630</v>
      </c>
      <c r="D209" s="186" cm="1">
        <f t="array" ref="D209">SUMPRODUCT(
  fin[jan/25] *
  (fin[Id]=$B209)
)</f>
        <v>0</v>
      </c>
      <c r="E209" s="186" cm="1">
        <f t="array" ref="E209">SUMPRODUCT(
  fin[fev/25] *
  (fin[Id]=$B209)
)</f>
        <v>0</v>
      </c>
      <c r="F209" s="186" cm="1">
        <f t="array" ref="F209">SUMPRODUCT(
  fin[mar/25] *
  (fin[Id]=$B209)
)</f>
        <v>0</v>
      </c>
      <c r="G209" s="186" cm="1">
        <f t="array" ref="G209">SUMPRODUCT(
  fin[abr/25] *
  (fin[Id]=$B209)
)</f>
        <v>0</v>
      </c>
      <c r="H209" s="186" cm="1">
        <f t="array" ref="H209">SUMPRODUCT(
  fin[mai/25] *
  (fin[Id]=$B209)
)</f>
        <v>0</v>
      </c>
      <c r="I209" s="186" cm="1">
        <f t="array" ref="I209">SUMPRODUCT(
  fin[jun/25] *
  (fin[Id]=$B209)
)</f>
        <v>0</v>
      </c>
      <c r="J209" s="186" cm="1">
        <f t="array" ref="J209">SUMPRODUCT(
  fin[jul/25] *
  (fin[Id]=$B209)
)</f>
        <v>0</v>
      </c>
      <c r="K209" s="186" cm="1">
        <f t="array" ref="K209">SUMPRODUCT(
  fin[ago/25] *
  (fin[Id]=$B209)
)</f>
        <v>5000000</v>
      </c>
      <c r="L209" s="186" cm="1">
        <f t="array" ref="L209">SUMPRODUCT(
  fin[set/25] *
  (fin[Id]=$B209)
)</f>
        <v>0</v>
      </c>
      <c r="M209" s="186" cm="1">
        <f t="array" ref="M209">SUMPRODUCT(
  fin[out/25] *
  (fin[Id]=$B209)
)</f>
        <v>0</v>
      </c>
      <c r="N209" s="186" cm="1">
        <f t="array" ref="N209">SUMPRODUCT(
  fin[nov/25] *
  (fin[Id]=$B209)
)</f>
        <v>0</v>
      </c>
      <c r="O209" s="186" cm="1">
        <f t="array" ref="O209">SUMPRODUCT(
  fin[dez/25] *
  (fin[Id]=$B209)
)</f>
        <v>0</v>
      </c>
      <c r="P209" s="186" cm="1">
        <f t="array" ref="P209">SUMPRODUCT(
  fin[jan/26] *
  (fin[Id]=$B209)
)</f>
        <v>0</v>
      </c>
      <c r="Q209" s="186" cm="1">
        <f t="array" ref="Q209">SUMPRODUCT(
  fin[fev/26] *
  (fin[Id]=$B209)
)</f>
        <v>0</v>
      </c>
      <c r="R209" s="186" cm="1">
        <f t="array" ref="R209">SUMPRODUCT(
  fin[mar/26] *
  (fin[Id]=$B209)
)</f>
        <v>0</v>
      </c>
      <c r="S209" s="186" cm="1">
        <f t="array" ref="S209">SUMPRODUCT(
  fin[abr/26] *
  (fin[Id]=$B209)
)</f>
        <v>0</v>
      </c>
      <c r="T209" s="186" cm="1">
        <f t="array" ref="T209">SUMPRODUCT(
  fin[mai/26] *
  (fin[Id]=$B209)
)</f>
        <v>0</v>
      </c>
      <c r="U209" s="186" cm="1">
        <f t="array" ref="U209">SUMPRODUCT(
  fin[jun/26] *
  (fin[Id]=$B209)
)</f>
        <v>0</v>
      </c>
      <c r="V209" s="186" cm="1">
        <f t="array" ref="V209">SUMPRODUCT(
  fin[jul/26] *
  (fin[Id]=$B209)
)</f>
        <v>0</v>
      </c>
      <c r="W209" s="186" cm="1">
        <f t="array" ref="W209">SUMPRODUCT(
  fin[ago/26] *
  (fin[Id]=$B209)
)</f>
        <v>0</v>
      </c>
      <c r="X209" s="186" cm="1">
        <f t="array" ref="X209">SUMPRODUCT(
  fin[set/26] *
  (fin[Id]=$B209)
)</f>
        <v>0</v>
      </c>
      <c r="Y209" s="186" cm="1">
        <f t="array" ref="Y209">SUMPRODUCT(
  fin[out/26] *
  (fin[Id]=$B209)
)</f>
        <v>0</v>
      </c>
      <c r="Z209" s="186" cm="1">
        <f t="array" ref="Z209">SUMPRODUCT(
  fin[nov/26] *
  (fin[Id]=$B209)
)</f>
        <v>0</v>
      </c>
      <c r="AA209" s="186" cm="1">
        <f t="array" ref="AA209">SUMPRODUCT(
  fin[dez/26] *
  (fin[Id]=$B209)
)</f>
        <v>0</v>
      </c>
      <c r="AC209" s="178">
        <f t="shared" si="41"/>
        <v>5000000</v>
      </c>
      <c r="AE209" s="178">
        <f t="shared" si="40"/>
        <v>5000000</v>
      </c>
    </row>
    <row r="210" spans="1:31" hidden="1" outlineLevel="2" x14ac:dyDescent="0.25">
      <c r="A210" s="197" t="s">
        <v>631</v>
      </c>
      <c r="B210" s="197" t="s">
        <v>1026</v>
      </c>
      <c r="C210" s="138" t="s">
        <v>630</v>
      </c>
      <c r="D210" s="186" cm="1">
        <f t="array" ref="D210">SUMPRODUCT(
  fin[jan/25] *
  (fin[Id]=$B210)
)</f>
        <v>0</v>
      </c>
      <c r="E210" s="186" cm="1">
        <f t="array" ref="E210">SUMPRODUCT(
  fin[fev/25] *
  (fin[Id]=$B210)
)</f>
        <v>0</v>
      </c>
      <c r="F210" s="186" cm="1">
        <f t="array" ref="F210">SUMPRODUCT(
  fin[mar/25] *
  (fin[Id]=$B210)
)</f>
        <v>0</v>
      </c>
      <c r="G210" s="186" cm="1">
        <f t="array" ref="G210">SUMPRODUCT(
  fin[abr/25] *
  (fin[Id]=$B210)
)</f>
        <v>0</v>
      </c>
      <c r="H210" s="186" cm="1">
        <f t="array" ref="H210">SUMPRODUCT(
  fin[mai/25] *
  (fin[Id]=$B210)
)</f>
        <v>0</v>
      </c>
      <c r="I210" s="186" cm="1">
        <f t="array" ref="I210">SUMPRODUCT(
  fin[jun/25] *
  (fin[Id]=$B210)
)</f>
        <v>0</v>
      </c>
      <c r="J210" s="186" cm="1">
        <f t="array" ref="J210">SUMPRODUCT(
  fin[jul/25] *
  (fin[Id]=$B210)
)</f>
        <v>0</v>
      </c>
      <c r="K210" s="186" cm="1">
        <f t="array" ref="K210">SUMPRODUCT(
  fin[ago/25] *
  (fin[Id]=$B210)
)</f>
        <v>0</v>
      </c>
      <c r="L210" s="186" cm="1">
        <f t="array" ref="L210">SUMPRODUCT(
  fin[set/25] *
  (fin[Id]=$B210)
)</f>
        <v>0</v>
      </c>
      <c r="M210" s="186" cm="1">
        <f t="array" ref="M210">SUMPRODUCT(
  fin[out/25] *
  (fin[Id]=$B210)
)</f>
        <v>0</v>
      </c>
      <c r="N210" s="186" cm="1">
        <f t="array" ref="N210">SUMPRODUCT(
  fin[nov/25] *
  (fin[Id]=$B210)
)</f>
        <v>0</v>
      </c>
      <c r="O210" s="186" cm="1">
        <f t="array" ref="O210">SUMPRODUCT(
  fin[dez/25] *
  (fin[Id]=$B210)
)</f>
        <v>0</v>
      </c>
      <c r="P210" s="186" cm="1">
        <f t="array" ref="P210">SUMPRODUCT(
  fin[jan/26] *
  (fin[Id]=$B210)
)</f>
        <v>0</v>
      </c>
      <c r="Q210" s="186" cm="1">
        <f t="array" ref="Q210">SUMPRODUCT(
  fin[fev/26] *
  (fin[Id]=$B210)
)</f>
        <v>0</v>
      </c>
      <c r="R210" s="186" cm="1">
        <f t="array" ref="R210">SUMPRODUCT(
  fin[mar/26] *
  (fin[Id]=$B210)
)</f>
        <v>0</v>
      </c>
      <c r="S210" s="186" cm="1">
        <f t="array" ref="S210">SUMPRODUCT(
  fin[abr/26] *
  (fin[Id]=$B210)
)</f>
        <v>0</v>
      </c>
      <c r="T210" s="186" cm="1">
        <f t="array" ref="T210">SUMPRODUCT(
  fin[mai/26] *
  (fin[Id]=$B210)
)</f>
        <v>5000000</v>
      </c>
      <c r="U210" s="186" cm="1">
        <f t="array" ref="U210">SUMPRODUCT(
  fin[jun/26] *
  (fin[Id]=$B210)
)</f>
        <v>0</v>
      </c>
      <c r="V210" s="186" cm="1">
        <f t="array" ref="V210">SUMPRODUCT(
  fin[jul/26] *
  (fin[Id]=$B210)
)</f>
        <v>0</v>
      </c>
      <c r="W210" s="186" cm="1">
        <f t="array" ref="W210">SUMPRODUCT(
  fin[ago/26] *
  (fin[Id]=$B210)
)</f>
        <v>0</v>
      </c>
      <c r="X210" s="186" cm="1">
        <f t="array" ref="X210">SUMPRODUCT(
  fin[set/26] *
  (fin[Id]=$B210)
)</f>
        <v>0</v>
      </c>
      <c r="Y210" s="186" cm="1">
        <f t="array" ref="Y210">SUMPRODUCT(
  fin[out/26] *
  (fin[Id]=$B210)
)</f>
        <v>0</v>
      </c>
      <c r="Z210" s="186" cm="1">
        <f t="array" ref="Z210">SUMPRODUCT(
  fin[nov/26] *
  (fin[Id]=$B210)
)</f>
        <v>0</v>
      </c>
      <c r="AA210" s="186" cm="1">
        <f t="array" ref="AA210">SUMPRODUCT(
  fin[dez/26] *
  (fin[Id]=$B210)
)</f>
        <v>0</v>
      </c>
      <c r="AC210" s="178">
        <f t="shared" si="41"/>
        <v>5000000</v>
      </c>
      <c r="AE210" s="178">
        <f t="shared" si="40"/>
        <v>5000000</v>
      </c>
    </row>
    <row r="211" spans="1:31" hidden="1" outlineLevel="2" x14ac:dyDescent="0.25">
      <c r="A211" s="197" t="s">
        <v>631</v>
      </c>
      <c r="B211" s="197" t="s">
        <v>700</v>
      </c>
      <c r="C211" s="138" t="s">
        <v>630</v>
      </c>
      <c r="D211" s="186" cm="1">
        <f t="array" ref="D211">SUMPRODUCT(
  fin[jan/25] *
  (fin[Id]=$B211)
)</f>
        <v>0</v>
      </c>
      <c r="E211" s="186" cm="1">
        <f t="array" ref="E211">SUMPRODUCT(
  fin[fev/25] *
  (fin[Id]=$B211)
)</f>
        <v>0</v>
      </c>
      <c r="F211" s="186" cm="1">
        <f t="array" ref="F211">SUMPRODUCT(
  fin[mar/25] *
  (fin[Id]=$B211)
)</f>
        <v>0</v>
      </c>
      <c r="G211" s="186" cm="1">
        <f t="array" ref="G211">SUMPRODUCT(
  fin[abr/25] *
  (fin[Id]=$B211)
)</f>
        <v>0</v>
      </c>
      <c r="H211" s="186" cm="1">
        <f t="array" ref="H211">SUMPRODUCT(
  fin[mai/25] *
  (fin[Id]=$B211)
)</f>
        <v>0</v>
      </c>
      <c r="I211" s="186" cm="1">
        <f t="array" ref="I211">SUMPRODUCT(
  fin[jun/25] *
  (fin[Id]=$B211)
)</f>
        <v>0</v>
      </c>
      <c r="J211" s="186" cm="1">
        <f t="array" ref="J211">SUMPRODUCT(
  fin[jul/25] *
  (fin[Id]=$B211)
)</f>
        <v>0</v>
      </c>
      <c r="K211" s="186" cm="1">
        <f t="array" ref="K211">SUMPRODUCT(
  fin[ago/25] *
  (fin[Id]=$B211)
)</f>
        <v>0</v>
      </c>
      <c r="L211" s="186" cm="1">
        <f t="array" ref="L211">SUMPRODUCT(
  fin[set/25] *
  (fin[Id]=$B211)
)</f>
        <v>0</v>
      </c>
      <c r="M211" s="186" cm="1">
        <f t="array" ref="M211">SUMPRODUCT(
  fin[out/25] *
  (fin[Id]=$B211)
)</f>
        <v>0</v>
      </c>
      <c r="N211" s="186" cm="1">
        <f t="array" ref="N211">SUMPRODUCT(
  fin[nov/25] *
  (fin[Id]=$B211)
)</f>
        <v>0</v>
      </c>
      <c r="O211" s="186" cm="1">
        <f t="array" ref="O211">SUMPRODUCT(
  fin[dez/25] *
  (fin[Id]=$B211)
)</f>
        <v>0</v>
      </c>
      <c r="P211" s="186" cm="1">
        <f t="array" ref="P211">SUMPRODUCT(
  fin[jan/26] *
  (fin[Id]=$B211)
)</f>
        <v>0</v>
      </c>
      <c r="Q211" s="186" cm="1">
        <f t="array" ref="Q211">SUMPRODUCT(
  fin[fev/26] *
  (fin[Id]=$B211)
)</f>
        <v>3000000</v>
      </c>
      <c r="R211" s="186" cm="1">
        <f t="array" ref="R211">SUMPRODUCT(
  fin[mar/26] *
  (fin[Id]=$B211)
)</f>
        <v>0</v>
      </c>
      <c r="S211" s="186" cm="1">
        <f t="array" ref="S211">SUMPRODUCT(
  fin[abr/26] *
  (fin[Id]=$B211)
)</f>
        <v>0</v>
      </c>
      <c r="T211" s="186" cm="1">
        <f t="array" ref="T211">SUMPRODUCT(
  fin[mai/26] *
  (fin[Id]=$B211)
)</f>
        <v>0</v>
      </c>
      <c r="U211" s="186" cm="1">
        <f t="array" ref="U211">SUMPRODUCT(
  fin[jun/26] *
  (fin[Id]=$B211)
)</f>
        <v>0</v>
      </c>
      <c r="V211" s="186" cm="1">
        <f t="array" ref="V211">SUMPRODUCT(
  fin[jul/26] *
  (fin[Id]=$B211)
)</f>
        <v>0</v>
      </c>
      <c r="W211" s="186" cm="1">
        <f t="array" ref="W211">SUMPRODUCT(
  fin[ago/26] *
  (fin[Id]=$B211)
)</f>
        <v>0</v>
      </c>
      <c r="X211" s="186" cm="1">
        <f t="array" ref="X211">SUMPRODUCT(
  fin[set/26] *
  (fin[Id]=$B211)
)</f>
        <v>0</v>
      </c>
      <c r="Y211" s="186" cm="1">
        <f t="array" ref="Y211">SUMPRODUCT(
  fin[out/26] *
  (fin[Id]=$B211)
)</f>
        <v>0</v>
      </c>
      <c r="Z211" s="186" cm="1">
        <f t="array" ref="Z211">SUMPRODUCT(
  fin[nov/26] *
  (fin[Id]=$B211)
)</f>
        <v>0</v>
      </c>
      <c r="AA211" s="186" cm="1">
        <f t="array" ref="AA211">SUMPRODUCT(
  fin[dez/26] *
  (fin[Id]=$B211)
)</f>
        <v>0</v>
      </c>
      <c r="AC211" s="178">
        <f t="shared" si="41"/>
        <v>3000000</v>
      </c>
      <c r="AE211" s="178">
        <f t="shared" si="40"/>
        <v>3000000</v>
      </c>
    </row>
    <row r="212" spans="1:31" hidden="1" outlineLevel="2" x14ac:dyDescent="0.25">
      <c r="A212" s="197" t="s">
        <v>631</v>
      </c>
      <c r="B212" s="197" t="s">
        <v>633</v>
      </c>
      <c r="C212" s="138" t="s">
        <v>630</v>
      </c>
      <c r="D212" s="186" cm="1">
        <f t="array" ref="D212">SUMPRODUCT(
  fin[jan/25] *
  (fin[Id]=$B212)
)</f>
        <v>0</v>
      </c>
      <c r="E212" s="186" cm="1">
        <f t="array" ref="E212">SUMPRODUCT(
  fin[fev/25] *
  (fin[Id]=$B212)
)</f>
        <v>0</v>
      </c>
      <c r="F212" s="186" cm="1">
        <f t="array" ref="F212">SUMPRODUCT(
  fin[mar/25] *
  (fin[Id]=$B212)
)</f>
        <v>0</v>
      </c>
      <c r="G212" s="186" cm="1">
        <f t="array" ref="G212">SUMPRODUCT(
  fin[abr/25] *
  (fin[Id]=$B212)
)</f>
        <v>2911033.91</v>
      </c>
      <c r="H212" s="186" cm="1">
        <f t="array" ref="H212">SUMPRODUCT(
  fin[mai/25] *
  (fin[Id]=$B212)
)</f>
        <v>0</v>
      </c>
      <c r="I212" s="186" cm="1">
        <f t="array" ref="I212">SUMPRODUCT(
  fin[jun/25] *
  (fin[Id]=$B212)
)</f>
        <v>0</v>
      </c>
      <c r="J212" s="186" cm="1">
        <f t="array" ref="J212">SUMPRODUCT(
  fin[jul/25] *
  (fin[Id]=$B212)
)</f>
        <v>0</v>
      </c>
      <c r="K212" s="186" cm="1">
        <f t="array" ref="K212">SUMPRODUCT(
  fin[ago/25] *
  (fin[Id]=$B212)
)</f>
        <v>0</v>
      </c>
      <c r="L212" s="186" cm="1">
        <f t="array" ref="L212">SUMPRODUCT(
  fin[set/25] *
  (fin[Id]=$B212)
)</f>
        <v>0</v>
      </c>
      <c r="M212" s="186" cm="1">
        <f t="array" ref="M212">SUMPRODUCT(
  fin[out/25] *
  (fin[Id]=$B212)
)</f>
        <v>0</v>
      </c>
      <c r="N212" s="186" cm="1">
        <f t="array" ref="N212">SUMPRODUCT(
  fin[nov/25] *
  (fin[Id]=$B212)
)</f>
        <v>0</v>
      </c>
      <c r="O212" s="186" cm="1">
        <f t="array" ref="O212">SUMPRODUCT(
  fin[dez/25] *
  (fin[Id]=$B212)
)</f>
        <v>0</v>
      </c>
      <c r="P212" s="186" cm="1">
        <f t="array" ref="P212">SUMPRODUCT(
  fin[jan/26] *
  (fin[Id]=$B212)
)</f>
        <v>0</v>
      </c>
      <c r="Q212" s="186" cm="1">
        <f t="array" ref="Q212">SUMPRODUCT(
  fin[fev/26] *
  (fin[Id]=$B212)
)</f>
        <v>0</v>
      </c>
      <c r="R212" s="186" cm="1">
        <f t="array" ref="R212">SUMPRODUCT(
  fin[mar/26] *
  (fin[Id]=$B212)
)</f>
        <v>0</v>
      </c>
      <c r="S212" s="186" cm="1">
        <f t="array" ref="S212">SUMPRODUCT(
  fin[abr/26] *
  (fin[Id]=$B212)
)</f>
        <v>0</v>
      </c>
      <c r="T212" s="186" cm="1">
        <f t="array" ref="T212">SUMPRODUCT(
  fin[mai/26] *
  (fin[Id]=$B212)
)</f>
        <v>0</v>
      </c>
      <c r="U212" s="186" cm="1">
        <f t="array" ref="U212">SUMPRODUCT(
  fin[jun/26] *
  (fin[Id]=$B212)
)</f>
        <v>0</v>
      </c>
      <c r="V212" s="186" cm="1">
        <f t="array" ref="V212">SUMPRODUCT(
  fin[jul/26] *
  (fin[Id]=$B212)
)</f>
        <v>0</v>
      </c>
      <c r="W212" s="186" cm="1">
        <f t="array" ref="W212">SUMPRODUCT(
  fin[ago/26] *
  (fin[Id]=$B212)
)</f>
        <v>0</v>
      </c>
      <c r="X212" s="186" cm="1">
        <f t="array" ref="X212">SUMPRODUCT(
  fin[set/26] *
  (fin[Id]=$B212)
)</f>
        <v>0</v>
      </c>
      <c r="Y212" s="186" cm="1">
        <f t="array" ref="Y212">SUMPRODUCT(
  fin[out/26] *
  (fin[Id]=$B212)
)</f>
        <v>0</v>
      </c>
      <c r="Z212" s="186" cm="1">
        <f t="array" ref="Z212">SUMPRODUCT(
  fin[nov/26] *
  (fin[Id]=$B212)
)</f>
        <v>0</v>
      </c>
      <c r="AA212" s="186" cm="1">
        <f t="array" ref="AA212">SUMPRODUCT(
  fin[dez/26] *
  (fin[Id]=$B212)
)</f>
        <v>0</v>
      </c>
      <c r="AC212" s="178">
        <f t="shared" si="41"/>
        <v>2911033.91</v>
      </c>
      <c r="AE212" s="178">
        <f t="shared" si="40"/>
        <v>2911033.91</v>
      </c>
    </row>
    <row r="213" spans="1:31" hidden="1" outlineLevel="2" x14ac:dyDescent="0.25">
      <c r="A213" s="197" t="s">
        <v>631</v>
      </c>
      <c r="B213" s="197" t="s">
        <v>943</v>
      </c>
      <c r="C213" s="138" t="s">
        <v>630</v>
      </c>
      <c r="D213" s="186" cm="1">
        <f t="array" ref="D213">SUMPRODUCT(
  fin[jan/25] *
  (fin[Id]=$B213)
)</f>
        <v>0</v>
      </c>
      <c r="E213" s="186" cm="1">
        <f t="array" ref="E213">SUMPRODUCT(
  fin[fev/25] *
  (fin[Id]=$B213)
)</f>
        <v>0</v>
      </c>
      <c r="F213" s="186" cm="1">
        <f t="array" ref="F213">SUMPRODUCT(
  fin[mar/25] *
  (fin[Id]=$B213)
)</f>
        <v>0</v>
      </c>
      <c r="G213" s="186" cm="1">
        <f t="array" ref="G213">SUMPRODUCT(
  fin[abr/25] *
  (fin[Id]=$B213)
)</f>
        <v>0</v>
      </c>
      <c r="H213" s="186" cm="1">
        <f t="array" ref="H213">SUMPRODUCT(
  fin[mai/25] *
  (fin[Id]=$B213)
)</f>
        <v>2750000</v>
      </c>
      <c r="I213" s="186" cm="1">
        <f t="array" ref="I213">SUMPRODUCT(
  fin[jun/25] *
  (fin[Id]=$B213)
)</f>
        <v>0</v>
      </c>
      <c r="J213" s="186" cm="1">
        <f t="array" ref="J213">SUMPRODUCT(
  fin[jul/25] *
  (fin[Id]=$B213)
)</f>
        <v>0</v>
      </c>
      <c r="K213" s="186" cm="1">
        <f t="array" ref="K213">SUMPRODUCT(
  fin[ago/25] *
  (fin[Id]=$B213)
)</f>
        <v>0</v>
      </c>
      <c r="L213" s="186" cm="1">
        <f t="array" ref="L213">SUMPRODUCT(
  fin[set/25] *
  (fin[Id]=$B213)
)</f>
        <v>0</v>
      </c>
      <c r="M213" s="186" cm="1">
        <f t="array" ref="M213">SUMPRODUCT(
  fin[out/25] *
  (fin[Id]=$B213)
)</f>
        <v>0</v>
      </c>
      <c r="N213" s="186" cm="1">
        <f t="array" ref="N213">SUMPRODUCT(
  fin[nov/25] *
  (fin[Id]=$B213)
)</f>
        <v>0</v>
      </c>
      <c r="O213" s="186" cm="1">
        <f t="array" ref="O213">SUMPRODUCT(
  fin[dez/25] *
  (fin[Id]=$B213)
)</f>
        <v>0</v>
      </c>
      <c r="P213" s="186" cm="1">
        <f t="array" ref="P213">SUMPRODUCT(
  fin[jan/26] *
  (fin[Id]=$B213)
)</f>
        <v>0</v>
      </c>
      <c r="Q213" s="186" cm="1">
        <f t="array" ref="Q213">SUMPRODUCT(
  fin[fev/26] *
  (fin[Id]=$B213)
)</f>
        <v>0</v>
      </c>
      <c r="R213" s="186" cm="1">
        <f t="array" ref="R213">SUMPRODUCT(
  fin[mar/26] *
  (fin[Id]=$B213)
)</f>
        <v>0</v>
      </c>
      <c r="S213" s="186" cm="1">
        <f t="array" ref="S213">SUMPRODUCT(
  fin[abr/26] *
  (fin[Id]=$B213)
)</f>
        <v>0</v>
      </c>
      <c r="T213" s="186" cm="1">
        <f t="array" ref="T213">SUMPRODUCT(
  fin[mai/26] *
  (fin[Id]=$B213)
)</f>
        <v>0</v>
      </c>
      <c r="U213" s="186" cm="1">
        <f t="array" ref="U213">SUMPRODUCT(
  fin[jun/26] *
  (fin[Id]=$B213)
)</f>
        <v>0</v>
      </c>
      <c r="V213" s="186" cm="1">
        <f t="array" ref="V213">SUMPRODUCT(
  fin[jul/26] *
  (fin[Id]=$B213)
)</f>
        <v>0</v>
      </c>
      <c r="W213" s="186" cm="1">
        <f t="array" ref="W213">SUMPRODUCT(
  fin[ago/26] *
  (fin[Id]=$B213)
)</f>
        <v>0</v>
      </c>
      <c r="X213" s="186" cm="1">
        <f t="array" ref="X213">SUMPRODUCT(
  fin[set/26] *
  (fin[Id]=$B213)
)</f>
        <v>0</v>
      </c>
      <c r="Y213" s="186" cm="1">
        <f t="array" ref="Y213">SUMPRODUCT(
  fin[out/26] *
  (fin[Id]=$B213)
)</f>
        <v>0</v>
      </c>
      <c r="Z213" s="186" cm="1">
        <f t="array" ref="Z213">SUMPRODUCT(
  fin[nov/26] *
  (fin[Id]=$B213)
)</f>
        <v>0</v>
      </c>
      <c r="AA213" s="186" cm="1">
        <f t="array" ref="AA213">SUMPRODUCT(
  fin[dez/26] *
  (fin[Id]=$B213)
)</f>
        <v>0</v>
      </c>
      <c r="AC213" s="178">
        <f t="shared" si="41"/>
        <v>2750000</v>
      </c>
      <c r="AE213" s="178">
        <f t="shared" si="40"/>
        <v>2750000</v>
      </c>
    </row>
    <row r="214" spans="1:31" hidden="1" outlineLevel="2" x14ac:dyDescent="0.25">
      <c r="A214" s="197" t="s">
        <v>631</v>
      </c>
      <c r="B214" s="197" t="s">
        <v>944</v>
      </c>
      <c r="C214" s="138" t="s">
        <v>630</v>
      </c>
      <c r="D214" s="186" cm="1">
        <f t="array" ref="D214">SUMPRODUCT(
  fin[jan/25] *
  (fin[Id]=$B214)
)</f>
        <v>812640</v>
      </c>
      <c r="E214" s="186" cm="1">
        <f t="array" ref="E214">SUMPRODUCT(
  fin[fev/25] *
  (fin[Id]=$B214)
)</f>
        <v>0</v>
      </c>
      <c r="F214" s="186" cm="1">
        <f t="array" ref="F214">SUMPRODUCT(
  fin[mar/25] *
  (fin[Id]=$B214)
)</f>
        <v>0</v>
      </c>
      <c r="G214" s="186" cm="1">
        <f t="array" ref="G214">SUMPRODUCT(
  fin[abr/25] *
  (fin[Id]=$B214)
)</f>
        <v>0</v>
      </c>
      <c r="H214" s="186" cm="1">
        <f t="array" ref="H214">SUMPRODUCT(
  fin[mai/25] *
  (fin[Id]=$B214)
)</f>
        <v>0</v>
      </c>
      <c r="I214" s="186" cm="1">
        <f t="array" ref="I214">SUMPRODUCT(
  fin[jun/25] *
  (fin[Id]=$B214)
)</f>
        <v>0</v>
      </c>
      <c r="J214" s="186" cm="1">
        <f t="array" ref="J214">SUMPRODUCT(
  fin[jul/25] *
  (fin[Id]=$B214)
)</f>
        <v>0</v>
      </c>
      <c r="K214" s="186" cm="1">
        <f t="array" ref="K214">SUMPRODUCT(
  fin[ago/25] *
  (fin[Id]=$B214)
)</f>
        <v>0</v>
      </c>
      <c r="L214" s="186" cm="1">
        <f t="array" ref="L214">SUMPRODUCT(
  fin[set/25] *
  (fin[Id]=$B214)
)</f>
        <v>0</v>
      </c>
      <c r="M214" s="186" cm="1">
        <f t="array" ref="M214">SUMPRODUCT(
  fin[out/25] *
  (fin[Id]=$B214)
)</f>
        <v>0</v>
      </c>
      <c r="N214" s="186" cm="1">
        <f t="array" ref="N214">SUMPRODUCT(
  fin[nov/25] *
  (fin[Id]=$B214)
)</f>
        <v>0</v>
      </c>
      <c r="O214" s="186" cm="1">
        <f t="array" ref="O214">SUMPRODUCT(
  fin[dez/25] *
  (fin[Id]=$B214)
)</f>
        <v>0</v>
      </c>
      <c r="P214" s="186" cm="1">
        <f t="array" ref="P214">SUMPRODUCT(
  fin[jan/26] *
  (fin[Id]=$B214)
)</f>
        <v>0</v>
      </c>
      <c r="Q214" s="186" cm="1">
        <f t="array" ref="Q214">SUMPRODUCT(
  fin[fev/26] *
  (fin[Id]=$B214)
)</f>
        <v>0</v>
      </c>
      <c r="R214" s="186" cm="1">
        <f t="array" ref="R214">SUMPRODUCT(
  fin[mar/26] *
  (fin[Id]=$B214)
)</f>
        <v>0</v>
      </c>
      <c r="S214" s="186" cm="1">
        <f t="array" ref="S214">SUMPRODUCT(
  fin[abr/26] *
  (fin[Id]=$B214)
)</f>
        <v>0</v>
      </c>
      <c r="T214" s="186" cm="1">
        <f t="array" ref="T214">SUMPRODUCT(
  fin[mai/26] *
  (fin[Id]=$B214)
)</f>
        <v>0</v>
      </c>
      <c r="U214" s="186" cm="1">
        <f t="array" ref="U214">SUMPRODUCT(
  fin[jun/26] *
  (fin[Id]=$B214)
)</f>
        <v>0</v>
      </c>
      <c r="V214" s="186" cm="1">
        <f t="array" ref="V214">SUMPRODUCT(
  fin[jul/26] *
  (fin[Id]=$B214)
)</f>
        <v>0</v>
      </c>
      <c r="W214" s="186" cm="1">
        <f t="array" ref="W214">SUMPRODUCT(
  fin[ago/26] *
  (fin[Id]=$B214)
)</f>
        <v>0</v>
      </c>
      <c r="X214" s="186" cm="1">
        <f t="array" ref="X214">SUMPRODUCT(
  fin[set/26] *
  (fin[Id]=$B214)
)</f>
        <v>0</v>
      </c>
      <c r="Y214" s="186" cm="1">
        <f t="array" ref="Y214">SUMPRODUCT(
  fin[out/26] *
  (fin[Id]=$B214)
)</f>
        <v>0</v>
      </c>
      <c r="Z214" s="186" cm="1">
        <f t="array" ref="Z214">SUMPRODUCT(
  fin[nov/26] *
  (fin[Id]=$B214)
)</f>
        <v>0</v>
      </c>
      <c r="AA214" s="186" cm="1">
        <f t="array" ref="AA214">SUMPRODUCT(
  fin[dez/26] *
  (fin[Id]=$B214)
)</f>
        <v>0</v>
      </c>
      <c r="AC214" s="178">
        <f t="shared" si="41"/>
        <v>812640</v>
      </c>
      <c r="AE214" s="178">
        <f t="shared" si="40"/>
        <v>812640</v>
      </c>
    </row>
    <row r="215" spans="1:31" hidden="1" outlineLevel="2" x14ac:dyDescent="0.25">
      <c r="A215" s="197" t="s">
        <v>631</v>
      </c>
      <c r="B215" s="197" t="s">
        <v>634</v>
      </c>
      <c r="C215" s="138" t="s">
        <v>630</v>
      </c>
      <c r="D215" s="186" cm="1">
        <f t="array" ref="D215">SUMPRODUCT(
  fin[jan/25] *
  (fin[Id]=$B215)
)</f>
        <v>0</v>
      </c>
      <c r="E215" s="186" cm="1">
        <f t="array" ref="E215">SUMPRODUCT(
  fin[fev/25] *
  (fin[Id]=$B215)
)</f>
        <v>0</v>
      </c>
      <c r="F215" s="186" cm="1">
        <f t="array" ref="F215">SUMPRODUCT(
  fin[mar/25] *
  (fin[Id]=$B215)
)</f>
        <v>0</v>
      </c>
      <c r="G215" s="186" cm="1">
        <f t="array" ref="G215">SUMPRODUCT(
  fin[abr/25] *
  (fin[Id]=$B215)
)</f>
        <v>0</v>
      </c>
      <c r="H215" s="186" cm="1">
        <f t="array" ref="H215">SUMPRODUCT(
  fin[mai/25] *
  (fin[Id]=$B215)
)</f>
        <v>0</v>
      </c>
      <c r="I215" s="186" cm="1">
        <f t="array" ref="I215">SUMPRODUCT(
  fin[jun/25] *
  (fin[Id]=$B215)
)</f>
        <v>0</v>
      </c>
      <c r="J215" s="186" cm="1">
        <f t="array" ref="J215">SUMPRODUCT(
  fin[jul/25] *
  (fin[Id]=$B215)
)</f>
        <v>0</v>
      </c>
      <c r="K215" s="186" cm="1">
        <f t="array" ref="K215">SUMPRODUCT(
  fin[ago/25] *
  (fin[Id]=$B215)
)</f>
        <v>612000</v>
      </c>
      <c r="L215" s="186" cm="1">
        <f t="array" ref="L215">SUMPRODUCT(
  fin[set/25] *
  (fin[Id]=$B215)
)</f>
        <v>0</v>
      </c>
      <c r="M215" s="186" cm="1">
        <f t="array" ref="M215">SUMPRODUCT(
  fin[out/25] *
  (fin[Id]=$B215)
)</f>
        <v>0</v>
      </c>
      <c r="N215" s="186" cm="1">
        <f t="array" ref="N215">SUMPRODUCT(
  fin[nov/25] *
  (fin[Id]=$B215)
)</f>
        <v>0</v>
      </c>
      <c r="O215" s="186" cm="1">
        <f t="array" ref="O215">SUMPRODUCT(
  fin[dez/25] *
  (fin[Id]=$B215)
)</f>
        <v>0</v>
      </c>
      <c r="P215" s="186" cm="1">
        <f t="array" ref="P215">SUMPRODUCT(
  fin[jan/26] *
  (fin[Id]=$B215)
)</f>
        <v>0</v>
      </c>
      <c r="Q215" s="186" cm="1">
        <f t="array" ref="Q215">SUMPRODUCT(
  fin[fev/26] *
  (fin[Id]=$B215)
)</f>
        <v>0</v>
      </c>
      <c r="R215" s="186" cm="1">
        <f t="array" ref="R215">SUMPRODUCT(
  fin[mar/26] *
  (fin[Id]=$B215)
)</f>
        <v>0</v>
      </c>
      <c r="S215" s="186" cm="1">
        <f t="array" ref="S215">SUMPRODUCT(
  fin[abr/26] *
  (fin[Id]=$B215)
)</f>
        <v>0</v>
      </c>
      <c r="T215" s="186" cm="1">
        <f t="array" ref="T215">SUMPRODUCT(
  fin[mai/26] *
  (fin[Id]=$B215)
)</f>
        <v>0</v>
      </c>
      <c r="U215" s="186" cm="1">
        <f t="array" ref="U215">SUMPRODUCT(
  fin[jun/26] *
  (fin[Id]=$B215)
)</f>
        <v>0</v>
      </c>
      <c r="V215" s="186" cm="1">
        <f t="array" ref="V215">SUMPRODUCT(
  fin[jul/26] *
  (fin[Id]=$B215)
)</f>
        <v>0</v>
      </c>
      <c r="W215" s="186" cm="1">
        <f t="array" ref="W215">SUMPRODUCT(
  fin[ago/26] *
  (fin[Id]=$B215)
)</f>
        <v>0</v>
      </c>
      <c r="X215" s="186" cm="1">
        <f t="array" ref="X215">SUMPRODUCT(
  fin[set/26] *
  (fin[Id]=$B215)
)</f>
        <v>0</v>
      </c>
      <c r="Y215" s="186" cm="1">
        <f t="array" ref="Y215">SUMPRODUCT(
  fin[out/26] *
  (fin[Id]=$B215)
)</f>
        <v>0</v>
      </c>
      <c r="Z215" s="186" cm="1">
        <f t="array" ref="Z215">SUMPRODUCT(
  fin[nov/26] *
  (fin[Id]=$B215)
)</f>
        <v>0</v>
      </c>
      <c r="AA215" s="186" cm="1">
        <f t="array" ref="AA215">SUMPRODUCT(
  fin[dez/26] *
  (fin[Id]=$B215)
)</f>
        <v>0</v>
      </c>
      <c r="AC215" s="178">
        <f t="shared" si="41"/>
        <v>612000</v>
      </c>
      <c r="AE215" s="178">
        <f t="shared" si="40"/>
        <v>612000</v>
      </c>
    </row>
    <row r="216" spans="1:31" hidden="1" outlineLevel="2" x14ac:dyDescent="0.25">
      <c r="A216" s="197" t="s">
        <v>631</v>
      </c>
      <c r="B216" s="197" t="s">
        <v>635</v>
      </c>
      <c r="C216" s="138" t="s">
        <v>630</v>
      </c>
      <c r="D216" s="186" cm="1">
        <f t="array" ref="D216">SUMPRODUCT(
  fin[jan/25] *
  (fin[Id]=$B216)
)</f>
        <v>0</v>
      </c>
      <c r="E216" s="186" cm="1">
        <f t="array" ref="E216">SUMPRODUCT(
  fin[fev/25] *
  (fin[Id]=$B216)
)</f>
        <v>0</v>
      </c>
      <c r="F216" s="186" cm="1">
        <f t="array" ref="F216">SUMPRODUCT(
  fin[mar/25] *
  (fin[Id]=$B216)
)</f>
        <v>0</v>
      </c>
      <c r="G216" s="186" cm="1">
        <f t="array" ref="G216">SUMPRODUCT(
  fin[abr/25] *
  (fin[Id]=$B216)
)</f>
        <v>0</v>
      </c>
      <c r="H216" s="186" cm="1">
        <f t="array" ref="H216">SUMPRODUCT(
  fin[mai/25] *
  (fin[Id]=$B216)
)</f>
        <v>0</v>
      </c>
      <c r="I216" s="186" cm="1">
        <f t="array" ref="I216">SUMPRODUCT(
  fin[jun/25] *
  (fin[Id]=$B216)
)</f>
        <v>0</v>
      </c>
      <c r="J216" s="186" cm="1">
        <f t="array" ref="J216">SUMPRODUCT(
  fin[jul/25] *
  (fin[Id]=$B216)
)</f>
        <v>545906</v>
      </c>
      <c r="K216" s="186" cm="1">
        <f t="array" ref="K216">SUMPRODUCT(
  fin[ago/25] *
  (fin[Id]=$B216)
)</f>
        <v>0</v>
      </c>
      <c r="L216" s="186" cm="1">
        <f t="array" ref="L216">SUMPRODUCT(
  fin[set/25] *
  (fin[Id]=$B216)
)</f>
        <v>0</v>
      </c>
      <c r="M216" s="186" cm="1">
        <f t="array" ref="M216">SUMPRODUCT(
  fin[out/25] *
  (fin[Id]=$B216)
)</f>
        <v>0</v>
      </c>
      <c r="N216" s="186" cm="1">
        <f t="array" ref="N216">SUMPRODUCT(
  fin[nov/25] *
  (fin[Id]=$B216)
)</f>
        <v>0</v>
      </c>
      <c r="O216" s="186" cm="1">
        <f t="array" ref="O216">SUMPRODUCT(
  fin[dez/25] *
  (fin[Id]=$B216)
)</f>
        <v>0</v>
      </c>
      <c r="P216" s="186" cm="1">
        <f t="array" ref="P216">SUMPRODUCT(
  fin[jan/26] *
  (fin[Id]=$B216)
)</f>
        <v>0</v>
      </c>
      <c r="Q216" s="186" cm="1">
        <f t="array" ref="Q216">SUMPRODUCT(
  fin[fev/26] *
  (fin[Id]=$B216)
)</f>
        <v>0</v>
      </c>
      <c r="R216" s="186" cm="1">
        <f t="array" ref="R216">SUMPRODUCT(
  fin[mar/26] *
  (fin[Id]=$B216)
)</f>
        <v>0</v>
      </c>
      <c r="S216" s="186" cm="1">
        <f t="array" ref="S216">SUMPRODUCT(
  fin[abr/26] *
  (fin[Id]=$B216)
)</f>
        <v>0</v>
      </c>
      <c r="T216" s="186" cm="1">
        <f t="array" ref="T216">SUMPRODUCT(
  fin[mai/26] *
  (fin[Id]=$B216)
)</f>
        <v>0</v>
      </c>
      <c r="U216" s="186" cm="1">
        <f t="array" ref="U216">SUMPRODUCT(
  fin[jun/26] *
  (fin[Id]=$B216)
)</f>
        <v>0</v>
      </c>
      <c r="V216" s="186" cm="1">
        <f t="array" ref="V216">SUMPRODUCT(
  fin[jul/26] *
  (fin[Id]=$B216)
)</f>
        <v>0</v>
      </c>
      <c r="W216" s="186" cm="1">
        <f t="array" ref="W216">SUMPRODUCT(
  fin[ago/26] *
  (fin[Id]=$B216)
)</f>
        <v>0</v>
      </c>
      <c r="X216" s="186" cm="1">
        <f t="array" ref="X216">SUMPRODUCT(
  fin[set/26] *
  (fin[Id]=$B216)
)</f>
        <v>0</v>
      </c>
      <c r="Y216" s="186" cm="1">
        <f t="array" ref="Y216">SUMPRODUCT(
  fin[out/26] *
  (fin[Id]=$B216)
)</f>
        <v>0</v>
      </c>
      <c r="Z216" s="186" cm="1">
        <f t="array" ref="Z216">SUMPRODUCT(
  fin[nov/26] *
  (fin[Id]=$B216)
)</f>
        <v>0</v>
      </c>
      <c r="AA216" s="186" cm="1">
        <f t="array" ref="AA216">SUMPRODUCT(
  fin[dez/26] *
  (fin[Id]=$B216)
)</f>
        <v>0</v>
      </c>
      <c r="AC216" s="178">
        <f t="shared" si="41"/>
        <v>545906</v>
      </c>
      <c r="AE216" s="178">
        <f t="shared" si="40"/>
        <v>545906</v>
      </c>
    </row>
    <row r="217" spans="1:31" hidden="1" outlineLevel="2" x14ac:dyDescent="0.25">
      <c r="A217" s="197" t="s">
        <v>631</v>
      </c>
      <c r="B217" s="197" t="s">
        <v>636</v>
      </c>
      <c r="C217" s="138" t="s">
        <v>630</v>
      </c>
      <c r="D217" s="186" cm="1">
        <f t="array" ref="D217">SUMPRODUCT(
  fin[jan/25] *
  (fin[Id]=$B217)
)</f>
        <v>0</v>
      </c>
      <c r="E217" s="186" cm="1">
        <f t="array" ref="E217">SUMPRODUCT(
  fin[fev/25] *
  (fin[Id]=$B217)
)</f>
        <v>0</v>
      </c>
      <c r="F217" s="186" cm="1">
        <f t="array" ref="F217">SUMPRODUCT(
  fin[mar/25] *
  (fin[Id]=$B217)
)</f>
        <v>0</v>
      </c>
      <c r="G217" s="186" cm="1">
        <f t="array" ref="G217">SUMPRODUCT(
  fin[abr/25] *
  (fin[Id]=$B217)
)</f>
        <v>0</v>
      </c>
      <c r="H217" s="186" cm="1">
        <f t="array" ref="H217">SUMPRODUCT(
  fin[mai/25] *
  (fin[Id]=$B217)
)</f>
        <v>0</v>
      </c>
      <c r="I217" s="186" cm="1">
        <f t="array" ref="I217">SUMPRODUCT(
  fin[jun/25] *
  (fin[Id]=$B217)
)</f>
        <v>500000</v>
      </c>
      <c r="J217" s="186" cm="1">
        <f t="array" ref="J217">SUMPRODUCT(
  fin[jul/25] *
  (fin[Id]=$B217)
)</f>
        <v>0</v>
      </c>
      <c r="K217" s="186" cm="1">
        <f t="array" ref="K217">SUMPRODUCT(
  fin[ago/25] *
  (fin[Id]=$B217)
)</f>
        <v>0</v>
      </c>
      <c r="L217" s="186" cm="1">
        <f t="array" ref="L217">SUMPRODUCT(
  fin[set/25] *
  (fin[Id]=$B217)
)</f>
        <v>0</v>
      </c>
      <c r="M217" s="186" cm="1">
        <f t="array" ref="M217">SUMPRODUCT(
  fin[out/25] *
  (fin[Id]=$B217)
)</f>
        <v>0</v>
      </c>
      <c r="N217" s="186" cm="1">
        <f t="array" ref="N217">SUMPRODUCT(
  fin[nov/25] *
  (fin[Id]=$B217)
)</f>
        <v>0</v>
      </c>
      <c r="O217" s="186" cm="1">
        <f t="array" ref="O217">SUMPRODUCT(
  fin[dez/25] *
  (fin[Id]=$B217)
)</f>
        <v>0</v>
      </c>
      <c r="P217" s="186" cm="1">
        <f t="array" ref="P217">SUMPRODUCT(
  fin[jan/26] *
  (fin[Id]=$B217)
)</f>
        <v>0</v>
      </c>
      <c r="Q217" s="186" cm="1">
        <f t="array" ref="Q217">SUMPRODUCT(
  fin[fev/26] *
  (fin[Id]=$B217)
)</f>
        <v>0</v>
      </c>
      <c r="R217" s="186" cm="1">
        <f t="array" ref="R217">SUMPRODUCT(
  fin[mar/26] *
  (fin[Id]=$B217)
)</f>
        <v>0</v>
      </c>
      <c r="S217" s="186" cm="1">
        <f t="array" ref="S217">SUMPRODUCT(
  fin[abr/26] *
  (fin[Id]=$B217)
)</f>
        <v>0</v>
      </c>
      <c r="T217" s="186" cm="1">
        <f t="array" ref="T217">SUMPRODUCT(
  fin[mai/26] *
  (fin[Id]=$B217)
)</f>
        <v>0</v>
      </c>
      <c r="U217" s="186" cm="1">
        <f t="array" ref="U217">SUMPRODUCT(
  fin[jun/26] *
  (fin[Id]=$B217)
)</f>
        <v>0</v>
      </c>
      <c r="V217" s="186" cm="1">
        <f t="array" ref="V217">SUMPRODUCT(
  fin[jul/26] *
  (fin[Id]=$B217)
)</f>
        <v>0</v>
      </c>
      <c r="W217" s="186" cm="1">
        <f t="array" ref="W217">SUMPRODUCT(
  fin[ago/26] *
  (fin[Id]=$B217)
)</f>
        <v>0</v>
      </c>
      <c r="X217" s="186" cm="1">
        <f t="array" ref="X217">SUMPRODUCT(
  fin[set/26] *
  (fin[Id]=$B217)
)</f>
        <v>0</v>
      </c>
      <c r="Y217" s="186" cm="1">
        <f t="array" ref="Y217">SUMPRODUCT(
  fin[out/26] *
  (fin[Id]=$B217)
)</f>
        <v>0</v>
      </c>
      <c r="Z217" s="186" cm="1">
        <f t="array" ref="Z217">SUMPRODUCT(
  fin[nov/26] *
  (fin[Id]=$B217)
)</f>
        <v>0</v>
      </c>
      <c r="AA217" s="186" cm="1">
        <f t="array" ref="AA217">SUMPRODUCT(
  fin[dez/26] *
  (fin[Id]=$B217)
)</f>
        <v>0</v>
      </c>
      <c r="AC217" s="178">
        <f t="shared" si="41"/>
        <v>500000</v>
      </c>
      <c r="AE217" s="178">
        <f t="shared" si="40"/>
        <v>500000</v>
      </c>
    </row>
    <row r="218" spans="1:31" hidden="1" outlineLevel="2" x14ac:dyDescent="0.25">
      <c r="A218" s="197" t="s">
        <v>631</v>
      </c>
      <c r="B218" s="197" t="s">
        <v>637</v>
      </c>
      <c r="C218" s="138" t="s">
        <v>630</v>
      </c>
      <c r="D218" s="186" cm="1">
        <f t="array" ref="D218">SUMPRODUCT(
  fin[jan/25] *
  (fin[Id]=$B218)
)</f>
        <v>0</v>
      </c>
      <c r="E218" s="186" cm="1">
        <f t="array" ref="E218">SUMPRODUCT(
  fin[fev/25] *
  (fin[Id]=$B218)
)</f>
        <v>0</v>
      </c>
      <c r="F218" s="186" cm="1">
        <f t="array" ref="F218">SUMPRODUCT(
  fin[mar/25] *
  (fin[Id]=$B218)
)</f>
        <v>0</v>
      </c>
      <c r="G218" s="186" cm="1">
        <f t="array" ref="G218">SUMPRODUCT(
  fin[abr/25] *
  (fin[Id]=$B218)
)</f>
        <v>0</v>
      </c>
      <c r="H218" s="186" cm="1">
        <f t="array" ref="H218">SUMPRODUCT(
  fin[mai/25] *
  (fin[Id]=$B218)
)</f>
        <v>0</v>
      </c>
      <c r="I218" s="186" cm="1">
        <f t="array" ref="I218">SUMPRODUCT(
  fin[jun/25] *
  (fin[Id]=$B218)
)</f>
        <v>0</v>
      </c>
      <c r="J218" s="186" cm="1">
        <f t="array" ref="J218">SUMPRODUCT(
  fin[jul/25] *
  (fin[Id]=$B218)
)</f>
        <v>0</v>
      </c>
      <c r="K218" s="186" cm="1">
        <f t="array" ref="K218">SUMPRODUCT(
  fin[ago/25] *
  (fin[Id]=$B218)
)</f>
        <v>0</v>
      </c>
      <c r="L218" s="186" cm="1">
        <f t="array" ref="L218">SUMPRODUCT(
  fin[set/25] *
  (fin[Id]=$B218)
)</f>
        <v>500000</v>
      </c>
      <c r="M218" s="186" cm="1">
        <f t="array" ref="M218">SUMPRODUCT(
  fin[out/25] *
  (fin[Id]=$B218)
)</f>
        <v>0</v>
      </c>
      <c r="N218" s="186" cm="1">
        <f t="array" ref="N218">SUMPRODUCT(
  fin[nov/25] *
  (fin[Id]=$B218)
)</f>
        <v>0</v>
      </c>
      <c r="O218" s="186" cm="1">
        <f t="array" ref="O218">SUMPRODUCT(
  fin[dez/25] *
  (fin[Id]=$B218)
)</f>
        <v>0</v>
      </c>
      <c r="P218" s="186" cm="1">
        <f t="array" ref="P218">SUMPRODUCT(
  fin[jan/26] *
  (fin[Id]=$B218)
)</f>
        <v>0</v>
      </c>
      <c r="Q218" s="186" cm="1">
        <f t="array" ref="Q218">SUMPRODUCT(
  fin[fev/26] *
  (fin[Id]=$B218)
)</f>
        <v>0</v>
      </c>
      <c r="R218" s="186" cm="1">
        <f t="array" ref="R218">SUMPRODUCT(
  fin[mar/26] *
  (fin[Id]=$B218)
)</f>
        <v>0</v>
      </c>
      <c r="S218" s="186" cm="1">
        <f t="array" ref="S218">SUMPRODUCT(
  fin[abr/26] *
  (fin[Id]=$B218)
)</f>
        <v>0</v>
      </c>
      <c r="T218" s="186" cm="1">
        <f t="array" ref="T218">SUMPRODUCT(
  fin[mai/26] *
  (fin[Id]=$B218)
)</f>
        <v>0</v>
      </c>
      <c r="U218" s="186" cm="1">
        <f t="array" ref="U218">SUMPRODUCT(
  fin[jun/26] *
  (fin[Id]=$B218)
)</f>
        <v>0</v>
      </c>
      <c r="V218" s="186" cm="1">
        <f t="array" ref="V218">SUMPRODUCT(
  fin[jul/26] *
  (fin[Id]=$B218)
)</f>
        <v>0</v>
      </c>
      <c r="W218" s="186" cm="1">
        <f t="array" ref="W218">SUMPRODUCT(
  fin[ago/26] *
  (fin[Id]=$B218)
)</f>
        <v>0</v>
      </c>
      <c r="X218" s="186" cm="1">
        <f t="array" ref="X218">SUMPRODUCT(
  fin[set/26] *
  (fin[Id]=$B218)
)</f>
        <v>0</v>
      </c>
      <c r="Y218" s="186" cm="1">
        <f t="array" ref="Y218">SUMPRODUCT(
  fin[out/26] *
  (fin[Id]=$B218)
)</f>
        <v>0</v>
      </c>
      <c r="Z218" s="186" cm="1">
        <f t="array" ref="Z218">SUMPRODUCT(
  fin[nov/26] *
  (fin[Id]=$B218)
)</f>
        <v>0</v>
      </c>
      <c r="AA218" s="186" cm="1">
        <f t="array" ref="AA218">SUMPRODUCT(
  fin[dez/26] *
  (fin[Id]=$B218)
)</f>
        <v>0</v>
      </c>
      <c r="AC218" s="178">
        <f t="shared" si="41"/>
        <v>500000</v>
      </c>
      <c r="AE218" s="178">
        <f t="shared" si="40"/>
        <v>500000</v>
      </c>
    </row>
    <row r="219" spans="1:31" hidden="1" outlineLevel="2" x14ac:dyDescent="0.25">
      <c r="A219" s="197" t="s">
        <v>631</v>
      </c>
      <c r="B219" s="197" t="s">
        <v>638</v>
      </c>
      <c r="C219" s="138" t="s">
        <v>630</v>
      </c>
      <c r="D219" s="186" cm="1">
        <f t="array" ref="D219">SUMPRODUCT(
  fin[jan/25] *
  (fin[Id]=$B219)
)</f>
        <v>0</v>
      </c>
      <c r="E219" s="186" cm="1">
        <f t="array" ref="E219">SUMPRODUCT(
  fin[fev/25] *
  (fin[Id]=$B219)
)</f>
        <v>0</v>
      </c>
      <c r="F219" s="186" cm="1">
        <f t="array" ref="F219">SUMPRODUCT(
  fin[mar/25] *
  (fin[Id]=$B219)
)</f>
        <v>0</v>
      </c>
      <c r="G219" s="186" cm="1">
        <f t="array" ref="G219">SUMPRODUCT(
  fin[abr/25] *
  (fin[Id]=$B219)
)</f>
        <v>0</v>
      </c>
      <c r="H219" s="186" cm="1">
        <f t="array" ref="H219">SUMPRODUCT(
  fin[mai/25] *
  (fin[Id]=$B219)
)</f>
        <v>0</v>
      </c>
      <c r="I219" s="186" cm="1">
        <f t="array" ref="I219">SUMPRODUCT(
  fin[jun/25] *
  (fin[Id]=$B219)
)</f>
        <v>0</v>
      </c>
      <c r="J219" s="186" cm="1">
        <f t="array" ref="J219">SUMPRODUCT(
  fin[jul/25] *
  (fin[Id]=$B219)
)</f>
        <v>0</v>
      </c>
      <c r="K219" s="186" cm="1">
        <f t="array" ref="K219">SUMPRODUCT(
  fin[ago/25] *
  (fin[Id]=$B219)
)</f>
        <v>400000</v>
      </c>
      <c r="L219" s="186" cm="1">
        <f t="array" ref="L219">SUMPRODUCT(
  fin[set/25] *
  (fin[Id]=$B219)
)</f>
        <v>0</v>
      </c>
      <c r="M219" s="186" cm="1">
        <f t="array" ref="M219">SUMPRODUCT(
  fin[out/25] *
  (fin[Id]=$B219)
)</f>
        <v>0</v>
      </c>
      <c r="N219" s="186" cm="1">
        <f t="array" ref="N219">SUMPRODUCT(
  fin[nov/25] *
  (fin[Id]=$B219)
)</f>
        <v>0</v>
      </c>
      <c r="O219" s="186" cm="1">
        <f t="array" ref="O219">SUMPRODUCT(
  fin[dez/25] *
  (fin[Id]=$B219)
)</f>
        <v>0</v>
      </c>
      <c r="P219" s="186" cm="1">
        <f t="array" ref="P219">SUMPRODUCT(
  fin[jan/26] *
  (fin[Id]=$B219)
)</f>
        <v>0</v>
      </c>
      <c r="Q219" s="186" cm="1">
        <f t="array" ref="Q219">SUMPRODUCT(
  fin[fev/26] *
  (fin[Id]=$B219)
)</f>
        <v>0</v>
      </c>
      <c r="R219" s="186" cm="1">
        <f t="array" ref="R219">SUMPRODUCT(
  fin[mar/26] *
  (fin[Id]=$B219)
)</f>
        <v>0</v>
      </c>
      <c r="S219" s="186" cm="1">
        <f t="array" ref="S219">SUMPRODUCT(
  fin[abr/26] *
  (fin[Id]=$B219)
)</f>
        <v>0</v>
      </c>
      <c r="T219" s="186" cm="1">
        <f t="array" ref="T219">SUMPRODUCT(
  fin[mai/26] *
  (fin[Id]=$B219)
)</f>
        <v>0</v>
      </c>
      <c r="U219" s="186" cm="1">
        <f t="array" ref="U219">SUMPRODUCT(
  fin[jun/26] *
  (fin[Id]=$B219)
)</f>
        <v>0</v>
      </c>
      <c r="V219" s="186" cm="1">
        <f t="array" ref="V219">SUMPRODUCT(
  fin[jul/26] *
  (fin[Id]=$B219)
)</f>
        <v>0</v>
      </c>
      <c r="W219" s="186" cm="1">
        <f t="array" ref="W219">SUMPRODUCT(
  fin[ago/26] *
  (fin[Id]=$B219)
)</f>
        <v>0</v>
      </c>
      <c r="X219" s="186" cm="1">
        <f t="array" ref="X219">SUMPRODUCT(
  fin[set/26] *
  (fin[Id]=$B219)
)</f>
        <v>0</v>
      </c>
      <c r="Y219" s="186" cm="1">
        <f t="array" ref="Y219">SUMPRODUCT(
  fin[out/26] *
  (fin[Id]=$B219)
)</f>
        <v>0</v>
      </c>
      <c r="Z219" s="186" cm="1">
        <f t="array" ref="Z219">SUMPRODUCT(
  fin[nov/26] *
  (fin[Id]=$B219)
)</f>
        <v>0</v>
      </c>
      <c r="AA219" s="186" cm="1">
        <f t="array" ref="AA219">SUMPRODUCT(
  fin[dez/26] *
  (fin[Id]=$B219)
)</f>
        <v>0</v>
      </c>
      <c r="AC219" s="178">
        <f t="shared" si="41"/>
        <v>400000</v>
      </c>
      <c r="AE219" s="178">
        <f t="shared" si="40"/>
        <v>400000</v>
      </c>
    </row>
    <row r="220" spans="1:31" hidden="1" outlineLevel="2" x14ac:dyDescent="0.25">
      <c r="A220" s="197" t="s">
        <v>631</v>
      </c>
      <c r="B220" s="197" t="s">
        <v>945</v>
      </c>
      <c r="C220" s="138" t="s">
        <v>630</v>
      </c>
      <c r="D220" s="186" cm="1">
        <f t="array" ref="D220">SUMPRODUCT(
  fin[jan/25] *
  (fin[Id]=$B220)
)</f>
        <v>0</v>
      </c>
      <c r="E220" s="186" cm="1">
        <f t="array" ref="E220">SUMPRODUCT(
  fin[fev/25] *
  (fin[Id]=$B220)
)</f>
        <v>0</v>
      </c>
      <c r="F220" s="186" cm="1">
        <f t="array" ref="F220">SUMPRODUCT(
  fin[mar/25] *
  (fin[Id]=$B220)
)</f>
        <v>0</v>
      </c>
      <c r="G220" s="186" cm="1">
        <f t="array" ref="G220">SUMPRODUCT(
  fin[abr/25] *
  (fin[Id]=$B220)
)</f>
        <v>0</v>
      </c>
      <c r="H220" s="186" cm="1">
        <f t="array" ref="H220">SUMPRODUCT(
  fin[mai/25] *
  (fin[Id]=$B220)
)</f>
        <v>0</v>
      </c>
      <c r="I220" s="186" cm="1">
        <f t="array" ref="I220">SUMPRODUCT(
  fin[jun/25] *
  (fin[Id]=$B220)
)</f>
        <v>300000</v>
      </c>
      <c r="J220" s="186" cm="1">
        <f t="array" ref="J220">SUMPRODUCT(
  fin[jul/25] *
  (fin[Id]=$B220)
)</f>
        <v>0</v>
      </c>
      <c r="K220" s="186" cm="1">
        <f t="array" ref="K220">SUMPRODUCT(
  fin[ago/25] *
  (fin[Id]=$B220)
)</f>
        <v>0</v>
      </c>
      <c r="L220" s="186" cm="1">
        <f t="array" ref="L220">SUMPRODUCT(
  fin[set/25] *
  (fin[Id]=$B220)
)</f>
        <v>0</v>
      </c>
      <c r="M220" s="186" cm="1">
        <f t="array" ref="M220">SUMPRODUCT(
  fin[out/25] *
  (fin[Id]=$B220)
)</f>
        <v>0</v>
      </c>
      <c r="N220" s="186" cm="1">
        <f t="array" ref="N220">SUMPRODUCT(
  fin[nov/25] *
  (fin[Id]=$B220)
)</f>
        <v>0</v>
      </c>
      <c r="O220" s="186" cm="1">
        <f t="array" ref="O220">SUMPRODUCT(
  fin[dez/25] *
  (fin[Id]=$B220)
)</f>
        <v>0</v>
      </c>
      <c r="P220" s="186" cm="1">
        <f t="array" ref="P220">SUMPRODUCT(
  fin[jan/26] *
  (fin[Id]=$B220)
)</f>
        <v>0</v>
      </c>
      <c r="Q220" s="186" cm="1">
        <f t="array" ref="Q220">SUMPRODUCT(
  fin[fev/26] *
  (fin[Id]=$B220)
)</f>
        <v>0</v>
      </c>
      <c r="R220" s="186" cm="1">
        <f t="array" ref="R220">SUMPRODUCT(
  fin[mar/26] *
  (fin[Id]=$B220)
)</f>
        <v>0</v>
      </c>
      <c r="S220" s="186" cm="1">
        <f t="array" ref="S220">SUMPRODUCT(
  fin[abr/26] *
  (fin[Id]=$B220)
)</f>
        <v>0</v>
      </c>
      <c r="T220" s="186" cm="1">
        <f t="array" ref="T220">SUMPRODUCT(
  fin[mai/26] *
  (fin[Id]=$B220)
)</f>
        <v>0</v>
      </c>
      <c r="U220" s="186" cm="1">
        <f t="array" ref="U220">SUMPRODUCT(
  fin[jun/26] *
  (fin[Id]=$B220)
)</f>
        <v>0</v>
      </c>
      <c r="V220" s="186" cm="1">
        <f t="array" ref="V220">SUMPRODUCT(
  fin[jul/26] *
  (fin[Id]=$B220)
)</f>
        <v>0</v>
      </c>
      <c r="W220" s="186" cm="1">
        <f t="array" ref="W220">SUMPRODUCT(
  fin[ago/26] *
  (fin[Id]=$B220)
)</f>
        <v>0</v>
      </c>
      <c r="X220" s="186" cm="1">
        <f t="array" ref="X220">SUMPRODUCT(
  fin[set/26] *
  (fin[Id]=$B220)
)</f>
        <v>0</v>
      </c>
      <c r="Y220" s="186" cm="1">
        <f t="array" ref="Y220">SUMPRODUCT(
  fin[out/26] *
  (fin[Id]=$B220)
)</f>
        <v>0</v>
      </c>
      <c r="Z220" s="186" cm="1">
        <f t="array" ref="Z220">SUMPRODUCT(
  fin[nov/26] *
  (fin[Id]=$B220)
)</f>
        <v>0</v>
      </c>
      <c r="AA220" s="186" cm="1">
        <f t="array" ref="AA220">SUMPRODUCT(
  fin[dez/26] *
  (fin[Id]=$B220)
)</f>
        <v>0</v>
      </c>
      <c r="AC220" s="178">
        <f t="shared" si="41"/>
        <v>300000</v>
      </c>
      <c r="AE220" s="178">
        <f t="shared" si="40"/>
        <v>300000</v>
      </c>
    </row>
    <row r="221" spans="1:31" hidden="1" outlineLevel="1" x14ac:dyDescent="0.25">
      <c r="A221" s="182" t="s">
        <v>639</v>
      </c>
      <c r="B221" s="192" t="s">
        <v>640</v>
      </c>
      <c r="C221" s="183" t="s">
        <v>514</v>
      </c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  <c r="AC221" s="280">
        <f t="shared" si="41"/>
        <v>0</v>
      </c>
      <c r="AE221" s="280">
        <f t="shared" si="40"/>
        <v>0</v>
      </c>
    </row>
    <row r="222" spans="1:31" collapsed="1" x14ac:dyDescent="0.25">
      <c r="A222" s="188" t="s">
        <v>641</v>
      </c>
      <c r="B222" s="188" t="s">
        <v>642</v>
      </c>
      <c r="C222" s="193"/>
      <c r="D222" s="194">
        <f t="shared" ref="D222:AA222" ca="1" si="47">SUM(D$223,D$248,D$250)</f>
        <v>0</v>
      </c>
      <c r="E222" s="194">
        <f t="shared" ca="1" si="47"/>
        <v>0</v>
      </c>
      <c r="F222" s="194">
        <f t="shared" ca="1" si="47"/>
        <v>0</v>
      </c>
      <c r="G222" s="194">
        <f t="shared" ca="1" si="47"/>
        <v>-528000</v>
      </c>
      <c r="H222" s="194">
        <f t="shared" ca="1" si="47"/>
        <v>-10645495.059999999</v>
      </c>
      <c r="I222" s="194">
        <f t="shared" ca="1" si="47"/>
        <v>0</v>
      </c>
      <c r="J222" s="194">
        <f t="shared" ca="1" si="47"/>
        <v>-2850584.95</v>
      </c>
      <c r="K222" s="194">
        <f t="shared" ca="1" si="47"/>
        <v>0</v>
      </c>
      <c r="L222" s="194">
        <f t="shared" ca="1" si="47"/>
        <v>0</v>
      </c>
      <c r="M222" s="194">
        <f t="shared" ca="1" si="47"/>
        <v>-3000000</v>
      </c>
      <c r="N222" s="194">
        <f t="shared" ca="1" si="47"/>
        <v>-4206456.13</v>
      </c>
      <c r="O222" s="194">
        <f t="shared" ca="1" si="47"/>
        <v>0</v>
      </c>
      <c r="P222" s="194">
        <f t="shared" ca="1" si="47"/>
        <v>0</v>
      </c>
      <c r="Q222" s="194">
        <f t="shared" ca="1" si="47"/>
        <v>0</v>
      </c>
      <c r="R222" s="194">
        <f t="shared" ca="1" si="47"/>
        <v>0</v>
      </c>
      <c r="S222" s="194">
        <f t="shared" ca="1" si="47"/>
        <v>0</v>
      </c>
      <c r="T222" s="194">
        <f t="shared" ca="1" si="47"/>
        <v>0</v>
      </c>
      <c r="U222" s="194">
        <f t="shared" ca="1" si="47"/>
        <v>0</v>
      </c>
      <c r="V222" s="194">
        <f t="shared" ca="1" si="47"/>
        <v>0</v>
      </c>
      <c r="W222" s="194">
        <f t="shared" ca="1" si="47"/>
        <v>0</v>
      </c>
      <c r="X222" s="194">
        <f t="shared" ca="1" si="47"/>
        <v>0</v>
      </c>
      <c r="Y222" s="194">
        <f t="shared" ca="1" si="47"/>
        <v>0</v>
      </c>
      <c r="Z222" s="194">
        <f t="shared" ca="1" si="47"/>
        <v>0</v>
      </c>
      <c r="AA222" s="194">
        <f t="shared" ca="1" si="47"/>
        <v>0</v>
      </c>
      <c r="AC222" s="283">
        <f t="shared" ca="1" si="41"/>
        <v>-21230536.139999997</v>
      </c>
      <c r="AE222" s="283">
        <f t="shared" ca="1" si="40"/>
        <v>-21230536.139999997</v>
      </c>
    </row>
    <row r="223" spans="1:31" hidden="1" outlineLevel="1" x14ac:dyDescent="0.25">
      <c r="A223" s="182" t="s">
        <v>643</v>
      </c>
      <c r="B223" s="187" t="s">
        <v>389</v>
      </c>
      <c r="C223" s="183" t="s">
        <v>514</v>
      </c>
      <c r="D223" s="184">
        <f t="shared" ref="D223:AA223" ca="1" si="48">SUM(D$224:D$247)</f>
        <v>0</v>
      </c>
      <c r="E223" s="184">
        <f t="shared" ca="1" si="48"/>
        <v>0</v>
      </c>
      <c r="F223" s="184">
        <f t="shared" ca="1" si="48"/>
        <v>0</v>
      </c>
      <c r="G223" s="184">
        <f t="shared" ca="1" si="48"/>
        <v>-528000</v>
      </c>
      <c r="H223" s="184">
        <f t="shared" ca="1" si="48"/>
        <v>-10645495.059999999</v>
      </c>
      <c r="I223" s="184">
        <f t="shared" ca="1" si="48"/>
        <v>0</v>
      </c>
      <c r="J223" s="184">
        <f t="shared" ca="1" si="48"/>
        <v>-2850584.95</v>
      </c>
      <c r="K223" s="184">
        <f t="shared" ca="1" si="48"/>
        <v>0</v>
      </c>
      <c r="L223" s="184">
        <f t="shared" ca="1" si="48"/>
        <v>0</v>
      </c>
      <c r="M223" s="184">
        <f t="shared" ca="1" si="48"/>
        <v>-3000000</v>
      </c>
      <c r="N223" s="184">
        <f t="shared" ca="1" si="48"/>
        <v>-4206456.13</v>
      </c>
      <c r="O223" s="184">
        <f t="shared" ca="1" si="48"/>
        <v>0</v>
      </c>
      <c r="P223" s="184">
        <f t="shared" ca="1" si="48"/>
        <v>0</v>
      </c>
      <c r="Q223" s="184">
        <f t="shared" ca="1" si="48"/>
        <v>0</v>
      </c>
      <c r="R223" s="184">
        <f t="shared" ca="1" si="48"/>
        <v>0</v>
      </c>
      <c r="S223" s="184">
        <f t="shared" ca="1" si="48"/>
        <v>0</v>
      </c>
      <c r="T223" s="184">
        <f t="shared" ca="1" si="48"/>
        <v>0</v>
      </c>
      <c r="U223" s="184">
        <f t="shared" ca="1" si="48"/>
        <v>0</v>
      </c>
      <c r="V223" s="184">
        <f t="shared" ca="1" si="48"/>
        <v>0</v>
      </c>
      <c r="W223" s="184">
        <f t="shared" ca="1" si="48"/>
        <v>0</v>
      </c>
      <c r="X223" s="184">
        <f t="shared" ca="1" si="48"/>
        <v>0</v>
      </c>
      <c r="Y223" s="184">
        <f t="shared" ca="1" si="48"/>
        <v>0</v>
      </c>
      <c r="Z223" s="184">
        <f t="shared" ca="1" si="48"/>
        <v>0</v>
      </c>
      <c r="AA223" s="184">
        <f t="shared" ca="1" si="48"/>
        <v>0</v>
      </c>
      <c r="AC223" s="280">
        <f t="shared" ca="1" si="41"/>
        <v>-21230536.139999997</v>
      </c>
      <c r="AE223" s="280">
        <f t="shared" ca="1" si="40"/>
        <v>-21230536.139999997</v>
      </c>
    </row>
    <row r="224" spans="1:31" hidden="1" outlineLevel="2" x14ac:dyDescent="0.25">
      <c r="A224" s="185" t="s">
        <v>647</v>
      </c>
      <c r="B224" s="185" t="s">
        <v>494</v>
      </c>
      <c r="C224" s="138" t="s">
        <v>514</v>
      </c>
      <c r="D224" s="186">
        <f ca="1">-SUMIFS(
  desp.m.ik[valor],
  desp.m.ik[nucleo], $B224,
  desp.m.ik[variavel], $B$223,
  desp.m.ik[mes], "&gt;="&amp;D$1,
  desp.m.ik[mes], "&lt;"&amp;EOMONTH(D$1,0)+1
)</f>
        <v>0</v>
      </c>
      <c r="E224" s="186">
        <f ca="1">-SUMIFS(
  desp.m.ik[valor],
  desp.m.ik[nucleo], $B224,
  desp.m.ik[variavel], $B$223,
  desp.m.ik[mes], "&gt;="&amp;E$1,
  desp.m.ik[mes], "&lt;"&amp;EOMONTH(E$1,0)+1
)</f>
        <v>0</v>
      </c>
      <c r="F224" s="186">
        <f ca="1">-SUMIFS(
  desp.m.ik[valor],
  desp.m.ik[nucleo], $B224,
  desp.m.ik[variavel], $B$223,
  desp.m.ik[mes], "&gt;="&amp;F$1,
  desp.m.ik[mes], "&lt;"&amp;EOMONTH(F$1,0)+1
)</f>
        <v>0</v>
      </c>
      <c r="G224" s="186">
        <f ca="1">-SUMIFS(
  desp.m.ik[valor],
  desp.m.ik[nucleo], $B224,
  desp.m.ik[variavel], $B$223,
  desp.m.ik[mes], "&gt;="&amp;G$1,
  desp.m.ik[mes], "&lt;"&amp;EOMONTH(G$1,0)+1
)</f>
        <v>0</v>
      </c>
      <c r="H224" s="186">
        <f ca="1">-SUMIFS(
  desp.m.ik[valor],
  desp.m.ik[nucleo], $B224,
  desp.m.ik[variavel], $B$223,
  desp.m.ik[mes], "&gt;="&amp;H$1,
  desp.m.ik[mes], "&lt;"&amp;EOMONTH(H$1,0)+1
)</f>
        <v>0</v>
      </c>
      <c r="I224" s="186">
        <f ca="1">-SUMIFS(
  desp.m.ik[valor],
  desp.m.ik[nucleo], $B224,
  desp.m.ik[variavel], $B$223,
  desp.m.ik[mes], "&gt;="&amp;I$1,
  desp.m.ik[mes], "&lt;"&amp;EOMONTH(I$1,0)+1
)</f>
        <v>0</v>
      </c>
      <c r="J224" s="186">
        <f ca="1">-SUMIFS(
  desp.m.ik[valor],
  desp.m.ik[nucleo], $B224,
  desp.m.ik[variavel], $B$223,
  desp.m.ik[mes], "&gt;="&amp;J$1,
  desp.m.ik[mes], "&lt;"&amp;EOMONTH(J$1,0)+1
)</f>
        <v>0</v>
      </c>
      <c r="K224" s="186">
        <f ca="1">-SUMIFS(
  desp.m.ik[valor],
  desp.m.ik[nucleo], $B224,
  desp.m.ik[variavel], $B$223,
  desp.m.ik[mes], "&gt;="&amp;K$1,
  desp.m.ik[mes], "&lt;"&amp;EOMONTH(K$1,0)+1
)</f>
        <v>0</v>
      </c>
      <c r="L224" s="186">
        <f ca="1">-SUMIFS(
  desp.m.ik[valor],
  desp.m.ik[nucleo], $B224,
  desp.m.ik[variavel], $B$223,
  desp.m.ik[mes], "&gt;="&amp;L$1,
  desp.m.ik[mes], "&lt;"&amp;EOMONTH(L$1,0)+1
)</f>
        <v>0</v>
      </c>
      <c r="M224" s="297">
        <f ca="1">-SUMIFS(
  desp.m.ik[valor],
  desp.m.ik[nucleo], $B224,
  desp.m.ik[variavel], $B$223,
  desp.m.ik[mes], "&gt;="&amp;M$1,
  desp.m.ik[mes], "&lt;"&amp;EOMONTH(M$1,0)+1
)-3000000</f>
        <v>-3000000</v>
      </c>
      <c r="N224" s="297">
        <f ca="1">-SUMIFS(
  desp.m.ik[valor],
  desp.m.ik[nucleo], $B224,
  desp.m.ik[variavel], $B$223,
  desp.m.ik[mes], "&gt;="&amp;N$1,
  desp.m.ik[mes], "&lt;"&amp;EOMONTH(N$1,0)+1
)-4206456.13</f>
        <v>-4206456.13</v>
      </c>
      <c r="O224" s="186">
        <f ca="1">-SUMIFS(
  desp.m.ik[valor],
  desp.m.ik[nucleo], $B224,
  desp.m.ik[variavel], $B$223,
  desp.m.ik[mes], "&gt;="&amp;O$1,
  desp.m.ik[mes], "&lt;"&amp;EOMONTH(O$1,0)+1
)</f>
        <v>0</v>
      </c>
      <c r="P224" s="186">
        <f ca="1">-SUMIFS(
  desp.m.ik[valor],
  desp.m.ik[nucleo], $B224,
  desp.m.ik[variavel], $B$223,
  desp.m.ik[mes], "&gt;="&amp;P$1,
  desp.m.ik[mes], "&lt;"&amp;EOMONTH(P$1,0)+1
)</f>
        <v>0</v>
      </c>
      <c r="Q224" s="186">
        <f ca="1">-SUMIFS(
  desp.m.ik[valor],
  desp.m.ik[nucleo], $B224,
  desp.m.ik[variavel], $B$223,
  desp.m.ik[mes], "&gt;="&amp;Q$1,
  desp.m.ik[mes], "&lt;"&amp;EOMONTH(Q$1,0)+1
)</f>
        <v>0</v>
      </c>
      <c r="R224" s="186">
        <f ca="1">-SUMIFS(
  desp.m.ik[valor],
  desp.m.ik[nucleo], $B224,
  desp.m.ik[variavel], $B$223,
  desp.m.ik[mes], "&gt;="&amp;R$1,
  desp.m.ik[mes], "&lt;"&amp;EOMONTH(R$1,0)+1
)</f>
        <v>0</v>
      </c>
      <c r="S224" s="186">
        <f ca="1">-SUMIFS(
  desp.m.ik[valor],
  desp.m.ik[nucleo], $B224,
  desp.m.ik[variavel], $B$223,
  desp.m.ik[mes], "&gt;="&amp;S$1,
  desp.m.ik[mes], "&lt;"&amp;EOMONTH(S$1,0)+1
)</f>
        <v>0</v>
      </c>
      <c r="T224" s="186">
        <f ca="1">-SUMIFS(
  desp.m.ik[valor],
  desp.m.ik[nucleo], $B224,
  desp.m.ik[variavel], $B$223,
  desp.m.ik[mes], "&gt;="&amp;T$1,
  desp.m.ik[mes], "&lt;"&amp;EOMONTH(T$1,0)+1
)</f>
        <v>0</v>
      </c>
      <c r="U224" s="186">
        <f ca="1">-SUMIFS(
  desp.m.ik[valor],
  desp.m.ik[nucleo], $B224,
  desp.m.ik[variavel], $B$223,
  desp.m.ik[mes], "&gt;="&amp;U$1,
  desp.m.ik[mes], "&lt;"&amp;EOMONTH(U$1,0)+1
)</f>
        <v>0</v>
      </c>
      <c r="V224" s="186">
        <f ca="1">-SUMIFS(
  desp.m.ik[valor],
  desp.m.ik[nucleo], $B224,
  desp.m.ik[variavel], $B$223,
  desp.m.ik[mes], "&gt;="&amp;V$1,
  desp.m.ik[mes], "&lt;"&amp;EOMONTH(V$1,0)+1
)</f>
        <v>0</v>
      </c>
      <c r="W224" s="186">
        <f ca="1">-SUMIFS(
  desp.m.ik[valor],
  desp.m.ik[nucleo], $B224,
  desp.m.ik[variavel], $B$223,
  desp.m.ik[mes], "&gt;="&amp;W$1,
  desp.m.ik[mes], "&lt;"&amp;EOMONTH(W$1,0)+1
)</f>
        <v>0</v>
      </c>
      <c r="X224" s="186">
        <f ca="1">-SUMIFS(
  desp.m.ik[valor],
  desp.m.ik[nucleo], $B224,
  desp.m.ik[variavel], $B$223,
  desp.m.ik[mes], "&gt;="&amp;X$1,
  desp.m.ik[mes], "&lt;"&amp;EOMONTH(X$1,0)+1
)</f>
        <v>0</v>
      </c>
      <c r="Y224" s="186">
        <f ca="1">-SUMIFS(
  desp.m.ik[valor],
  desp.m.ik[nucleo], $B224,
  desp.m.ik[variavel], $B$223,
  desp.m.ik[mes], "&gt;="&amp;Y$1,
  desp.m.ik[mes], "&lt;"&amp;EOMONTH(Y$1,0)+1
)</f>
        <v>0</v>
      </c>
      <c r="Z224" s="186">
        <f ca="1">-SUMIFS(
  desp.m.ik[valor],
  desp.m.ik[nucleo], $B224,
  desp.m.ik[variavel], $B$223,
  desp.m.ik[mes], "&gt;="&amp;Z$1,
  desp.m.ik[mes], "&lt;"&amp;EOMONTH(Z$1,0)+1
)</f>
        <v>0</v>
      </c>
      <c r="AA224" s="186">
        <f ca="1">-SUMIFS(
  desp.m.ik[valor],
  desp.m.ik[nucleo], $B224,
  desp.m.ik[variavel], $B$223,
  desp.m.ik[mes], "&gt;="&amp;AA$1,
  desp.m.ik[mes], "&lt;"&amp;EOMONTH(AA$1,0)+1
)</f>
        <v>0</v>
      </c>
      <c r="AC224" s="178">
        <f t="shared" ca="1" si="41"/>
        <v>-7206456.1299999999</v>
      </c>
      <c r="AE224" s="178">
        <f t="shared" ca="1" si="40"/>
        <v>-7206456.1299999999</v>
      </c>
    </row>
    <row r="225" spans="1:31" hidden="1" outlineLevel="2" x14ac:dyDescent="0.25">
      <c r="A225" s="185" t="s">
        <v>644</v>
      </c>
      <c r="B225" s="185" t="s">
        <v>541</v>
      </c>
      <c r="C225" s="138" t="s">
        <v>514</v>
      </c>
      <c r="D225" s="186">
        <f ca="1">-SUMIFS(
  desp.m.ik[valor],
  desp.m.ik[nucleo], $B225,
  desp.m.ik[variavel], $B$223,
  desp.m.ik[mes], "&gt;="&amp;D$1,
  desp.m.ik[mes], "&lt;"&amp;EOMONTH(D$1,0)+1
)</f>
        <v>0</v>
      </c>
      <c r="E225" s="186">
        <f ca="1">-SUMIFS(
  desp.m.ik[valor],
  desp.m.ik[nucleo], $B225,
  desp.m.ik[variavel], $B$223,
  desp.m.ik[mes], "&gt;="&amp;E$1,
  desp.m.ik[mes], "&lt;"&amp;EOMONTH(E$1,0)+1
)</f>
        <v>0</v>
      </c>
      <c r="F225" s="186">
        <f ca="1">-SUMIFS(
  desp.m.ik[valor],
  desp.m.ik[nucleo], $B225,
  desp.m.ik[variavel], $B$223,
  desp.m.ik[mes], "&gt;="&amp;F$1,
  desp.m.ik[mes], "&lt;"&amp;EOMONTH(F$1,0)+1
)</f>
        <v>0</v>
      </c>
      <c r="G225" s="186">
        <f ca="1">-SUMIFS(
  desp.m.ik[valor],
  desp.m.ik[nucleo], $B225,
  desp.m.ik[variavel], $B$223,
  desp.m.ik[mes], "&gt;="&amp;G$1,
  desp.m.ik[mes], "&lt;"&amp;EOMONTH(G$1,0)+1
)</f>
        <v>0</v>
      </c>
      <c r="H225" s="186">
        <f ca="1">-SUMIFS(
  desp.m.ik[valor],
  desp.m.ik[nucleo], $B225,
  desp.m.ik[variavel], $B$223,
  desp.m.ik[mes], "&gt;="&amp;H$1,
  desp.m.ik[mes], "&lt;"&amp;EOMONTH(H$1,0)+1
)</f>
        <v>0</v>
      </c>
      <c r="I225" s="186">
        <f ca="1">-SUMIFS(
  desp.m.ik[valor],
  desp.m.ik[nucleo], $B225,
  desp.m.ik[variavel], $B$223,
  desp.m.ik[mes], "&gt;="&amp;I$1,
  desp.m.ik[mes], "&lt;"&amp;EOMONTH(I$1,0)+1
)</f>
        <v>0</v>
      </c>
      <c r="J225" s="186">
        <f ca="1">-SUMIFS(
  desp.m.ik[valor],
  desp.m.ik[nucleo], $B225,
  desp.m.ik[variavel], $B$223,
  desp.m.ik[mes], "&gt;="&amp;J$1,
  desp.m.ik[mes], "&lt;"&amp;EOMONTH(J$1,0)+1
)</f>
        <v>0</v>
      </c>
      <c r="K225" s="186">
        <f ca="1">-SUMIFS(
  desp.m.ik[valor],
  desp.m.ik[nucleo], $B225,
  desp.m.ik[variavel], $B$223,
  desp.m.ik[mes], "&gt;="&amp;K$1,
  desp.m.ik[mes], "&lt;"&amp;EOMONTH(K$1,0)+1
)</f>
        <v>0</v>
      </c>
      <c r="L225" s="186">
        <f ca="1">-SUMIFS(
  desp.m.ik[valor],
  desp.m.ik[nucleo], $B225,
  desp.m.ik[variavel], $B$223,
  desp.m.ik[mes], "&gt;="&amp;L$1,
  desp.m.ik[mes], "&lt;"&amp;EOMONTH(L$1,0)+1
)</f>
        <v>0</v>
      </c>
      <c r="M225" s="186">
        <f ca="1">-SUMIFS(
  desp.m.ik[valor],
  desp.m.ik[nucleo], $B225,
  desp.m.ik[variavel], $B$223,
  desp.m.ik[mes], "&gt;="&amp;M$1,
  desp.m.ik[mes], "&lt;"&amp;EOMONTH(M$1,0)+1
)</f>
        <v>0</v>
      </c>
      <c r="N225" s="186">
        <f ca="1">-SUMIFS(
  desp.m.ik[valor],
  desp.m.ik[nucleo], $B225,
  desp.m.ik[variavel], $B$223,
  desp.m.ik[mes], "&gt;="&amp;N$1,
  desp.m.ik[mes], "&lt;"&amp;EOMONTH(N$1,0)+1
)</f>
        <v>0</v>
      </c>
      <c r="O225" s="186">
        <f ca="1">-SUMIFS(
  desp.m.ik[valor],
  desp.m.ik[nucleo], $B225,
  desp.m.ik[variavel], $B$223,
  desp.m.ik[mes], "&gt;="&amp;O$1,
  desp.m.ik[mes], "&lt;"&amp;EOMONTH(O$1,0)+1
)</f>
        <v>0</v>
      </c>
      <c r="P225" s="186">
        <f ca="1">-SUMIFS(
  desp.m.ik[valor],
  desp.m.ik[nucleo], $B225,
  desp.m.ik[variavel], $B$223,
  desp.m.ik[mes], "&gt;="&amp;P$1,
  desp.m.ik[mes], "&lt;"&amp;EOMONTH(P$1,0)+1
)</f>
        <v>0</v>
      </c>
      <c r="Q225" s="186">
        <f ca="1">-SUMIFS(
  desp.m.ik[valor],
  desp.m.ik[nucleo], $B225,
  desp.m.ik[variavel], $B$223,
  desp.m.ik[mes], "&gt;="&amp;Q$1,
  desp.m.ik[mes], "&lt;"&amp;EOMONTH(Q$1,0)+1
)</f>
        <v>0</v>
      </c>
      <c r="R225" s="186">
        <f ca="1">-SUMIFS(
  desp.m.ik[valor],
  desp.m.ik[nucleo], $B225,
  desp.m.ik[variavel], $B$223,
  desp.m.ik[mes], "&gt;="&amp;R$1,
  desp.m.ik[mes], "&lt;"&amp;EOMONTH(R$1,0)+1
)</f>
        <v>0</v>
      </c>
      <c r="S225" s="186">
        <f ca="1">-SUMIFS(
  desp.m.ik[valor],
  desp.m.ik[nucleo], $B225,
  desp.m.ik[variavel], $B$223,
  desp.m.ik[mes], "&gt;="&amp;S$1,
  desp.m.ik[mes], "&lt;"&amp;EOMONTH(S$1,0)+1
)</f>
        <v>0</v>
      </c>
      <c r="T225" s="186">
        <f ca="1">-SUMIFS(
  desp.m.ik[valor],
  desp.m.ik[nucleo], $B225,
  desp.m.ik[variavel], $B$223,
  desp.m.ik[mes], "&gt;="&amp;T$1,
  desp.m.ik[mes], "&lt;"&amp;EOMONTH(T$1,0)+1
)</f>
        <v>0</v>
      </c>
      <c r="U225" s="186">
        <f ca="1">-SUMIFS(
  desp.m.ik[valor],
  desp.m.ik[nucleo], $B225,
  desp.m.ik[variavel], $B$223,
  desp.m.ik[mes], "&gt;="&amp;U$1,
  desp.m.ik[mes], "&lt;"&amp;EOMONTH(U$1,0)+1
)</f>
        <v>0</v>
      </c>
      <c r="V225" s="186">
        <f ca="1">-SUMIFS(
  desp.m.ik[valor],
  desp.m.ik[nucleo], $B225,
  desp.m.ik[variavel], $B$223,
  desp.m.ik[mes], "&gt;="&amp;V$1,
  desp.m.ik[mes], "&lt;"&amp;EOMONTH(V$1,0)+1
)</f>
        <v>0</v>
      </c>
      <c r="W225" s="186">
        <f ca="1">-SUMIFS(
  desp.m.ik[valor],
  desp.m.ik[nucleo], $B225,
  desp.m.ik[variavel], $B$223,
  desp.m.ik[mes], "&gt;="&amp;W$1,
  desp.m.ik[mes], "&lt;"&amp;EOMONTH(W$1,0)+1
)</f>
        <v>0</v>
      </c>
      <c r="X225" s="186">
        <f ca="1">-SUMIFS(
  desp.m.ik[valor],
  desp.m.ik[nucleo], $B225,
  desp.m.ik[variavel], $B$223,
  desp.m.ik[mes], "&gt;="&amp;X$1,
  desp.m.ik[mes], "&lt;"&amp;EOMONTH(X$1,0)+1
)</f>
        <v>0</v>
      </c>
      <c r="Y225" s="186">
        <f ca="1">-SUMIFS(
  desp.m.ik[valor],
  desp.m.ik[nucleo], $B225,
  desp.m.ik[variavel], $B$223,
  desp.m.ik[mes], "&gt;="&amp;Y$1,
  desp.m.ik[mes], "&lt;"&amp;EOMONTH(Y$1,0)+1
)</f>
        <v>0</v>
      </c>
      <c r="Z225" s="186">
        <f ca="1">-SUMIFS(
  desp.m.ik[valor],
  desp.m.ik[nucleo], $B225,
  desp.m.ik[variavel], $B$223,
  desp.m.ik[mes], "&gt;="&amp;Z$1,
  desp.m.ik[mes], "&lt;"&amp;EOMONTH(Z$1,0)+1
)</f>
        <v>0</v>
      </c>
      <c r="AA225" s="186">
        <f ca="1">-SUMIFS(
  desp.m.ik[valor],
  desp.m.ik[nucleo], $B225,
  desp.m.ik[variavel], $B$223,
  desp.m.ik[mes], "&gt;="&amp;AA$1,
  desp.m.ik[mes], "&lt;"&amp;EOMONTH(AA$1,0)+1
)</f>
        <v>0</v>
      </c>
      <c r="AC225" s="178">
        <f t="shared" ca="1" si="41"/>
        <v>0</v>
      </c>
      <c r="AE225" s="178">
        <f t="shared" ca="1" si="40"/>
        <v>0</v>
      </c>
    </row>
    <row r="226" spans="1:31" hidden="1" outlineLevel="2" x14ac:dyDescent="0.25">
      <c r="A226" s="185" t="s">
        <v>655</v>
      </c>
      <c r="B226" s="185" t="s">
        <v>1040</v>
      </c>
      <c r="C226" s="138" t="s">
        <v>514</v>
      </c>
      <c r="D226" s="186">
        <f ca="1">-SUMIFS(
  desp.m.ik[valor],
  desp.m.ik[nucleo], $B226,
  desp.m.ik[variavel], $B$223,
  desp.m.ik[mes], "&gt;="&amp;D$1,
  desp.m.ik[mes], "&lt;"&amp;EOMONTH(D$1,0)+1
)</f>
        <v>0</v>
      </c>
      <c r="E226" s="186">
        <f ca="1">-SUMIFS(
  desp.m.ik[valor],
  desp.m.ik[nucleo], $B226,
  desp.m.ik[variavel], $B$223,
  desp.m.ik[mes], "&gt;="&amp;E$1,
  desp.m.ik[mes], "&lt;"&amp;EOMONTH(E$1,0)+1
)</f>
        <v>0</v>
      </c>
      <c r="F226" s="186">
        <f ca="1">-SUMIFS(
  desp.m.ik[valor],
  desp.m.ik[nucleo], $B226,
  desp.m.ik[variavel], $B$223,
  desp.m.ik[mes], "&gt;="&amp;F$1,
  desp.m.ik[mes], "&lt;"&amp;EOMONTH(F$1,0)+1
)</f>
        <v>0</v>
      </c>
      <c r="G226" s="186">
        <f ca="1">-SUMIFS(
  desp.m.ik[valor],
  desp.m.ik[nucleo], $B226,
  desp.m.ik[variavel], $B$223,
  desp.m.ik[mes], "&gt;="&amp;G$1,
  desp.m.ik[mes], "&lt;"&amp;EOMONTH(G$1,0)+1
)</f>
        <v>0</v>
      </c>
      <c r="H226" s="297">
        <f ca="1">-SUMIFS(
  desp.m.ik[valor],
  desp.m.ik[nucleo], $B226,
  desp.m.ik[variavel], $B$223,
  desp.m.ik[mes], "&gt;="&amp;H$1,
  desp.m.ik[mes], "&lt;"&amp;EOMONTH(H$1,0)+1
)-5405358.06</f>
        <v>-5405358.0599999996</v>
      </c>
      <c r="I226" s="186">
        <f ca="1">-SUMIFS(
  desp.m.ik[valor],
  desp.m.ik[nucleo], $B226,
  desp.m.ik[variavel], $B$223,
  desp.m.ik[mes], "&gt;="&amp;I$1,
  desp.m.ik[mes], "&lt;"&amp;EOMONTH(I$1,0)+1
)</f>
        <v>0</v>
      </c>
      <c r="J226" s="297">
        <f ca="1">-SUMIFS(
  desp.m.ik[valor],
  desp.m.ik[nucleo], $B226,
  desp.m.ik[variavel], $B$223,
  desp.m.ik[mes], "&gt;="&amp;J$1,
  desp.m.ik[mes], "&lt;"&amp;EOMONTH(J$1,0)+1
)-994999.95</f>
        <v>-994999.95</v>
      </c>
      <c r="K226" s="186">
        <f ca="1">-SUMIFS(
  desp.m.ik[valor],
  desp.m.ik[nucleo], $B226,
  desp.m.ik[variavel], $B$223,
  desp.m.ik[mes], "&gt;="&amp;K$1,
  desp.m.ik[mes], "&lt;"&amp;EOMONTH(K$1,0)+1
)</f>
        <v>0</v>
      </c>
      <c r="L226" s="186">
        <f ca="1">-SUMIFS(
  desp.m.ik[valor],
  desp.m.ik[nucleo], $B226,
  desp.m.ik[variavel], $B$223,
  desp.m.ik[mes], "&gt;="&amp;L$1,
  desp.m.ik[mes], "&lt;"&amp;EOMONTH(L$1,0)+1
)</f>
        <v>0</v>
      </c>
      <c r="M226" s="186">
        <f ca="1">-SUMIFS(
  desp.m.ik[valor],
  desp.m.ik[nucleo], $B226,
  desp.m.ik[variavel], $B$223,
  desp.m.ik[mes], "&gt;="&amp;M$1,
  desp.m.ik[mes], "&lt;"&amp;EOMONTH(M$1,0)+1
)</f>
        <v>0</v>
      </c>
      <c r="N226" s="186">
        <f ca="1">-SUMIFS(
  desp.m.ik[valor],
  desp.m.ik[nucleo], $B226,
  desp.m.ik[variavel], $B$223,
  desp.m.ik[mes], "&gt;="&amp;N$1,
  desp.m.ik[mes], "&lt;"&amp;EOMONTH(N$1,0)+1
)</f>
        <v>0</v>
      </c>
      <c r="O226" s="186">
        <f ca="1">-SUMIFS(
  desp.m.ik[valor],
  desp.m.ik[nucleo], $B226,
  desp.m.ik[variavel], $B$223,
  desp.m.ik[mes], "&gt;="&amp;O$1,
  desp.m.ik[mes], "&lt;"&amp;EOMONTH(O$1,0)+1
)</f>
        <v>0</v>
      </c>
      <c r="P226" s="186">
        <f ca="1">-SUMIFS(
  desp.m.ik[valor],
  desp.m.ik[nucleo], $B226,
  desp.m.ik[variavel], $B$223,
  desp.m.ik[mes], "&gt;="&amp;P$1,
  desp.m.ik[mes], "&lt;"&amp;EOMONTH(P$1,0)+1
)</f>
        <v>0</v>
      </c>
      <c r="Q226" s="186">
        <f ca="1">-SUMIFS(
  desp.m.ik[valor],
  desp.m.ik[nucleo], $B226,
  desp.m.ik[variavel], $B$223,
  desp.m.ik[mes], "&gt;="&amp;Q$1,
  desp.m.ik[mes], "&lt;"&amp;EOMONTH(Q$1,0)+1
)</f>
        <v>0</v>
      </c>
      <c r="R226" s="186">
        <f ca="1">-SUMIFS(
  desp.m.ik[valor],
  desp.m.ik[nucleo], $B226,
  desp.m.ik[variavel], $B$223,
  desp.m.ik[mes], "&gt;="&amp;R$1,
  desp.m.ik[mes], "&lt;"&amp;EOMONTH(R$1,0)+1
)</f>
        <v>0</v>
      </c>
      <c r="S226" s="186">
        <f ca="1">-SUMIFS(
  desp.m.ik[valor],
  desp.m.ik[nucleo], $B226,
  desp.m.ik[variavel], $B$223,
  desp.m.ik[mes], "&gt;="&amp;S$1,
  desp.m.ik[mes], "&lt;"&amp;EOMONTH(S$1,0)+1
)</f>
        <v>0</v>
      </c>
      <c r="T226" s="186">
        <f ca="1">-SUMIFS(
  desp.m.ik[valor],
  desp.m.ik[nucleo], $B226,
  desp.m.ik[variavel], $B$223,
  desp.m.ik[mes], "&gt;="&amp;T$1,
  desp.m.ik[mes], "&lt;"&amp;EOMONTH(T$1,0)+1
)</f>
        <v>0</v>
      </c>
      <c r="U226" s="186">
        <f ca="1">-SUMIFS(
  desp.m.ik[valor],
  desp.m.ik[nucleo], $B226,
  desp.m.ik[variavel], $B$223,
  desp.m.ik[mes], "&gt;="&amp;U$1,
  desp.m.ik[mes], "&lt;"&amp;EOMONTH(U$1,0)+1
)</f>
        <v>0</v>
      </c>
      <c r="V226" s="186">
        <f ca="1">-SUMIFS(
  desp.m.ik[valor],
  desp.m.ik[nucleo], $B226,
  desp.m.ik[variavel], $B$223,
  desp.m.ik[mes], "&gt;="&amp;V$1,
  desp.m.ik[mes], "&lt;"&amp;EOMONTH(V$1,0)+1
)</f>
        <v>0</v>
      </c>
      <c r="W226" s="186">
        <f ca="1">-SUMIFS(
  desp.m.ik[valor],
  desp.m.ik[nucleo], $B226,
  desp.m.ik[variavel], $B$223,
  desp.m.ik[mes], "&gt;="&amp;W$1,
  desp.m.ik[mes], "&lt;"&amp;EOMONTH(W$1,0)+1
)</f>
        <v>0</v>
      </c>
      <c r="X226" s="186">
        <f ca="1">-SUMIFS(
  desp.m.ik[valor],
  desp.m.ik[nucleo], $B226,
  desp.m.ik[variavel], $B$223,
  desp.m.ik[mes], "&gt;="&amp;X$1,
  desp.m.ik[mes], "&lt;"&amp;EOMONTH(X$1,0)+1
)</f>
        <v>0</v>
      </c>
      <c r="Y226" s="186">
        <f ca="1">-SUMIFS(
  desp.m.ik[valor],
  desp.m.ik[nucleo], $B226,
  desp.m.ik[variavel], $B$223,
  desp.m.ik[mes], "&gt;="&amp;Y$1,
  desp.m.ik[mes], "&lt;"&amp;EOMONTH(Y$1,0)+1
)</f>
        <v>0</v>
      </c>
      <c r="Z226" s="186">
        <f ca="1">-SUMIFS(
  desp.m.ik[valor],
  desp.m.ik[nucleo], $B226,
  desp.m.ik[variavel], $B$223,
  desp.m.ik[mes], "&gt;="&amp;Z$1,
  desp.m.ik[mes], "&lt;"&amp;EOMONTH(Z$1,0)+1
)</f>
        <v>0</v>
      </c>
      <c r="AA226" s="186">
        <f ca="1">-SUMIFS(
  desp.m.ik[valor],
  desp.m.ik[nucleo], $B226,
  desp.m.ik[variavel], $B$223,
  desp.m.ik[mes], "&gt;="&amp;AA$1,
  desp.m.ik[mes], "&lt;"&amp;EOMONTH(AA$1,0)+1
)</f>
        <v>0</v>
      </c>
      <c r="AC226" s="178">
        <f t="shared" ca="1" si="41"/>
        <v>-6400358.0099999998</v>
      </c>
      <c r="AE226" s="178">
        <f t="shared" ca="1" si="40"/>
        <v>-6400358.0099999998</v>
      </c>
    </row>
    <row r="227" spans="1:31" hidden="1" outlineLevel="2" x14ac:dyDescent="0.25">
      <c r="A227" s="185" t="s">
        <v>656</v>
      </c>
      <c r="B227" s="185" t="s">
        <v>556</v>
      </c>
      <c r="C227" s="138" t="s">
        <v>514</v>
      </c>
      <c r="D227" s="186">
        <f ca="1">-SUMIFS(
  desp.m.ik[valor],
  desp.m.ik[nucleo], $B227,
  desp.m.ik[variavel], $B$223,
  desp.m.ik[mes], "&gt;="&amp;D$1,
  desp.m.ik[mes], "&lt;"&amp;EOMONTH(D$1,0)+1
)</f>
        <v>0</v>
      </c>
      <c r="E227" s="186">
        <f ca="1">-SUMIFS(
  desp.m.ik[valor],
  desp.m.ik[nucleo], $B227,
  desp.m.ik[variavel], $B$223,
  desp.m.ik[mes], "&gt;="&amp;E$1,
  desp.m.ik[mes], "&lt;"&amp;EOMONTH(E$1,0)+1
)</f>
        <v>0</v>
      </c>
      <c r="F227" s="186">
        <f ca="1">-SUMIFS(
  desp.m.ik[valor],
  desp.m.ik[nucleo], $B227,
  desp.m.ik[variavel], $B$223,
  desp.m.ik[mes], "&gt;="&amp;F$1,
  desp.m.ik[mes], "&lt;"&amp;EOMONTH(F$1,0)+1
)</f>
        <v>0</v>
      </c>
      <c r="G227" s="186">
        <f ca="1">-SUMIFS(
  desp.m.ik[valor],
  desp.m.ik[nucleo], $B227,
  desp.m.ik[variavel], $B$223,
  desp.m.ik[mes], "&gt;="&amp;G$1,
  desp.m.ik[mes], "&lt;"&amp;EOMONTH(G$1,0)+1
)</f>
        <v>0</v>
      </c>
      <c r="H227" s="297">
        <f ca="1">-SUMIFS(
  desp.m.ik[valor],
  desp.m.ik[nucleo], $B227,
  desp.m.ik[variavel], $B$223,
  desp.m.ik[mes], "&gt;="&amp;H$1,
  desp.m.ik[mes], "&lt;"&amp;EOMONTH(H$1,0)+1
)-4295585</f>
        <v>-4295585</v>
      </c>
      <c r="I227" s="186">
        <f ca="1">-SUMIFS(
  desp.m.ik[valor],
  desp.m.ik[nucleo], $B227,
  desp.m.ik[variavel], $B$223,
  desp.m.ik[mes], "&gt;="&amp;I$1,
  desp.m.ik[mes], "&lt;"&amp;EOMONTH(I$1,0)+1
)</f>
        <v>0</v>
      </c>
      <c r="J227" s="297">
        <f ca="1">-SUMIFS(
  desp.m.ik[valor],
  desp.m.ik[nucleo], $B227,
  desp.m.ik[variavel], $B$223,
  desp.m.ik[mes], "&gt;="&amp;J$1,
  desp.m.ik[mes], "&lt;"&amp;EOMONTH(J$1,0)+1
)-1855585</f>
        <v>-1855585</v>
      </c>
      <c r="K227" s="186">
        <f ca="1">-SUMIFS(
  desp.m.ik[valor],
  desp.m.ik[nucleo], $B227,
  desp.m.ik[variavel], $B$223,
  desp.m.ik[mes], "&gt;="&amp;K$1,
  desp.m.ik[mes], "&lt;"&amp;EOMONTH(K$1,0)+1
)</f>
        <v>0</v>
      </c>
      <c r="L227" s="186">
        <f ca="1">-SUMIFS(
  desp.m.ik[valor],
  desp.m.ik[nucleo], $B227,
  desp.m.ik[variavel], $B$223,
  desp.m.ik[mes], "&gt;="&amp;L$1,
  desp.m.ik[mes], "&lt;"&amp;EOMONTH(L$1,0)+1
)</f>
        <v>0</v>
      </c>
      <c r="M227" s="186">
        <f ca="1">-SUMIFS(
  desp.m.ik[valor],
  desp.m.ik[nucleo], $B227,
  desp.m.ik[variavel], $B$223,
  desp.m.ik[mes], "&gt;="&amp;M$1,
  desp.m.ik[mes], "&lt;"&amp;EOMONTH(M$1,0)+1
)</f>
        <v>0</v>
      </c>
      <c r="N227" s="186">
        <f ca="1">-SUMIFS(
  desp.m.ik[valor],
  desp.m.ik[nucleo], $B227,
  desp.m.ik[variavel], $B$223,
  desp.m.ik[mes], "&gt;="&amp;N$1,
  desp.m.ik[mes], "&lt;"&amp;EOMONTH(N$1,0)+1
)</f>
        <v>0</v>
      </c>
      <c r="O227" s="186">
        <f ca="1">-SUMIFS(
  desp.m.ik[valor],
  desp.m.ik[nucleo], $B227,
  desp.m.ik[variavel], $B$223,
  desp.m.ik[mes], "&gt;="&amp;O$1,
  desp.m.ik[mes], "&lt;"&amp;EOMONTH(O$1,0)+1
)</f>
        <v>0</v>
      </c>
      <c r="P227" s="186">
        <f ca="1">-SUMIFS(
  desp.m.ik[valor],
  desp.m.ik[nucleo], $B227,
  desp.m.ik[variavel], $B$223,
  desp.m.ik[mes], "&gt;="&amp;P$1,
  desp.m.ik[mes], "&lt;"&amp;EOMONTH(P$1,0)+1
)</f>
        <v>0</v>
      </c>
      <c r="Q227" s="186">
        <f ca="1">-SUMIFS(
  desp.m.ik[valor],
  desp.m.ik[nucleo], $B227,
  desp.m.ik[variavel], $B$223,
  desp.m.ik[mes], "&gt;="&amp;Q$1,
  desp.m.ik[mes], "&lt;"&amp;EOMONTH(Q$1,0)+1
)</f>
        <v>0</v>
      </c>
      <c r="R227" s="186">
        <f ca="1">-SUMIFS(
  desp.m.ik[valor],
  desp.m.ik[nucleo], $B227,
  desp.m.ik[variavel], $B$223,
  desp.m.ik[mes], "&gt;="&amp;R$1,
  desp.m.ik[mes], "&lt;"&amp;EOMONTH(R$1,0)+1
)</f>
        <v>0</v>
      </c>
      <c r="S227" s="186">
        <f ca="1">-SUMIFS(
  desp.m.ik[valor],
  desp.m.ik[nucleo], $B227,
  desp.m.ik[variavel], $B$223,
  desp.m.ik[mes], "&gt;="&amp;S$1,
  desp.m.ik[mes], "&lt;"&amp;EOMONTH(S$1,0)+1
)</f>
        <v>0</v>
      </c>
      <c r="T227" s="186">
        <f ca="1">-SUMIFS(
  desp.m.ik[valor],
  desp.m.ik[nucleo], $B227,
  desp.m.ik[variavel], $B$223,
  desp.m.ik[mes], "&gt;="&amp;T$1,
  desp.m.ik[mes], "&lt;"&amp;EOMONTH(T$1,0)+1
)</f>
        <v>0</v>
      </c>
      <c r="U227" s="186">
        <f ca="1">-SUMIFS(
  desp.m.ik[valor],
  desp.m.ik[nucleo], $B227,
  desp.m.ik[variavel], $B$223,
  desp.m.ik[mes], "&gt;="&amp;U$1,
  desp.m.ik[mes], "&lt;"&amp;EOMONTH(U$1,0)+1
)</f>
        <v>0</v>
      </c>
      <c r="V227" s="186">
        <f ca="1">-SUMIFS(
  desp.m.ik[valor],
  desp.m.ik[nucleo], $B227,
  desp.m.ik[variavel], $B$223,
  desp.m.ik[mes], "&gt;="&amp;V$1,
  desp.m.ik[mes], "&lt;"&amp;EOMONTH(V$1,0)+1
)</f>
        <v>0</v>
      </c>
      <c r="W227" s="186">
        <f ca="1">-SUMIFS(
  desp.m.ik[valor],
  desp.m.ik[nucleo], $B227,
  desp.m.ik[variavel], $B$223,
  desp.m.ik[mes], "&gt;="&amp;W$1,
  desp.m.ik[mes], "&lt;"&amp;EOMONTH(W$1,0)+1
)</f>
        <v>0</v>
      </c>
      <c r="X227" s="186">
        <f ca="1">-SUMIFS(
  desp.m.ik[valor],
  desp.m.ik[nucleo], $B227,
  desp.m.ik[variavel], $B$223,
  desp.m.ik[mes], "&gt;="&amp;X$1,
  desp.m.ik[mes], "&lt;"&amp;EOMONTH(X$1,0)+1
)</f>
        <v>0</v>
      </c>
      <c r="Y227" s="186">
        <f ca="1">-SUMIFS(
  desp.m.ik[valor],
  desp.m.ik[nucleo], $B227,
  desp.m.ik[variavel], $B$223,
  desp.m.ik[mes], "&gt;="&amp;Y$1,
  desp.m.ik[mes], "&lt;"&amp;EOMONTH(Y$1,0)+1
)</f>
        <v>0</v>
      </c>
      <c r="Z227" s="186">
        <f ca="1">-SUMIFS(
  desp.m.ik[valor],
  desp.m.ik[nucleo], $B227,
  desp.m.ik[variavel], $B$223,
  desp.m.ik[mes], "&gt;="&amp;Z$1,
  desp.m.ik[mes], "&lt;"&amp;EOMONTH(Z$1,0)+1
)</f>
        <v>0</v>
      </c>
      <c r="AA227" s="186">
        <f ca="1">-SUMIFS(
  desp.m.ik[valor],
  desp.m.ik[nucleo], $B227,
  desp.m.ik[variavel], $B$223,
  desp.m.ik[mes], "&gt;="&amp;AA$1,
  desp.m.ik[mes], "&lt;"&amp;EOMONTH(AA$1,0)+1
)</f>
        <v>0</v>
      </c>
      <c r="AC227" s="178">
        <f t="shared" ca="1" si="41"/>
        <v>-6151170</v>
      </c>
      <c r="AE227" s="178">
        <f t="shared" ca="1" si="40"/>
        <v>-6151170</v>
      </c>
    </row>
    <row r="228" spans="1:31" hidden="1" outlineLevel="2" x14ac:dyDescent="0.25">
      <c r="A228" s="185" t="s">
        <v>646</v>
      </c>
      <c r="B228" s="185" t="s">
        <v>546</v>
      </c>
      <c r="C228" s="138" t="s">
        <v>514</v>
      </c>
      <c r="D228" s="186">
        <f ca="1">-SUMIFS(
  desp.m.ik[valor],
  desp.m.ik[nucleo], $B228,
  desp.m.ik[variavel], $B$223,
  desp.m.ik[mes], "&gt;="&amp;D$1,
  desp.m.ik[mes], "&lt;"&amp;EOMONTH(D$1,0)+1
)</f>
        <v>0</v>
      </c>
      <c r="E228" s="186">
        <f ca="1">-SUMIFS(
  desp.m.ik[valor],
  desp.m.ik[nucleo], $B228,
  desp.m.ik[variavel], $B$223,
  desp.m.ik[mes], "&gt;="&amp;E$1,
  desp.m.ik[mes], "&lt;"&amp;EOMONTH(E$1,0)+1
)</f>
        <v>0</v>
      </c>
      <c r="F228" s="186">
        <f ca="1">-SUMIFS(
  desp.m.ik[valor],
  desp.m.ik[nucleo], $B228,
  desp.m.ik[variavel], $B$223,
  desp.m.ik[mes], "&gt;="&amp;F$1,
  desp.m.ik[mes], "&lt;"&amp;EOMONTH(F$1,0)+1
)</f>
        <v>0</v>
      </c>
      <c r="G228" s="186">
        <f ca="1">-SUMIFS(
  desp.m.ik[valor],
  desp.m.ik[nucleo], $B228,
  desp.m.ik[variavel], $B$223,
  desp.m.ik[mes], "&gt;="&amp;G$1,
  desp.m.ik[mes], "&lt;"&amp;EOMONTH(G$1,0)+1
)</f>
        <v>0</v>
      </c>
      <c r="H228" s="297">
        <f ca="1">-SUMIFS(
  desp.m.ik[valor],
  desp.m.ik[nucleo], $B228,
  desp.m.ik[variavel], $B$223,
  desp.m.ik[mes], "&gt;="&amp;H$1,
  desp.m.ik[mes], "&lt;"&amp;EOMONTH(H$1,0)+1
)-944552</f>
        <v>-944552</v>
      </c>
      <c r="I228" s="186">
        <f ca="1">-SUMIFS(
  desp.m.ik[valor],
  desp.m.ik[nucleo], $B228,
  desp.m.ik[variavel], $B$223,
  desp.m.ik[mes], "&gt;="&amp;I$1,
  desp.m.ik[mes], "&lt;"&amp;EOMONTH(I$1,0)+1
)</f>
        <v>0</v>
      </c>
      <c r="J228" s="186">
        <f ca="1">-SUMIFS(
  desp.m.ik[valor],
  desp.m.ik[nucleo], $B228,
  desp.m.ik[variavel], $B$223,
  desp.m.ik[mes], "&gt;="&amp;J$1,
  desp.m.ik[mes], "&lt;"&amp;EOMONTH(J$1,0)+1
)</f>
        <v>0</v>
      </c>
      <c r="K228" s="186">
        <f ca="1">-SUMIFS(
  desp.m.ik[valor],
  desp.m.ik[nucleo], $B228,
  desp.m.ik[variavel], $B$223,
  desp.m.ik[mes], "&gt;="&amp;K$1,
  desp.m.ik[mes], "&lt;"&amp;EOMONTH(K$1,0)+1
)</f>
        <v>0</v>
      </c>
      <c r="L228" s="186">
        <f ca="1">-SUMIFS(
  desp.m.ik[valor],
  desp.m.ik[nucleo], $B228,
  desp.m.ik[variavel], $B$223,
  desp.m.ik[mes], "&gt;="&amp;L$1,
  desp.m.ik[mes], "&lt;"&amp;EOMONTH(L$1,0)+1
)</f>
        <v>0</v>
      </c>
      <c r="M228" s="186">
        <f ca="1">-SUMIFS(
  desp.m.ik[valor],
  desp.m.ik[nucleo], $B228,
  desp.m.ik[variavel], $B$223,
  desp.m.ik[mes], "&gt;="&amp;M$1,
  desp.m.ik[mes], "&lt;"&amp;EOMONTH(M$1,0)+1
)</f>
        <v>0</v>
      </c>
      <c r="N228" s="186">
        <f ca="1">-SUMIFS(
  desp.m.ik[valor],
  desp.m.ik[nucleo], $B228,
  desp.m.ik[variavel], $B$223,
  desp.m.ik[mes], "&gt;="&amp;N$1,
  desp.m.ik[mes], "&lt;"&amp;EOMONTH(N$1,0)+1
)</f>
        <v>0</v>
      </c>
      <c r="O228" s="186">
        <f ca="1">-SUMIFS(
  desp.m.ik[valor],
  desp.m.ik[nucleo], $B228,
  desp.m.ik[variavel], $B$223,
  desp.m.ik[mes], "&gt;="&amp;O$1,
  desp.m.ik[mes], "&lt;"&amp;EOMONTH(O$1,0)+1
)</f>
        <v>0</v>
      </c>
      <c r="P228" s="186">
        <f ca="1">-SUMIFS(
  desp.m.ik[valor],
  desp.m.ik[nucleo], $B228,
  desp.m.ik[variavel], $B$223,
  desp.m.ik[mes], "&gt;="&amp;P$1,
  desp.m.ik[mes], "&lt;"&amp;EOMONTH(P$1,0)+1
)</f>
        <v>0</v>
      </c>
      <c r="Q228" s="186">
        <f ca="1">-SUMIFS(
  desp.m.ik[valor],
  desp.m.ik[nucleo], $B228,
  desp.m.ik[variavel], $B$223,
  desp.m.ik[mes], "&gt;="&amp;Q$1,
  desp.m.ik[mes], "&lt;"&amp;EOMONTH(Q$1,0)+1
)</f>
        <v>0</v>
      </c>
      <c r="R228" s="186">
        <f ca="1">-SUMIFS(
  desp.m.ik[valor],
  desp.m.ik[nucleo], $B228,
  desp.m.ik[variavel], $B$223,
  desp.m.ik[mes], "&gt;="&amp;R$1,
  desp.m.ik[mes], "&lt;"&amp;EOMONTH(R$1,0)+1
)</f>
        <v>0</v>
      </c>
      <c r="S228" s="186">
        <f ca="1">-SUMIFS(
  desp.m.ik[valor],
  desp.m.ik[nucleo], $B228,
  desp.m.ik[variavel], $B$223,
  desp.m.ik[mes], "&gt;="&amp;S$1,
  desp.m.ik[mes], "&lt;"&amp;EOMONTH(S$1,0)+1
)</f>
        <v>0</v>
      </c>
      <c r="T228" s="186">
        <f ca="1">-SUMIFS(
  desp.m.ik[valor],
  desp.m.ik[nucleo], $B228,
  desp.m.ik[variavel], $B$223,
  desp.m.ik[mes], "&gt;="&amp;T$1,
  desp.m.ik[mes], "&lt;"&amp;EOMONTH(T$1,0)+1
)</f>
        <v>0</v>
      </c>
      <c r="U228" s="186">
        <f ca="1">-SUMIFS(
  desp.m.ik[valor],
  desp.m.ik[nucleo], $B228,
  desp.m.ik[variavel], $B$223,
  desp.m.ik[mes], "&gt;="&amp;U$1,
  desp.m.ik[mes], "&lt;"&amp;EOMONTH(U$1,0)+1
)</f>
        <v>0</v>
      </c>
      <c r="V228" s="186">
        <f ca="1">-SUMIFS(
  desp.m.ik[valor],
  desp.m.ik[nucleo], $B228,
  desp.m.ik[variavel], $B$223,
  desp.m.ik[mes], "&gt;="&amp;V$1,
  desp.m.ik[mes], "&lt;"&amp;EOMONTH(V$1,0)+1
)</f>
        <v>0</v>
      </c>
      <c r="W228" s="186">
        <f ca="1">-SUMIFS(
  desp.m.ik[valor],
  desp.m.ik[nucleo], $B228,
  desp.m.ik[variavel], $B$223,
  desp.m.ik[mes], "&gt;="&amp;W$1,
  desp.m.ik[mes], "&lt;"&amp;EOMONTH(W$1,0)+1
)</f>
        <v>0</v>
      </c>
      <c r="X228" s="186">
        <f ca="1">-SUMIFS(
  desp.m.ik[valor],
  desp.m.ik[nucleo], $B228,
  desp.m.ik[variavel], $B$223,
  desp.m.ik[mes], "&gt;="&amp;X$1,
  desp.m.ik[mes], "&lt;"&amp;EOMONTH(X$1,0)+1
)</f>
        <v>0</v>
      </c>
      <c r="Y228" s="186">
        <f ca="1">-SUMIFS(
  desp.m.ik[valor],
  desp.m.ik[nucleo], $B228,
  desp.m.ik[variavel], $B$223,
  desp.m.ik[mes], "&gt;="&amp;Y$1,
  desp.m.ik[mes], "&lt;"&amp;EOMONTH(Y$1,0)+1
)</f>
        <v>0</v>
      </c>
      <c r="Z228" s="186">
        <f ca="1">-SUMIFS(
  desp.m.ik[valor],
  desp.m.ik[nucleo], $B228,
  desp.m.ik[variavel], $B$223,
  desp.m.ik[mes], "&gt;="&amp;Z$1,
  desp.m.ik[mes], "&lt;"&amp;EOMONTH(Z$1,0)+1
)</f>
        <v>0</v>
      </c>
      <c r="AA228" s="186">
        <f ca="1">-SUMIFS(
  desp.m.ik[valor],
  desp.m.ik[nucleo], $B228,
  desp.m.ik[variavel], $B$223,
  desp.m.ik[mes], "&gt;="&amp;AA$1,
  desp.m.ik[mes], "&lt;"&amp;EOMONTH(AA$1,0)+1
)</f>
        <v>0</v>
      </c>
      <c r="AC228" s="178">
        <f t="shared" ca="1" si="41"/>
        <v>-944552</v>
      </c>
      <c r="AE228" s="178">
        <f ca="1">SUM(D228:AA228)</f>
        <v>-944552</v>
      </c>
    </row>
    <row r="229" spans="1:31" hidden="1" outlineLevel="2" x14ac:dyDescent="0.25">
      <c r="A229" s="185" t="s">
        <v>645</v>
      </c>
      <c r="B229" s="185" t="s">
        <v>531</v>
      </c>
      <c r="C229" s="138" t="s">
        <v>514</v>
      </c>
      <c r="D229" s="186">
        <f ca="1">-SUMIFS(
  desp.m.ik[valor],
  desp.m.ik[nucleo], $B229,
  desp.m.ik[variavel], $B$223,
  desp.m.ik[mes], "&gt;="&amp;D$1,
  desp.m.ik[mes], "&lt;"&amp;EOMONTH(D$1,0)+1
)</f>
        <v>0</v>
      </c>
      <c r="E229" s="186">
        <f ca="1">-SUMIFS(
  desp.m.ik[valor],
  desp.m.ik[nucleo], $B229,
  desp.m.ik[variavel], $B$223,
  desp.m.ik[mes], "&gt;="&amp;E$1,
  desp.m.ik[mes], "&lt;"&amp;EOMONTH(E$1,0)+1
)</f>
        <v>0</v>
      </c>
      <c r="F229" s="186">
        <f ca="1">-SUMIFS(
  desp.m.ik[valor],
  desp.m.ik[nucleo], $B229,
  desp.m.ik[variavel], $B$223,
  desp.m.ik[mes], "&gt;="&amp;F$1,
  desp.m.ik[mes], "&lt;"&amp;EOMONTH(F$1,0)+1
)</f>
        <v>0</v>
      </c>
      <c r="G229" s="186">
        <f ca="1">-SUMIFS(
  desp.m.ik[valor],
  desp.m.ik[nucleo], $B229,
  desp.m.ik[variavel], $B$223,
  desp.m.ik[mes], "&gt;="&amp;G$1,
  desp.m.ik[mes], "&lt;"&amp;EOMONTH(G$1,0)+1
)</f>
        <v>0</v>
      </c>
      <c r="H229" s="186">
        <f ca="1">-SUMIFS(
  desp.m.ik[valor],
  desp.m.ik[nucleo], $B229,
  desp.m.ik[variavel], $B$223,
  desp.m.ik[mes], "&gt;="&amp;H$1,
  desp.m.ik[mes], "&lt;"&amp;EOMONTH(H$1,0)+1
)</f>
        <v>0</v>
      </c>
      <c r="I229" s="186">
        <f ca="1">-SUMIFS(
  desp.m.ik[valor],
  desp.m.ik[nucleo], $B229,
  desp.m.ik[variavel], $B$223,
  desp.m.ik[mes], "&gt;="&amp;I$1,
  desp.m.ik[mes], "&lt;"&amp;EOMONTH(I$1,0)+1
)</f>
        <v>0</v>
      </c>
      <c r="J229" s="186">
        <f ca="1">-SUMIFS(
  desp.m.ik[valor],
  desp.m.ik[nucleo], $B229,
  desp.m.ik[variavel], $B$223,
  desp.m.ik[mes], "&gt;="&amp;J$1,
  desp.m.ik[mes], "&lt;"&amp;EOMONTH(J$1,0)+1
)</f>
        <v>0</v>
      </c>
      <c r="K229" s="186">
        <f ca="1">-SUMIFS(
  desp.m.ik[valor],
  desp.m.ik[nucleo], $B229,
  desp.m.ik[variavel], $B$223,
  desp.m.ik[mes], "&gt;="&amp;K$1,
  desp.m.ik[mes], "&lt;"&amp;EOMONTH(K$1,0)+1
)</f>
        <v>0</v>
      </c>
      <c r="L229" s="186">
        <f ca="1">-SUMIFS(
  desp.m.ik[valor],
  desp.m.ik[nucleo], $B229,
  desp.m.ik[variavel], $B$223,
  desp.m.ik[mes], "&gt;="&amp;L$1,
  desp.m.ik[mes], "&lt;"&amp;EOMONTH(L$1,0)+1
)</f>
        <v>0</v>
      </c>
      <c r="M229" s="186">
        <f ca="1">-SUMIFS(
  desp.m.ik[valor],
  desp.m.ik[nucleo], $B229,
  desp.m.ik[variavel], $B$223,
  desp.m.ik[mes], "&gt;="&amp;M$1,
  desp.m.ik[mes], "&lt;"&amp;EOMONTH(M$1,0)+1
)</f>
        <v>0</v>
      </c>
      <c r="N229" s="186">
        <f ca="1">-SUMIFS(
  desp.m.ik[valor],
  desp.m.ik[nucleo], $B229,
  desp.m.ik[variavel], $B$223,
  desp.m.ik[mes], "&gt;="&amp;N$1,
  desp.m.ik[mes], "&lt;"&amp;EOMONTH(N$1,0)+1
)</f>
        <v>0</v>
      </c>
      <c r="O229" s="186">
        <f ca="1">-SUMIFS(
  desp.m.ik[valor],
  desp.m.ik[nucleo], $B229,
  desp.m.ik[variavel], $B$223,
  desp.m.ik[mes], "&gt;="&amp;O$1,
  desp.m.ik[mes], "&lt;"&amp;EOMONTH(O$1,0)+1
)</f>
        <v>0</v>
      </c>
      <c r="P229" s="186">
        <f ca="1">-SUMIFS(
  desp.m.ik[valor],
  desp.m.ik[nucleo], $B229,
  desp.m.ik[variavel], $B$223,
  desp.m.ik[mes], "&gt;="&amp;P$1,
  desp.m.ik[mes], "&lt;"&amp;EOMONTH(P$1,0)+1
)</f>
        <v>0</v>
      </c>
      <c r="Q229" s="186">
        <f ca="1">-SUMIFS(
  desp.m.ik[valor],
  desp.m.ik[nucleo], $B229,
  desp.m.ik[variavel], $B$223,
  desp.m.ik[mes], "&gt;="&amp;Q$1,
  desp.m.ik[mes], "&lt;"&amp;EOMONTH(Q$1,0)+1
)</f>
        <v>0</v>
      </c>
      <c r="R229" s="186">
        <f ca="1">-SUMIFS(
  desp.m.ik[valor],
  desp.m.ik[nucleo], $B229,
  desp.m.ik[variavel], $B$223,
  desp.m.ik[mes], "&gt;="&amp;R$1,
  desp.m.ik[mes], "&lt;"&amp;EOMONTH(R$1,0)+1
)</f>
        <v>0</v>
      </c>
      <c r="S229" s="186">
        <f ca="1">-SUMIFS(
  desp.m.ik[valor],
  desp.m.ik[nucleo], $B229,
  desp.m.ik[variavel], $B$223,
  desp.m.ik[mes], "&gt;="&amp;S$1,
  desp.m.ik[mes], "&lt;"&amp;EOMONTH(S$1,0)+1
)</f>
        <v>0</v>
      </c>
      <c r="T229" s="186">
        <f ca="1">-SUMIFS(
  desp.m.ik[valor],
  desp.m.ik[nucleo], $B229,
  desp.m.ik[variavel], $B$223,
  desp.m.ik[mes], "&gt;="&amp;T$1,
  desp.m.ik[mes], "&lt;"&amp;EOMONTH(T$1,0)+1
)</f>
        <v>0</v>
      </c>
      <c r="U229" s="186">
        <f ca="1">-SUMIFS(
  desp.m.ik[valor],
  desp.m.ik[nucleo], $B229,
  desp.m.ik[variavel], $B$223,
  desp.m.ik[mes], "&gt;="&amp;U$1,
  desp.m.ik[mes], "&lt;"&amp;EOMONTH(U$1,0)+1
)</f>
        <v>0</v>
      </c>
      <c r="V229" s="186">
        <f ca="1">-SUMIFS(
  desp.m.ik[valor],
  desp.m.ik[nucleo], $B229,
  desp.m.ik[variavel], $B$223,
  desp.m.ik[mes], "&gt;="&amp;V$1,
  desp.m.ik[mes], "&lt;"&amp;EOMONTH(V$1,0)+1
)</f>
        <v>0</v>
      </c>
      <c r="W229" s="186">
        <f ca="1">-SUMIFS(
  desp.m.ik[valor],
  desp.m.ik[nucleo], $B229,
  desp.m.ik[variavel], $B$223,
  desp.m.ik[mes], "&gt;="&amp;W$1,
  desp.m.ik[mes], "&lt;"&amp;EOMONTH(W$1,0)+1
)</f>
        <v>0</v>
      </c>
      <c r="X229" s="186">
        <f ca="1">-SUMIFS(
  desp.m.ik[valor],
  desp.m.ik[nucleo], $B229,
  desp.m.ik[variavel], $B$223,
  desp.m.ik[mes], "&gt;="&amp;X$1,
  desp.m.ik[mes], "&lt;"&amp;EOMONTH(X$1,0)+1
)</f>
        <v>0</v>
      </c>
      <c r="Y229" s="186">
        <f ca="1">-SUMIFS(
  desp.m.ik[valor],
  desp.m.ik[nucleo], $B229,
  desp.m.ik[variavel], $B$223,
  desp.m.ik[mes], "&gt;="&amp;Y$1,
  desp.m.ik[mes], "&lt;"&amp;EOMONTH(Y$1,0)+1
)</f>
        <v>0</v>
      </c>
      <c r="Z229" s="186">
        <f ca="1">-SUMIFS(
  desp.m.ik[valor],
  desp.m.ik[nucleo], $B229,
  desp.m.ik[variavel], $B$223,
  desp.m.ik[mes], "&gt;="&amp;Z$1,
  desp.m.ik[mes], "&lt;"&amp;EOMONTH(Z$1,0)+1
)</f>
        <v>0</v>
      </c>
      <c r="AA229" s="186">
        <f ca="1">-SUMIFS(
  desp.m.ik[valor],
  desp.m.ik[nucleo], $B229,
  desp.m.ik[variavel], $B$223,
  desp.m.ik[mes], "&gt;="&amp;AA$1,
  desp.m.ik[mes], "&lt;"&amp;EOMONTH(AA$1,0)+1
)</f>
        <v>0</v>
      </c>
      <c r="AC229" s="178">
        <f t="shared" ca="1" si="41"/>
        <v>0</v>
      </c>
      <c r="AE229" s="178">
        <f t="shared" ca="1" si="40"/>
        <v>0</v>
      </c>
    </row>
    <row r="230" spans="1:31" hidden="1" outlineLevel="2" x14ac:dyDescent="0.25">
      <c r="A230" s="185" t="s">
        <v>654</v>
      </c>
      <c r="B230" s="185" t="s">
        <v>544</v>
      </c>
      <c r="C230" s="138" t="s">
        <v>514</v>
      </c>
      <c r="D230" s="186">
        <f ca="1">-SUMIFS(
  desp.m.ik[valor],
  desp.m.ik[nucleo], $B230,
  desp.m.ik[variavel], $B$223,
  desp.m.ik[mes], "&gt;="&amp;D$1,
  desp.m.ik[mes], "&lt;"&amp;EOMONTH(D$1,0)+1
)</f>
        <v>0</v>
      </c>
      <c r="E230" s="186">
        <f ca="1">-SUMIFS(
  desp.m.ik[valor],
  desp.m.ik[nucleo], $B230,
  desp.m.ik[variavel], $B$223,
  desp.m.ik[mes], "&gt;="&amp;E$1,
  desp.m.ik[mes], "&lt;"&amp;EOMONTH(E$1,0)+1
)</f>
        <v>0</v>
      </c>
      <c r="F230" s="186">
        <f ca="1">-SUMIFS(
  desp.m.ik[valor],
  desp.m.ik[nucleo], $B230,
  desp.m.ik[variavel], $B$223,
  desp.m.ik[mes], "&gt;="&amp;F$1,
  desp.m.ik[mes], "&lt;"&amp;EOMONTH(F$1,0)+1
)</f>
        <v>0</v>
      </c>
      <c r="G230" s="297">
        <f ca="1">-SUMIFS(
  desp.m.ik[valor],
  desp.m.ik[nucleo], $B230,
  desp.m.ik[variavel], $B$223,
  desp.m.ik[mes], "&gt;="&amp;G$1,
  desp.m.ik[mes], "&lt;"&amp;EOMONTH(G$1,0)+1
)-528000</f>
        <v>-528000</v>
      </c>
      <c r="H230" s="186">
        <f ca="1">-SUMIFS(
  desp.m.ik[valor],
  desp.m.ik[nucleo], $B230,
  desp.m.ik[variavel], $B$223,
  desp.m.ik[mes], "&gt;="&amp;H$1,
  desp.m.ik[mes], "&lt;"&amp;EOMONTH(H$1,0)+1
)</f>
        <v>0</v>
      </c>
      <c r="I230" s="186">
        <f ca="1">-SUMIFS(
  desp.m.ik[valor],
  desp.m.ik[nucleo], $B230,
  desp.m.ik[variavel], $B$223,
  desp.m.ik[mes], "&gt;="&amp;I$1,
  desp.m.ik[mes], "&lt;"&amp;EOMONTH(I$1,0)+1
)</f>
        <v>0</v>
      </c>
      <c r="J230" s="186">
        <f ca="1">-SUMIFS(
  desp.m.ik[valor],
  desp.m.ik[nucleo], $B230,
  desp.m.ik[variavel], $B$223,
  desp.m.ik[mes], "&gt;="&amp;J$1,
  desp.m.ik[mes], "&lt;"&amp;EOMONTH(J$1,0)+1
)</f>
        <v>0</v>
      </c>
      <c r="K230" s="186">
        <f ca="1">-SUMIFS(
  desp.m.ik[valor],
  desp.m.ik[nucleo], $B230,
  desp.m.ik[variavel], $B$223,
  desp.m.ik[mes], "&gt;="&amp;K$1,
  desp.m.ik[mes], "&lt;"&amp;EOMONTH(K$1,0)+1
)</f>
        <v>0</v>
      </c>
      <c r="L230" s="186">
        <f ca="1">-SUMIFS(
  desp.m.ik[valor],
  desp.m.ik[nucleo], $B230,
  desp.m.ik[variavel], $B$223,
  desp.m.ik[mes], "&gt;="&amp;L$1,
  desp.m.ik[mes], "&lt;"&amp;EOMONTH(L$1,0)+1
)</f>
        <v>0</v>
      </c>
      <c r="M230" s="186">
        <f ca="1">-SUMIFS(
  desp.m.ik[valor],
  desp.m.ik[nucleo], $B230,
  desp.m.ik[variavel], $B$223,
  desp.m.ik[mes], "&gt;="&amp;M$1,
  desp.m.ik[mes], "&lt;"&amp;EOMONTH(M$1,0)+1
)</f>
        <v>0</v>
      </c>
      <c r="N230" s="186">
        <f ca="1">-SUMIFS(
  desp.m.ik[valor],
  desp.m.ik[nucleo], $B230,
  desp.m.ik[variavel], $B$223,
  desp.m.ik[mes], "&gt;="&amp;N$1,
  desp.m.ik[mes], "&lt;"&amp;EOMONTH(N$1,0)+1
)</f>
        <v>0</v>
      </c>
      <c r="O230" s="186">
        <f ca="1">-SUMIFS(
  desp.m.ik[valor],
  desp.m.ik[nucleo], $B230,
  desp.m.ik[variavel], $B$223,
  desp.m.ik[mes], "&gt;="&amp;O$1,
  desp.m.ik[mes], "&lt;"&amp;EOMONTH(O$1,0)+1
)</f>
        <v>0</v>
      </c>
      <c r="P230" s="186">
        <f ca="1">-SUMIFS(
  desp.m.ik[valor],
  desp.m.ik[nucleo], $B230,
  desp.m.ik[variavel], $B$223,
  desp.m.ik[mes], "&gt;="&amp;P$1,
  desp.m.ik[mes], "&lt;"&amp;EOMONTH(P$1,0)+1
)</f>
        <v>0</v>
      </c>
      <c r="Q230" s="186">
        <f ca="1">-SUMIFS(
  desp.m.ik[valor],
  desp.m.ik[nucleo], $B230,
  desp.m.ik[variavel], $B$223,
  desp.m.ik[mes], "&gt;="&amp;Q$1,
  desp.m.ik[mes], "&lt;"&amp;EOMONTH(Q$1,0)+1
)</f>
        <v>0</v>
      </c>
      <c r="R230" s="186">
        <f ca="1">-SUMIFS(
  desp.m.ik[valor],
  desp.m.ik[nucleo], $B230,
  desp.m.ik[variavel], $B$223,
  desp.m.ik[mes], "&gt;="&amp;R$1,
  desp.m.ik[mes], "&lt;"&amp;EOMONTH(R$1,0)+1
)</f>
        <v>0</v>
      </c>
      <c r="S230" s="186">
        <f ca="1">-SUMIFS(
  desp.m.ik[valor],
  desp.m.ik[nucleo], $B230,
  desp.m.ik[variavel], $B$223,
  desp.m.ik[mes], "&gt;="&amp;S$1,
  desp.m.ik[mes], "&lt;"&amp;EOMONTH(S$1,0)+1
)</f>
        <v>0</v>
      </c>
      <c r="T230" s="186">
        <f ca="1">-SUMIFS(
  desp.m.ik[valor],
  desp.m.ik[nucleo], $B230,
  desp.m.ik[variavel], $B$223,
  desp.m.ik[mes], "&gt;="&amp;T$1,
  desp.m.ik[mes], "&lt;"&amp;EOMONTH(T$1,0)+1
)</f>
        <v>0</v>
      </c>
      <c r="U230" s="186">
        <f ca="1">-SUMIFS(
  desp.m.ik[valor],
  desp.m.ik[nucleo], $B230,
  desp.m.ik[variavel], $B$223,
  desp.m.ik[mes], "&gt;="&amp;U$1,
  desp.m.ik[mes], "&lt;"&amp;EOMONTH(U$1,0)+1
)</f>
        <v>0</v>
      </c>
      <c r="V230" s="186">
        <f ca="1">-SUMIFS(
  desp.m.ik[valor],
  desp.m.ik[nucleo], $B230,
  desp.m.ik[variavel], $B$223,
  desp.m.ik[mes], "&gt;="&amp;V$1,
  desp.m.ik[mes], "&lt;"&amp;EOMONTH(V$1,0)+1
)</f>
        <v>0</v>
      </c>
      <c r="W230" s="186">
        <f ca="1">-SUMIFS(
  desp.m.ik[valor],
  desp.m.ik[nucleo], $B230,
  desp.m.ik[variavel], $B$223,
  desp.m.ik[mes], "&gt;="&amp;W$1,
  desp.m.ik[mes], "&lt;"&amp;EOMONTH(W$1,0)+1
)</f>
        <v>0</v>
      </c>
      <c r="X230" s="186">
        <f ca="1">-SUMIFS(
  desp.m.ik[valor],
  desp.m.ik[nucleo], $B230,
  desp.m.ik[variavel], $B$223,
  desp.m.ik[mes], "&gt;="&amp;X$1,
  desp.m.ik[mes], "&lt;"&amp;EOMONTH(X$1,0)+1
)</f>
        <v>0</v>
      </c>
      <c r="Y230" s="186">
        <f ca="1">-SUMIFS(
  desp.m.ik[valor],
  desp.m.ik[nucleo], $B230,
  desp.m.ik[variavel], $B$223,
  desp.m.ik[mes], "&gt;="&amp;Y$1,
  desp.m.ik[mes], "&lt;"&amp;EOMONTH(Y$1,0)+1
)</f>
        <v>0</v>
      </c>
      <c r="Z230" s="186">
        <f ca="1">-SUMIFS(
  desp.m.ik[valor],
  desp.m.ik[nucleo], $B230,
  desp.m.ik[variavel], $B$223,
  desp.m.ik[mes], "&gt;="&amp;Z$1,
  desp.m.ik[mes], "&lt;"&amp;EOMONTH(Z$1,0)+1
)</f>
        <v>0</v>
      </c>
      <c r="AA230" s="186">
        <f ca="1">-SUMIFS(
  desp.m.ik[valor],
  desp.m.ik[nucleo], $B230,
  desp.m.ik[variavel], $B$223,
  desp.m.ik[mes], "&gt;="&amp;AA$1,
  desp.m.ik[mes], "&lt;"&amp;EOMONTH(AA$1,0)+1
)</f>
        <v>0</v>
      </c>
      <c r="AC230" s="178">
        <f t="shared" ca="1" si="41"/>
        <v>-528000</v>
      </c>
      <c r="AE230" s="178">
        <f ca="1">SUM(D230:AA230)</f>
        <v>-528000</v>
      </c>
    </row>
    <row r="231" spans="1:31" hidden="1" outlineLevel="2" x14ac:dyDescent="0.25">
      <c r="A231" s="185" t="s">
        <v>648</v>
      </c>
      <c r="B231" s="185" t="s">
        <v>533</v>
      </c>
      <c r="C231" s="138" t="s">
        <v>514</v>
      </c>
      <c r="D231" s="186">
        <f ca="1">-SUMIFS(
  desp.m.ik[valor],
  desp.m.ik[nucleo], $B231,
  desp.m.ik[variavel], $B$223,
  desp.m.ik[mes], "&gt;="&amp;D$1,
  desp.m.ik[mes], "&lt;"&amp;EOMONTH(D$1,0)+1
)</f>
        <v>0</v>
      </c>
      <c r="E231" s="186">
        <f ca="1">-SUMIFS(
  desp.m.ik[valor],
  desp.m.ik[nucleo], $B231,
  desp.m.ik[variavel], $B$223,
  desp.m.ik[mes], "&gt;="&amp;E$1,
  desp.m.ik[mes], "&lt;"&amp;EOMONTH(E$1,0)+1
)</f>
        <v>0</v>
      </c>
      <c r="F231" s="186">
        <f ca="1">-SUMIFS(
  desp.m.ik[valor],
  desp.m.ik[nucleo], $B231,
  desp.m.ik[variavel], $B$223,
  desp.m.ik[mes], "&gt;="&amp;F$1,
  desp.m.ik[mes], "&lt;"&amp;EOMONTH(F$1,0)+1
)</f>
        <v>0</v>
      </c>
      <c r="G231" s="186">
        <f ca="1">-SUMIFS(
  desp.m.ik[valor],
  desp.m.ik[nucleo], $B231,
  desp.m.ik[variavel], $B$223,
  desp.m.ik[mes], "&gt;="&amp;G$1,
  desp.m.ik[mes], "&lt;"&amp;EOMONTH(G$1,0)+1
)</f>
        <v>0</v>
      </c>
      <c r="H231" s="186">
        <f ca="1">-SUMIFS(
  desp.m.ik[valor],
  desp.m.ik[nucleo], $B231,
  desp.m.ik[variavel], $B$223,
  desp.m.ik[mes], "&gt;="&amp;H$1,
  desp.m.ik[mes], "&lt;"&amp;EOMONTH(H$1,0)+1
)</f>
        <v>0</v>
      </c>
      <c r="I231" s="186">
        <f ca="1">-SUMIFS(
  desp.m.ik[valor],
  desp.m.ik[nucleo], $B231,
  desp.m.ik[variavel], $B$223,
  desp.m.ik[mes], "&gt;="&amp;I$1,
  desp.m.ik[mes], "&lt;"&amp;EOMONTH(I$1,0)+1
)</f>
        <v>0</v>
      </c>
      <c r="J231" s="186">
        <f ca="1">-SUMIFS(
  desp.m.ik[valor],
  desp.m.ik[nucleo], $B231,
  desp.m.ik[variavel], $B$223,
  desp.m.ik[mes], "&gt;="&amp;J$1,
  desp.m.ik[mes], "&lt;"&amp;EOMONTH(J$1,0)+1
)</f>
        <v>0</v>
      </c>
      <c r="K231" s="186">
        <f ca="1">-SUMIFS(
  desp.m.ik[valor],
  desp.m.ik[nucleo], $B231,
  desp.m.ik[variavel], $B$223,
  desp.m.ik[mes], "&gt;="&amp;K$1,
  desp.m.ik[mes], "&lt;"&amp;EOMONTH(K$1,0)+1
)</f>
        <v>0</v>
      </c>
      <c r="L231" s="186">
        <f ca="1">-SUMIFS(
  desp.m.ik[valor],
  desp.m.ik[nucleo], $B231,
  desp.m.ik[variavel], $B$223,
  desp.m.ik[mes], "&gt;="&amp;L$1,
  desp.m.ik[mes], "&lt;"&amp;EOMONTH(L$1,0)+1
)</f>
        <v>0</v>
      </c>
      <c r="M231" s="186">
        <f ca="1">-SUMIFS(
  desp.m.ik[valor],
  desp.m.ik[nucleo], $B231,
  desp.m.ik[variavel], $B$223,
  desp.m.ik[mes], "&gt;="&amp;M$1,
  desp.m.ik[mes], "&lt;"&amp;EOMONTH(M$1,0)+1
)</f>
        <v>0</v>
      </c>
      <c r="N231" s="186">
        <f ca="1">-SUMIFS(
  desp.m.ik[valor],
  desp.m.ik[nucleo], $B231,
  desp.m.ik[variavel], $B$223,
  desp.m.ik[mes], "&gt;="&amp;N$1,
  desp.m.ik[mes], "&lt;"&amp;EOMONTH(N$1,0)+1
)</f>
        <v>0</v>
      </c>
      <c r="O231" s="186">
        <f ca="1">-SUMIFS(
  desp.m.ik[valor],
  desp.m.ik[nucleo], $B231,
  desp.m.ik[variavel], $B$223,
  desp.m.ik[mes], "&gt;="&amp;O$1,
  desp.m.ik[mes], "&lt;"&amp;EOMONTH(O$1,0)+1
)</f>
        <v>0</v>
      </c>
      <c r="P231" s="186">
        <f ca="1">-SUMIFS(
  desp.m.ik[valor],
  desp.m.ik[nucleo], $B231,
  desp.m.ik[variavel], $B$223,
  desp.m.ik[mes], "&gt;="&amp;P$1,
  desp.m.ik[mes], "&lt;"&amp;EOMONTH(P$1,0)+1
)</f>
        <v>0</v>
      </c>
      <c r="Q231" s="186">
        <f ca="1">-SUMIFS(
  desp.m.ik[valor],
  desp.m.ik[nucleo], $B231,
  desp.m.ik[variavel], $B$223,
  desp.m.ik[mes], "&gt;="&amp;Q$1,
  desp.m.ik[mes], "&lt;"&amp;EOMONTH(Q$1,0)+1
)</f>
        <v>0</v>
      </c>
      <c r="R231" s="186">
        <f ca="1">-SUMIFS(
  desp.m.ik[valor],
  desp.m.ik[nucleo], $B231,
  desp.m.ik[variavel], $B$223,
  desp.m.ik[mes], "&gt;="&amp;R$1,
  desp.m.ik[mes], "&lt;"&amp;EOMONTH(R$1,0)+1
)</f>
        <v>0</v>
      </c>
      <c r="S231" s="186">
        <f ca="1">-SUMIFS(
  desp.m.ik[valor],
  desp.m.ik[nucleo], $B231,
  desp.m.ik[variavel], $B$223,
  desp.m.ik[mes], "&gt;="&amp;S$1,
  desp.m.ik[mes], "&lt;"&amp;EOMONTH(S$1,0)+1
)</f>
        <v>0</v>
      </c>
      <c r="T231" s="186">
        <f ca="1">-SUMIFS(
  desp.m.ik[valor],
  desp.m.ik[nucleo], $B231,
  desp.m.ik[variavel], $B$223,
  desp.m.ik[mes], "&gt;="&amp;T$1,
  desp.m.ik[mes], "&lt;"&amp;EOMONTH(T$1,0)+1
)</f>
        <v>0</v>
      </c>
      <c r="U231" s="186">
        <f ca="1">-SUMIFS(
  desp.m.ik[valor],
  desp.m.ik[nucleo], $B231,
  desp.m.ik[variavel], $B$223,
  desp.m.ik[mes], "&gt;="&amp;U$1,
  desp.m.ik[mes], "&lt;"&amp;EOMONTH(U$1,0)+1
)</f>
        <v>0</v>
      </c>
      <c r="V231" s="186">
        <f ca="1">-SUMIFS(
  desp.m.ik[valor],
  desp.m.ik[nucleo], $B231,
  desp.m.ik[variavel], $B$223,
  desp.m.ik[mes], "&gt;="&amp;V$1,
  desp.m.ik[mes], "&lt;"&amp;EOMONTH(V$1,0)+1
)</f>
        <v>0</v>
      </c>
      <c r="W231" s="186">
        <f ca="1">-SUMIFS(
  desp.m.ik[valor],
  desp.m.ik[nucleo], $B231,
  desp.m.ik[variavel], $B$223,
  desp.m.ik[mes], "&gt;="&amp;W$1,
  desp.m.ik[mes], "&lt;"&amp;EOMONTH(W$1,0)+1
)</f>
        <v>0</v>
      </c>
      <c r="X231" s="186">
        <f ca="1">-SUMIFS(
  desp.m.ik[valor],
  desp.m.ik[nucleo], $B231,
  desp.m.ik[variavel], $B$223,
  desp.m.ik[mes], "&gt;="&amp;X$1,
  desp.m.ik[mes], "&lt;"&amp;EOMONTH(X$1,0)+1
)</f>
        <v>0</v>
      </c>
      <c r="Y231" s="186">
        <f ca="1">-SUMIFS(
  desp.m.ik[valor],
  desp.m.ik[nucleo], $B231,
  desp.m.ik[variavel], $B$223,
  desp.m.ik[mes], "&gt;="&amp;Y$1,
  desp.m.ik[mes], "&lt;"&amp;EOMONTH(Y$1,0)+1
)</f>
        <v>0</v>
      </c>
      <c r="Z231" s="186">
        <f ca="1">-SUMIFS(
  desp.m.ik[valor],
  desp.m.ik[nucleo], $B231,
  desp.m.ik[variavel], $B$223,
  desp.m.ik[mes], "&gt;="&amp;Z$1,
  desp.m.ik[mes], "&lt;"&amp;EOMONTH(Z$1,0)+1
)</f>
        <v>0</v>
      </c>
      <c r="AA231" s="186">
        <f ca="1">-SUMIFS(
  desp.m.ik[valor],
  desp.m.ik[nucleo], $B231,
  desp.m.ik[variavel], $B$223,
  desp.m.ik[mes], "&gt;="&amp;AA$1,
  desp.m.ik[mes], "&lt;"&amp;EOMONTH(AA$1,0)+1
)</f>
        <v>0</v>
      </c>
      <c r="AC231" s="178">
        <f t="shared" ca="1" si="41"/>
        <v>0</v>
      </c>
      <c r="AE231" s="178">
        <f t="shared" ca="1" si="40"/>
        <v>0</v>
      </c>
    </row>
    <row r="232" spans="1:31" hidden="1" outlineLevel="2" x14ac:dyDescent="0.25">
      <c r="A232" s="185" t="s">
        <v>649</v>
      </c>
      <c r="B232" s="185" t="s">
        <v>561</v>
      </c>
      <c r="C232" s="138" t="s">
        <v>514</v>
      </c>
      <c r="D232" s="186">
        <f ca="1">-SUMIFS(
  desp.m.ik[valor],
  desp.m.ik[nucleo], $B232,
  desp.m.ik[variavel], $B$223,
  desp.m.ik[mes], "&gt;="&amp;D$1,
  desp.m.ik[mes], "&lt;"&amp;EOMONTH(D$1,0)+1
)</f>
        <v>0</v>
      </c>
      <c r="E232" s="186">
        <f ca="1">-SUMIFS(
  desp.m.ik[valor],
  desp.m.ik[nucleo], $B232,
  desp.m.ik[variavel], $B$223,
  desp.m.ik[mes], "&gt;="&amp;E$1,
  desp.m.ik[mes], "&lt;"&amp;EOMONTH(E$1,0)+1
)</f>
        <v>0</v>
      </c>
      <c r="F232" s="186">
        <f ca="1">-SUMIFS(
  desp.m.ik[valor],
  desp.m.ik[nucleo], $B232,
  desp.m.ik[variavel], $B$223,
  desp.m.ik[mes], "&gt;="&amp;F$1,
  desp.m.ik[mes], "&lt;"&amp;EOMONTH(F$1,0)+1
)</f>
        <v>0</v>
      </c>
      <c r="G232" s="186">
        <f ca="1">-SUMIFS(
  desp.m.ik[valor],
  desp.m.ik[nucleo], $B232,
  desp.m.ik[variavel], $B$223,
  desp.m.ik[mes], "&gt;="&amp;G$1,
  desp.m.ik[mes], "&lt;"&amp;EOMONTH(G$1,0)+1
)</f>
        <v>0</v>
      </c>
      <c r="H232" s="186">
        <f ca="1">-SUMIFS(
  desp.m.ik[valor],
  desp.m.ik[nucleo], $B232,
  desp.m.ik[variavel], $B$223,
  desp.m.ik[mes], "&gt;="&amp;H$1,
  desp.m.ik[mes], "&lt;"&amp;EOMONTH(H$1,0)+1
)</f>
        <v>0</v>
      </c>
      <c r="I232" s="186">
        <f ca="1">-SUMIFS(
  desp.m.ik[valor],
  desp.m.ik[nucleo], $B232,
  desp.m.ik[variavel], $B$223,
  desp.m.ik[mes], "&gt;="&amp;I$1,
  desp.m.ik[mes], "&lt;"&amp;EOMONTH(I$1,0)+1
)</f>
        <v>0</v>
      </c>
      <c r="J232" s="186">
        <f ca="1">-SUMIFS(
  desp.m.ik[valor],
  desp.m.ik[nucleo], $B232,
  desp.m.ik[variavel], $B$223,
  desp.m.ik[mes], "&gt;="&amp;J$1,
  desp.m.ik[mes], "&lt;"&amp;EOMONTH(J$1,0)+1
)</f>
        <v>0</v>
      </c>
      <c r="K232" s="186">
        <f ca="1">-SUMIFS(
  desp.m.ik[valor],
  desp.m.ik[nucleo], $B232,
  desp.m.ik[variavel], $B$223,
  desp.m.ik[mes], "&gt;="&amp;K$1,
  desp.m.ik[mes], "&lt;"&amp;EOMONTH(K$1,0)+1
)</f>
        <v>0</v>
      </c>
      <c r="L232" s="186">
        <f ca="1">-SUMIFS(
  desp.m.ik[valor],
  desp.m.ik[nucleo], $B232,
  desp.m.ik[variavel], $B$223,
  desp.m.ik[mes], "&gt;="&amp;L$1,
  desp.m.ik[mes], "&lt;"&amp;EOMONTH(L$1,0)+1
)</f>
        <v>0</v>
      </c>
      <c r="M232" s="186">
        <f ca="1">-SUMIFS(
  desp.m.ik[valor],
  desp.m.ik[nucleo], $B232,
  desp.m.ik[variavel], $B$223,
  desp.m.ik[mes], "&gt;="&amp;M$1,
  desp.m.ik[mes], "&lt;"&amp;EOMONTH(M$1,0)+1
)</f>
        <v>0</v>
      </c>
      <c r="N232" s="186">
        <f ca="1">-SUMIFS(
  desp.m.ik[valor],
  desp.m.ik[nucleo], $B232,
  desp.m.ik[variavel], $B$223,
  desp.m.ik[mes], "&gt;="&amp;N$1,
  desp.m.ik[mes], "&lt;"&amp;EOMONTH(N$1,0)+1
)</f>
        <v>0</v>
      </c>
      <c r="O232" s="186">
        <f ca="1">-SUMIFS(
  desp.m.ik[valor],
  desp.m.ik[nucleo], $B232,
  desp.m.ik[variavel], $B$223,
  desp.m.ik[mes], "&gt;="&amp;O$1,
  desp.m.ik[mes], "&lt;"&amp;EOMONTH(O$1,0)+1
)</f>
        <v>0</v>
      </c>
      <c r="P232" s="186">
        <f ca="1">-SUMIFS(
  desp.m.ik[valor],
  desp.m.ik[nucleo], $B232,
  desp.m.ik[variavel], $B$223,
  desp.m.ik[mes], "&gt;="&amp;P$1,
  desp.m.ik[mes], "&lt;"&amp;EOMONTH(P$1,0)+1
)</f>
        <v>0</v>
      </c>
      <c r="Q232" s="186">
        <f ca="1">-SUMIFS(
  desp.m.ik[valor],
  desp.m.ik[nucleo], $B232,
  desp.m.ik[variavel], $B$223,
  desp.m.ik[mes], "&gt;="&amp;Q$1,
  desp.m.ik[mes], "&lt;"&amp;EOMONTH(Q$1,0)+1
)</f>
        <v>0</v>
      </c>
      <c r="R232" s="186">
        <f ca="1">-SUMIFS(
  desp.m.ik[valor],
  desp.m.ik[nucleo], $B232,
  desp.m.ik[variavel], $B$223,
  desp.m.ik[mes], "&gt;="&amp;R$1,
  desp.m.ik[mes], "&lt;"&amp;EOMONTH(R$1,0)+1
)</f>
        <v>0</v>
      </c>
      <c r="S232" s="186">
        <f ca="1">-SUMIFS(
  desp.m.ik[valor],
  desp.m.ik[nucleo], $B232,
  desp.m.ik[variavel], $B$223,
  desp.m.ik[mes], "&gt;="&amp;S$1,
  desp.m.ik[mes], "&lt;"&amp;EOMONTH(S$1,0)+1
)</f>
        <v>0</v>
      </c>
      <c r="T232" s="186">
        <f ca="1">-SUMIFS(
  desp.m.ik[valor],
  desp.m.ik[nucleo], $B232,
  desp.m.ik[variavel], $B$223,
  desp.m.ik[mes], "&gt;="&amp;T$1,
  desp.m.ik[mes], "&lt;"&amp;EOMONTH(T$1,0)+1
)</f>
        <v>0</v>
      </c>
      <c r="U232" s="186">
        <f ca="1">-SUMIFS(
  desp.m.ik[valor],
  desp.m.ik[nucleo], $B232,
  desp.m.ik[variavel], $B$223,
  desp.m.ik[mes], "&gt;="&amp;U$1,
  desp.m.ik[mes], "&lt;"&amp;EOMONTH(U$1,0)+1
)</f>
        <v>0</v>
      </c>
      <c r="V232" s="186">
        <f ca="1">-SUMIFS(
  desp.m.ik[valor],
  desp.m.ik[nucleo], $B232,
  desp.m.ik[variavel], $B$223,
  desp.m.ik[mes], "&gt;="&amp;V$1,
  desp.m.ik[mes], "&lt;"&amp;EOMONTH(V$1,0)+1
)</f>
        <v>0</v>
      </c>
      <c r="W232" s="186">
        <f ca="1">-SUMIFS(
  desp.m.ik[valor],
  desp.m.ik[nucleo], $B232,
  desp.m.ik[variavel], $B$223,
  desp.m.ik[mes], "&gt;="&amp;W$1,
  desp.m.ik[mes], "&lt;"&amp;EOMONTH(W$1,0)+1
)</f>
        <v>0</v>
      </c>
      <c r="X232" s="186">
        <f ca="1">-SUMIFS(
  desp.m.ik[valor],
  desp.m.ik[nucleo], $B232,
  desp.m.ik[variavel], $B$223,
  desp.m.ik[mes], "&gt;="&amp;X$1,
  desp.m.ik[mes], "&lt;"&amp;EOMONTH(X$1,0)+1
)</f>
        <v>0</v>
      </c>
      <c r="Y232" s="186">
        <f ca="1">-SUMIFS(
  desp.m.ik[valor],
  desp.m.ik[nucleo], $B232,
  desp.m.ik[variavel], $B$223,
  desp.m.ik[mes], "&gt;="&amp;Y$1,
  desp.m.ik[mes], "&lt;"&amp;EOMONTH(Y$1,0)+1
)</f>
        <v>0</v>
      </c>
      <c r="Z232" s="186">
        <f ca="1">-SUMIFS(
  desp.m.ik[valor],
  desp.m.ik[nucleo], $B232,
  desp.m.ik[variavel], $B$223,
  desp.m.ik[mes], "&gt;="&amp;Z$1,
  desp.m.ik[mes], "&lt;"&amp;EOMONTH(Z$1,0)+1
)</f>
        <v>0</v>
      </c>
      <c r="AA232" s="186">
        <f ca="1">-SUMIFS(
  desp.m.ik[valor],
  desp.m.ik[nucleo], $B232,
  desp.m.ik[variavel], $B$223,
  desp.m.ik[mes], "&gt;="&amp;AA$1,
  desp.m.ik[mes], "&lt;"&amp;EOMONTH(AA$1,0)+1
)</f>
        <v>0</v>
      </c>
      <c r="AC232" s="178">
        <f t="shared" ca="1" si="41"/>
        <v>0</v>
      </c>
      <c r="AE232" s="178">
        <f t="shared" ca="1" si="40"/>
        <v>0</v>
      </c>
    </row>
    <row r="233" spans="1:31" hidden="1" outlineLevel="2" x14ac:dyDescent="0.25">
      <c r="A233" s="185" t="s">
        <v>650</v>
      </c>
      <c r="B233" s="185" t="s">
        <v>537</v>
      </c>
      <c r="C233" s="138" t="s">
        <v>514</v>
      </c>
      <c r="D233" s="186">
        <f ca="1">-SUMIFS(
  desp.m.ik[valor],
  desp.m.ik[nucleo], $B233,
  desp.m.ik[variavel], $B$223,
  desp.m.ik[mes], "&gt;="&amp;D$1,
  desp.m.ik[mes], "&lt;"&amp;EOMONTH(D$1,0)+1
)</f>
        <v>0</v>
      </c>
      <c r="E233" s="186">
        <f ca="1">-SUMIFS(
  desp.m.ik[valor],
  desp.m.ik[nucleo], $B233,
  desp.m.ik[variavel], $B$223,
  desp.m.ik[mes], "&gt;="&amp;E$1,
  desp.m.ik[mes], "&lt;"&amp;EOMONTH(E$1,0)+1
)</f>
        <v>0</v>
      </c>
      <c r="F233" s="186">
        <f ca="1">-SUMIFS(
  desp.m.ik[valor],
  desp.m.ik[nucleo], $B233,
  desp.m.ik[variavel], $B$223,
  desp.m.ik[mes], "&gt;="&amp;F$1,
  desp.m.ik[mes], "&lt;"&amp;EOMONTH(F$1,0)+1
)</f>
        <v>0</v>
      </c>
      <c r="G233" s="186">
        <f ca="1">-SUMIFS(
  desp.m.ik[valor],
  desp.m.ik[nucleo], $B233,
  desp.m.ik[variavel], $B$223,
  desp.m.ik[mes], "&gt;="&amp;G$1,
  desp.m.ik[mes], "&lt;"&amp;EOMONTH(G$1,0)+1
)</f>
        <v>0</v>
      </c>
      <c r="H233" s="186">
        <f ca="1">-SUMIFS(
  desp.m.ik[valor],
  desp.m.ik[nucleo], $B233,
  desp.m.ik[variavel], $B$223,
  desp.m.ik[mes], "&gt;="&amp;H$1,
  desp.m.ik[mes], "&lt;"&amp;EOMONTH(H$1,0)+1
)</f>
        <v>0</v>
      </c>
      <c r="I233" s="186">
        <f ca="1">-SUMIFS(
  desp.m.ik[valor],
  desp.m.ik[nucleo], $B233,
  desp.m.ik[variavel], $B$223,
  desp.m.ik[mes], "&gt;="&amp;I$1,
  desp.m.ik[mes], "&lt;"&amp;EOMONTH(I$1,0)+1
)</f>
        <v>0</v>
      </c>
      <c r="J233" s="186">
        <f ca="1">-SUMIFS(
  desp.m.ik[valor],
  desp.m.ik[nucleo], $B233,
  desp.m.ik[variavel], $B$223,
  desp.m.ik[mes], "&gt;="&amp;J$1,
  desp.m.ik[mes], "&lt;"&amp;EOMONTH(J$1,0)+1
)</f>
        <v>0</v>
      </c>
      <c r="K233" s="186">
        <f ca="1">-SUMIFS(
  desp.m.ik[valor],
  desp.m.ik[nucleo], $B233,
  desp.m.ik[variavel], $B$223,
  desp.m.ik[mes], "&gt;="&amp;K$1,
  desp.m.ik[mes], "&lt;"&amp;EOMONTH(K$1,0)+1
)</f>
        <v>0</v>
      </c>
      <c r="L233" s="186">
        <f ca="1">-SUMIFS(
  desp.m.ik[valor],
  desp.m.ik[nucleo], $B233,
  desp.m.ik[variavel], $B$223,
  desp.m.ik[mes], "&gt;="&amp;L$1,
  desp.m.ik[mes], "&lt;"&amp;EOMONTH(L$1,0)+1
)</f>
        <v>0</v>
      </c>
      <c r="M233" s="186">
        <f ca="1">-SUMIFS(
  desp.m.ik[valor],
  desp.m.ik[nucleo], $B233,
  desp.m.ik[variavel], $B$223,
  desp.m.ik[mes], "&gt;="&amp;M$1,
  desp.m.ik[mes], "&lt;"&amp;EOMONTH(M$1,0)+1
)</f>
        <v>0</v>
      </c>
      <c r="N233" s="186">
        <f ca="1">-SUMIFS(
  desp.m.ik[valor],
  desp.m.ik[nucleo], $B233,
  desp.m.ik[variavel], $B$223,
  desp.m.ik[mes], "&gt;="&amp;N$1,
  desp.m.ik[mes], "&lt;"&amp;EOMONTH(N$1,0)+1
)</f>
        <v>0</v>
      </c>
      <c r="O233" s="186">
        <f ca="1">-SUMIFS(
  desp.m.ik[valor],
  desp.m.ik[nucleo], $B233,
  desp.m.ik[variavel], $B$223,
  desp.m.ik[mes], "&gt;="&amp;O$1,
  desp.m.ik[mes], "&lt;"&amp;EOMONTH(O$1,0)+1
)</f>
        <v>0</v>
      </c>
      <c r="P233" s="186">
        <f ca="1">-SUMIFS(
  desp.m.ik[valor],
  desp.m.ik[nucleo], $B233,
  desp.m.ik[variavel], $B$223,
  desp.m.ik[mes], "&gt;="&amp;P$1,
  desp.m.ik[mes], "&lt;"&amp;EOMONTH(P$1,0)+1
)</f>
        <v>0</v>
      </c>
      <c r="Q233" s="186">
        <f ca="1">-SUMIFS(
  desp.m.ik[valor],
  desp.m.ik[nucleo], $B233,
  desp.m.ik[variavel], $B$223,
  desp.m.ik[mes], "&gt;="&amp;Q$1,
  desp.m.ik[mes], "&lt;"&amp;EOMONTH(Q$1,0)+1
)</f>
        <v>0</v>
      </c>
      <c r="R233" s="186">
        <f ca="1">-SUMIFS(
  desp.m.ik[valor],
  desp.m.ik[nucleo], $B233,
  desp.m.ik[variavel], $B$223,
  desp.m.ik[mes], "&gt;="&amp;R$1,
  desp.m.ik[mes], "&lt;"&amp;EOMONTH(R$1,0)+1
)</f>
        <v>0</v>
      </c>
      <c r="S233" s="186">
        <f ca="1">-SUMIFS(
  desp.m.ik[valor],
  desp.m.ik[nucleo], $B233,
  desp.m.ik[variavel], $B$223,
  desp.m.ik[mes], "&gt;="&amp;S$1,
  desp.m.ik[mes], "&lt;"&amp;EOMONTH(S$1,0)+1
)</f>
        <v>0</v>
      </c>
      <c r="T233" s="186">
        <f ca="1">-SUMIFS(
  desp.m.ik[valor],
  desp.m.ik[nucleo], $B233,
  desp.m.ik[variavel], $B$223,
  desp.m.ik[mes], "&gt;="&amp;T$1,
  desp.m.ik[mes], "&lt;"&amp;EOMONTH(T$1,0)+1
)</f>
        <v>0</v>
      </c>
      <c r="U233" s="186">
        <f ca="1">-SUMIFS(
  desp.m.ik[valor],
  desp.m.ik[nucleo], $B233,
  desp.m.ik[variavel], $B$223,
  desp.m.ik[mes], "&gt;="&amp;U$1,
  desp.m.ik[mes], "&lt;"&amp;EOMONTH(U$1,0)+1
)</f>
        <v>0</v>
      </c>
      <c r="V233" s="186">
        <f ca="1">-SUMIFS(
  desp.m.ik[valor],
  desp.m.ik[nucleo], $B233,
  desp.m.ik[variavel], $B$223,
  desp.m.ik[mes], "&gt;="&amp;V$1,
  desp.m.ik[mes], "&lt;"&amp;EOMONTH(V$1,0)+1
)</f>
        <v>0</v>
      </c>
      <c r="W233" s="186">
        <f ca="1">-SUMIFS(
  desp.m.ik[valor],
  desp.m.ik[nucleo], $B233,
  desp.m.ik[variavel], $B$223,
  desp.m.ik[mes], "&gt;="&amp;W$1,
  desp.m.ik[mes], "&lt;"&amp;EOMONTH(W$1,0)+1
)</f>
        <v>0</v>
      </c>
      <c r="X233" s="186">
        <f ca="1">-SUMIFS(
  desp.m.ik[valor],
  desp.m.ik[nucleo], $B233,
  desp.m.ik[variavel], $B$223,
  desp.m.ik[mes], "&gt;="&amp;X$1,
  desp.m.ik[mes], "&lt;"&amp;EOMONTH(X$1,0)+1
)</f>
        <v>0</v>
      </c>
      <c r="Y233" s="186">
        <f ca="1">-SUMIFS(
  desp.m.ik[valor],
  desp.m.ik[nucleo], $B233,
  desp.m.ik[variavel], $B$223,
  desp.m.ik[mes], "&gt;="&amp;Y$1,
  desp.m.ik[mes], "&lt;"&amp;EOMONTH(Y$1,0)+1
)</f>
        <v>0</v>
      </c>
      <c r="Z233" s="186">
        <f ca="1">-SUMIFS(
  desp.m.ik[valor],
  desp.m.ik[nucleo], $B233,
  desp.m.ik[variavel], $B$223,
  desp.m.ik[mes], "&gt;="&amp;Z$1,
  desp.m.ik[mes], "&lt;"&amp;EOMONTH(Z$1,0)+1
)</f>
        <v>0</v>
      </c>
      <c r="AA233" s="186">
        <f ca="1">-SUMIFS(
  desp.m.ik[valor],
  desp.m.ik[nucleo], $B233,
  desp.m.ik[variavel], $B$223,
  desp.m.ik[mes], "&gt;="&amp;AA$1,
  desp.m.ik[mes], "&lt;"&amp;EOMONTH(AA$1,0)+1
)</f>
        <v>0</v>
      </c>
      <c r="AC233" s="178">
        <f t="shared" ca="1" si="41"/>
        <v>0</v>
      </c>
      <c r="AE233" s="178">
        <f ca="1">SUM(D233:AA233)</f>
        <v>0</v>
      </c>
    </row>
    <row r="234" spans="1:31" hidden="1" outlineLevel="2" x14ac:dyDescent="0.25">
      <c r="A234" s="185" t="s">
        <v>651</v>
      </c>
      <c r="B234" s="185" t="s">
        <v>575</v>
      </c>
      <c r="C234" s="138" t="s">
        <v>514</v>
      </c>
      <c r="D234" s="186">
        <f ca="1">-SUMIFS(
  desp.m.ik[valor],
  desp.m.ik[nucleo], $B234,
  desp.m.ik[variavel], $B$223,
  desp.m.ik[mes], "&gt;="&amp;D$1,
  desp.m.ik[mes], "&lt;"&amp;EOMONTH(D$1,0)+1
)</f>
        <v>0</v>
      </c>
      <c r="E234" s="186">
        <f ca="1">-SUMIFS(
  desp.m.ik[valor],
  desp.m.ik[nucleo], $B234,
  desp.m.ik[variavel], $B$223,
  desp.m.ik[mes], "&gt;="&amp;E$1,
  desp.m.ik[mes], "&lt;"&amp;EOMONTH(E$1,0)+1
)</f>
        <v>0</v>
      </c>
      <c r="F234" s="186">
        <f ca="1">-SUMIFS(
  desp.m.ik[valor],
  desp.m.ik[nucleo], $B234,
  desp.m.ik[variavel], $B$223,
  desp.m.ik[mes], "&gt;="&amp;F$1,
  desp.m.ik[mes], "&lt;"&amp;EOMONTH(F$1,0)+1
)</f>
        <v>0</v>
      </c>
      <c r="G234" s="186">
        <f ca="1">-SUMIFS(
  desp.m.ik[valor],
  desp.m.ik[nucleo], $B234,
  desp.m.ik[variavel], $B$223,
  desp.m.ik[mes], "&gt;="&amp;G$1,
  desp.m.ik[mes], "&lt;"&amp;EOMONTH(G$1,0)+1
)</f>
        <v>0</v>
      </c>
      <c r="H234" s="186">
        <f ca="1">-SUMIFS(
  desp.m.ik[valor],
  desp.m.ik[nucleo], $B234,
  desp.m.ik[variavel], $B$223,
  desp.m.ik[mes], "&gt;="&amp;H$1,
  desp.m.ik[mes], "&lt;"&amp;EOMONTH(H$1,0)+1
)</f>
        <v>0</v>
      </c>
      <c r="I234" s="186">
        <f ca="1">-SUMIFS(
  desp.m.ik[valor],
  desp.m.ik[nucleo], $B234,
  desp.m.ik[variavel], $B$223,
  desp.m.ik[mes], "&gt;="&amp;I$1,
  desp.m.ik[mes], "&lt;"&amp;EOMONTH(I$1,0)+1
)</f>
        <v>0</v>
      </c>
      <c r="J234" s="186">
        <f ca="1">-SUMIFS(
  desp.m.ik[valor],
  desp.m.ik[nucleo], $B234,
  desp.m.ik[variavel], $B$223,
  desp.m.ik[mes], "&gt;="&amp;J$1,
  desp.m.ik[mes], "&lt;"&amp;EOMONTH(J$1,0)+1
)</f>
        <v>0</v>
      </c>
      <c r="K234" s="186">
        <f ca="1">-SUMIFS(
  desp.m.ik[valor],
  desp.m.ik[nucleo], $B234,
  desp.m.ik[variavel], $B$223,
  desp.m.ik[mes], "&gt;="&amp;K$1,
  desp.m.ik[mes], "&lt;"&amp;EOMONTH(K$1,0)+1
)</f>
        <v>0</v>
      </c>
      <c r="L234" s="186">
        <f ca="1">-SUMIFS(
  desp.m.ik[valor],
  desp.m.ik[nucleo], $B234,
  desp.m.ik[variavel], $B$223,
  desp.m.ik[mes], "&gt;="&amp;L$1,
  desp.m.ik[mes], "&lt;"&amp;EOMONTH(L$1,0)+1
)</f>
        <v>0</v>
      </c>
      <c r="M234" s="186">
        <f ca="1">-SUMIFS(
  desp.m.ik[valor],
  desp.m.ik[nucleo], $B234,
  desp.m.ik[variavel], $B$223,
  desp.m.ik[mes], "&gt;="&amp;M$1,
  desp.m.ik[mes], "&lt;"&amp;EOMONTH(M$1,0)+1
)</f>
        <v>0</v>
      </c>
      <c r="N234" s="186">
        <f ca="1">-SUMIFS(
  desp.m.ik[valor],
  desp.m.ik[nucleo], $B234,
  desp.m.ik[variavel], $B$223,
  desp.m.ik[mes], "&gt;="&amp;N$1,
  desp.m.ik[mes], "&lt;"&amp;EOMONTH(N$1,0)+1
)</f>
        <v>0</v>
      </c>
      <c r="O234" s="186">
        <f ca="1">-SUMIFS(
  desp.m.ik[valor],
  desp.m.ik[nucleo], $B234,
  desp.m.ik[variavel], $B$223,
  desp.m.ik[mes], "&gt;="&amp;O$1,
  desp.m.ik[mes], "&lt;"&amp;EOMONTH(O$1,0)+1
)</f>
        <v>0</v>
      </c>
      <c r="P234" s="186">
        <f ca="1">-SUMIFS(
  desp.m.ik[valor],
  desp.m.ik[nucleo], $B234,
  desp.m.ik[variavel], $B$223,
  desp.m.ik[mes], "&gt;="&amp;P$1,
  desp.m.ik[mes], "&lt;"&amp;EOMONTH(P$1,0)+1
)</f>
        <v>0</v>
      </c>
      <c r="Q234" s="186">
        <f ca="1">-SUMIFS(
  desp.m.ik[valor],
  desp.m.ik[nucleo], $B234,
  desp.m.ik[variavel], $B$223,
  desp.m.ik[mes], "&gt;="&amp;Q$1,
  desp.m.ik[mes], "&lt;"&amp;EOMONTH(Q$1,0)+1
)</f>
        <v>0</v>
      </c>
      <c r="R234" s="186">
        <f ca="1">-SUMIFS(
  desp.m.ik[valor],
  desp.m.ik[nucleo], $B234,
  desp.m.ik[variavel], $B$223,
  desp.m.ik[mes], "&gt;="&amp;R$1,
  desp.m.ik[mes], "&lt;"&amp;EOMONTH(R$1,0)+1
)</f>
        <v>0</v>
      </c>
      <c r="S234" s="186">
        <f ca="1">-SUMIFS(
  desp.m.ik[valor],
  desp.m.ik[nucleo], $B234,
  desp.m.ik[variavel], $B$223,
  desp.m.ik[mes], "&gt;="&amp;S$1,
  desp.m.ik[mes], "&lt;"&amp;EOMONTH(S$1,0)+1
)</f>
        <v>0</v>
      </c>
      <c r="T234" s="186">
        <f ca="1">-SUMIFS(
  desp.m.ik[valor],
  desp.m.ik[nucleo], $B234,
  desp.m.ik[variavel], $B$223,
  desp.m.ik[mes], "&gt;="&amp;T$1,
  desp.m.ik[mes], "&lt;"&amp;EOMONTH(T$1,0)+1
)</f>
        <v>0</v>
      </c>
      <c r="U234" s="186">
        <f ca="1">-SUMIFS(
  desp.m.ik[valor],
  desp.m.ik[nucleo], $B234,
  desp.m.ik[variavel], $B$223,
  desp.m.ik[mes], "&gt;="&amp;U$1,
  desp.m.ik[mes], "&lt;"&amp;EOMONTH(U$1,0)+1
)</f>
        <v>0</v>
      </c>
      <c r="V234" s="186">
        <f ca="1">-SUMIFS(
  desp.m.ik[valor],
  desp.m.ik[nucleo], $B234,
  desp.m.ik[variavel], $B$223,
  desp.m.ik[mes], "&gt;="&amp;V$1,
  desp.m.ik[mes], "&lt;"&amp;EOMONTH(V$1,0)+1
)</f>
        <v>0</v>
      </c>
      <c r="W234" s="186">
        <f ca="1">-SUMIFS(
  desp.m.ik[valor],
  desp.m.ik[nucleo], $B234,
  desp.m.ik[variavel], $B$223,
  desp.m.ik[mes], "&gt;="&amp;W$1,
  desp.m.ik[mes], "&lt;"&amp;EOMONTH(W$1,0)+1
)</f>
        <v>0</v>
      </c>
      <c r="X234" s="186">
        <f ca="1">-SUMIFS(
  desp.m.ik[valor],
  desp.m.ik[nucleo], $B234,
  desp.m.ik[variavel], $B$223,
  desp.m.ik[mes], "&gt;="&amp;X$1,
  desp.m.ik[mes], "&lt;"&amp;EOMONTH(X$1,0)+1
)</f>
        <v>0</v>
      </c>
      <c r="Y234" s="186">
        <f ca="1">-SUMIFS(
  desp.m.ik[valor],
  desp.m.ik[nucleo], $B234,
  desp.m.ik[variavel], $B$223,
  desp.m.ik[mes], "&gt;="&amp;Y$1,
  desp.m.ik[mes], "&lt;"&amp;EOMONTH(Y$1,0)+1
)</f>
        <v>0</v>
      </c>
      <c r="Z234" s="186">
        <f ca="1">-SUMIFS(
  desp.m.ik[valor],
  desp.m.ik[nucleo], $B234,
  desp.m.ik[variavel], $B$223,
  desp.m.ik[mes], "&gt;="&amp;Z$1,
  desp.m.ik[mes], "&lt;"&amp;EOMONTH(Z$1,0)+1
)</f>
        <v>0</v>
      </c>
      <c r="AA234" s="186">
        <f ca="1">-SUMIFS(
  desp.m.ik[valor],
  desp.m.ik[nucleo], $B234,
  desp.m.ik[variavel], $B$223,
  desp.m.ik[mes], "&gt;="&amp;AA$1,
  desp.m.ik[mes], "&lt;"&amp;EOMONTH(AA$1,0)+1
)</f>
        <v>0</v>
      </c>
      <c r="AC234" s="178">
        <f t="shared" ca="1" si="41"/>
        <v>0</v>
      </c>
      <c r="AE234" s="178">
        <f t="shared" ca="1" si="40"/>
        <v>0</v>
      </c>
    </row>
    <row r="235" spans="1:31" hidden="1" outlineLevel="2" x14ac:dyDescent="0.25">
      <c r="A235" s="185" t="s">
        <v>652</v>
      </c>
      <c r="B235" s="185" t="s">
        <v>653</v>
      </c>
      <c r="C235" s="138" t="s">
        <v>514</v>
      </c>
      <c r="D235" s="186">
        <f ca="1">-SUMIFS(
  desp.m.ik[valor],
  desp.m.ik[nucleo], $B235,
  desp.m.ik[variavel], $B$223,
  desp.m.ik[mes], "&gt;="&amp;D$1,
  desp.m.ik[mes], "&lt;"&amp;EOMONTH(D$1,0)+1
)</f>
        <v>0</v>
      </c>
      <c r="E235" s="186">
        <f ca="1">-SUMIFS(
  desp.m.ik[valor],
  desp.m.ik[nucleo], $B235,
  desp.m.ik[variavel], $B$223,
  desp.m.ik[mes], "&gt;="&amp;E$1,
  desp.m.ik[mes], "&lt;"&amp;EOMONTH(E$1,0)+1
)</f>
        <v>0</v>
      </c>
      <c r="F235" s="186">
        <f ca="1">-SUMIFS(
  desp.m.ik[valor],
  desp.m.ik[nucleo], $B235,
  desp.m.ik[variavel], $B$223,
  desp.m.ik[mes], "&gt;="&amp;F$1,
  desp.m.ik[mes], "&lt;"&amp;EOMONTH(F$1,0)+1
)</f>
        <v>0</v>
      </c>
      <c r="G235" s="186">
        <f ca="1">-SUMIFS(
  desp.m.ik[valor],
  desp.m.ik[nucleo], $B235,
  desp.m.ik[variavel], $B$223,
  desp.m.ik[mes], "&gt;="&amp;G$1,
  desp.m.ik[mes], "&lt;"&amp;EOMONTH(G$1,0)+1
)</f>
        <v>0</v>
      </c>
      <c r="H235" s="186">
        <f ca="1">-SUMIFS(
  desp.m.ik[valor],
  desp.m.ik[nucleo], $B235,
  desp.m.ik[variavel], $B$223,
  desp.m.ik[mes], "&gt;="&amp;H$1,
  desp.m.ik[mes], "&lt;"&amp;EOMONTH(H$1,0)+1
)</f>
        <v>0</v>
      </c>
      <c r="I235" s="186">
        <f ca="1">-SUMIFS(
  desp.m.ik[valor],
  desp.m.ik[nucleo], $B235,
  desp.m.ik[variavel], $B$223,
  desp.m.ik[mes], "&gt;="&amp;I$1,
  desp.m.ik[mes], "&lt;"&amp;EOMONTH(I$1,0)+1
)</f>
        <v>0</v>
      </c>
      <c r="J235" s="186">
        <f ca="1">-SUMIFS(
  desp.m.ik[valor],
  desp.m.ik[nucleo], $B235,
  desp.m.ik[variavel], $B$223,
  desp.m.ik[mes], "&gt;="&amp;J$1,
  desp.m.ik[mes], "&lt;"&amp;EOMONTH(J$1,0)+1
)</f>
        <v>0</v>
      </c>
      <c r="K235" s="186">
        <f ca="1">-SUMIFS(
  desp.m.ik[valor],
  desp.m.ik[nucleo], $B235,
  desp.m.ik[variavel], $B$223,
  desp.m.ik[mes], "&gt;="&amp;K$1,
  desp.m.ik[mes], "&lt;"&amp;EOMONTH(K$1,0)+1
)</f>
        <v>0</v>
      </c>
      <c r="L235" s="186">
        <f ca="1">-SUMIFS(
  desp.m.ik[valor],
  desp.m.ik[nucleo], $B235,
  desp.m.ik[variavel], $B$223,
  desp.m.ik[mes], "&gt;="&amp;L$1,
  desp.m.ik[mes], "&lt;"&amp;EOMONTH(L$1,0)+1
)</f>
        <v>0</v>
      </c>
      <c r="M235" s="186">
        <f ca="1">-SUMIFS(
  desp.m.ik[valor],
  desp.m.ik[nucleo], $B235,
  desp.m.ik[variavel], $B$223,
  desp.m.ik[mes], "&gt;="&amp;M$1,
  desp.m.ik[mes], "&lt;"&amp;EOMONTH(M$1,0)+1
)</f>
        <v>0</v>
      </c>
      <c r="N235" s="186">
        <f ca="1">-SUMIFS(
  desp.m.ik[valor],
  desp.m.ik[nucleo], $B235,
  desp.m.ik[variavel], $B$223,
  desp.m.ik[mes], "&gt;="&amp;N$1,
  desp.m.ik[mes], "&lt;"&amp;EOMONTH(N$1,0)+1
)</f>
        <v>0</v>
      </c>
      <c r="O235" s="186">
        <f ca="1">-SUMIFS(
  desp.m.ik[valor],
  desp.m.ik[nucleo], $B235,
  desp.m.ik[variavel], $B$223,
  desp.m.ik[mes], "&gt;="&amp;O$1,
  desp.m.ik[mes], "&lt;"&amp;EOMONTH(O$1,0)+1
)</f>
        <v>0</v>
      </c>
      <c r="P235" s="186">
        <f ca="1">-SUMIFS(
  desp.m.ik[valor],
  desp.m.ik[nucleo], $B235,
  desp.m.ik[variavel], $B$223,
  desp.m.ik[mes], "&gt;="&amp;P$1,
  desp.m.ik[mes], "&lt;"&amp;EOMONTH(P$1,0)+1
)</f>
        <v>0</v>
      </c>
      <c r="Q235" s="186">
        <f ca="1">-SUMIFS(
  desp.m.ik[valor],
  desp.m.ik[nucleo], $B235,
  desp.m.ik[variavel], $B$223,
  desp.m.ik[mes], "&gt;="&amp;Q$1,
  desp.m.ik[mes], "&lt;"&amp;EOMONTH(Q$1,0)+1
)</f>
        <v>0</v>
      </c>
      <c r="R235" s="186">
        <f ca="1">-SUMIFS(
  desp.m.ik[valor],
  desp.m.ik[nucleo], $B235,
  desp.m.ik[variavel], $B$223,
  desp.m.ik[mes], "&gt;="&amp;R$1,
  desp.m.ik[mes], "&lt;"&amp;EOMONTH(R$1,0)+1
)</f>
        <v>0</v>
      </c>
      <c r="S235" s="186">
        <f ca="1">-SUMIFS(
  desp.m.ik[valor],
  desp.m.ik[nucleo], $B235,
  desp.m.ik[variavel], $B$223,
  desp.m.ik[mes], "&gt;="&amp;S$1,
  desp.m.ik[mes], "&lt;"&amp;EOMONTH(S$1,0)+1
)</f>
        <v>0</v>
      </c>
      <c r="T235" s="186">
        <f ca="1">-SUMIFS(
  desp.m.ik[valor],
  desp.m.ik[nucleo], $B235,
  desp.m.ik[variavel], $B$223,
  desp.m.ik[mes], "&gt;="&amp;T$1,
  desp.m.ik[mes], "&lt;"&amp;EOMONTH(T$1,0)+1
)</f>
        <v>0</v>
      </c>
      <c r="U235" s="186">
        <f ca="1">-SUMIFS(
  desp.m.ik[valor],
  desp.m.ik[nucleo], $B235,
  desp.m.ik[variavel], $B$223,
  desp.m.ik[mes], "&gt;="&amp;U$1,
  desp.m.ik[mes], "&lt;"&amp;EOMONTH(U$1,0)+1
)</f>
        <v>0</v>
      </c>
      <c r="V235" s="186">
        <f ca="1">-SUMIFS(
  desp.m.ik[valor],
  desp.m.ik[nucleo], $B235,
  desp.m.ik[variavel], $B$223,
  desp.m.ik[mes], "&gt;="&amp;V$1,
  desp.m.ik[mes], "&lt;"&amp;EOMONTH(V$1,0)+1
)</f>
        <v>0</v>
      </c>
      <c r="W235" s="186">
        <f ca="1">-SUMIFS(
  desp.m.ik[valor],
  desp.m.ik[nucleo], $B235,
  desp.m.ik[variavel], $B$223,
  desp.m.ik[mes], "&gt;="&amp;W$1,
  desp.m.ik[mes], "&lt;"&amp;EOMONTH(W$1,0)+1
)</f>
        <v>0</v>
      </c>
      <c r="X235" s="186">
        <f ca="1">-SUMIFS(
  desp.m.ik[valor],
  desp.m.ik[nucleo], $B235,
  desp.m.ik[variavel], $B$223,
  desp.m.ik[mes], "&gt;="&amp;X$1,
  desp.m.ik[mes], "&lt;"&amp;EOMONTH(X$1,0)+1
)</f>
        <v>0</v>
      </c>
      <c r="Y235" s="186">
        <f ca="1">-SUMIFS(
  desp.m.ik[valor],
  desp.m.ik[nucleo], $B235,
  desp.m.ik[variavel], $B$223,
  desp.m.ik[mes], "&gt;="&amp;Y$1,
  desp.m.ik[mes], "&lt;"&amp;EOMONTH(Y$1,0)+1
)</f>
        <v>0</v>
      </c>
      <c r="Z235" s="186">
        <f ca="1">-SUMIFS(
  desp.m.ik[valor],
  desp.m.ik[nucleo], $B235,
  desp.m.ik[variavel], $B$223,
  desp.m.ik[mes], "&gt;="&amp;Z$1,
  desp.m.ik[mes], "&lt;"&amp;EOMONTH(Z$1,0)+1
)</f>
        <v>0</v>
      </c>
      <c r="AA235" s="186">
        <f ca="1">-SUMIFS(
  desp.m.ik[valor],
  desp.m.ik[nucleo], $B235,
  desp.m.ik[variavel], $B$223,
  desp.m.ik[mes], "&gt;="&amp;AA$1,
  desp.m.ik[mes], "&lt;"&amp;EOMONTH(AA$1,0)+1
)</f>
        <v>0</v>
      </c>
      <c r="AC235" s="178">
        <f t="shared" ca="1" si="41"/>
        <v>0</v>
      </c>
      <c r="AE235" s="178">
        <f t="shared" ca="1" si="40"/>
        <v>0</v>
      </c>
    </row>
    <row r="236" spans="1:31" hidden="1" outlineLevel="2" x14ac:dyDescent="0.25">
      <c r="A236" s="185" t="s">
        <v>657</v>
      </c>
      <c r="B236" s="185" t="s">
        <v>539</v>
      </c>
      <c r="C236" s="138" t="s">
        <v>514</v>
      </c>
      <c r="D236" s="186">
        <f ca="1">-SUMIFS(
  desp.m.ik[valor],
  desp.m.ik[nucleo], $B236,
  desp.m.ik[variavel], $B$223,
  desp.m.ik[mes], "&gt;="&amp;D$1,
  desp.m.ik[mes], "&lt;"&amp;EOMONTH(D$1,0)+1
)</f>
        <v>0</v>
      </c>
      <c r="E236" s="186">
        <f ca="1">-SUMIFS(
  desp.m.ik[valor],
  desp.m.ik[nucleo], $B236,
  desp.m.ik[variavel], $B$223,
  desp.m.ik[mes], "&gt;="&amp;E$1,
  desp.m.ik[mes], "&lt;"&amp;EOMONTH(E$1,0)+1
)</f>
        <v>0</v>
      </c>
      <c r="F236" s="186">
        <f ca="1">-SUMIFS(
  desp.m.ik[valor],
  desp.m.ik[nucleo], $B236,
  desp.m.ik[variavel], $B$223,
  desp.m.ik[mes], "&gt;="&amp;F$1,
  desp.m.ik[mes], "&lt;"&amp;EOMONTH(F$1,0)+1
)</f>
        <v>0</v>
      </c>
      <c r="G236" s="186">
        <f ca="1">-SUMIFS(
  desp.m.ik[valor],
  desp.m.ik[nucleo], $B236,
  desp.m.ik[variavel], $B$223,
  desp.m.ik[mes], "&gt;="&amp;G$1,
  desp.m.ik[mes], "&lt;"&amp;EOMONTH(G$1,0)+1
)</f>
        <v>0</v>
      </c>
      <c r="H236" s="186">
        <f ca="1">-SUMIFS(
  desp.m.ik[valor],
  desp.m.ik[nucleo], $B236,
  desp.m.ik[variavel], $B$223,
  desp.m.ik[mes], "&gt;="&amp;H$1,
  desp.m.ik[mes], "&lt;"&amp;EOMONTH(H$1,0)+1
)</f>
        <v>0</v>
      </c>
      <c r="I236" s="186">
        <f ca="1">-SUMIFS(
  desp.m.ik[valor],
  desp.m.ik[nucleo], $B236,
  desp.m.ik[variavel], $B$223,
  desp.m.ik[mes], "&gt;="&amp;I$1,
  desp.m.ik[mes], "&lt;"&amp;EOMONTH(I$1,0)+1
)</f>
        <v>0</v>
      </c>
      <c r="J236" s="186">
        <f ca="1">-SUMIFS(
  desp.m.ik[valor],
  desp.m.ik[nucleo], $B236,
  desp.m.ik[variavel], $B$223,
  desp.m.ik[mes], "&gt;="&amp;J$1,
  desp.m.ik[mes], "&lt;"&amp;EOMONTH(J$1,0)+1
)</f>
        <v>0</v>
      </c>
      <c r="K236" s="186">
        <f ca="1">-SUMIFS(
  desp.m.ik[valor],
  desp.m.ik[nucleo], $B236,
  desp.m.ik[variavel], $B$223,
  desp.m.ik[mes], "&gt;="&amp;K$1,
  desp.m.ik[mes], "&lt;"&amp;EOMONTH(K$1,0)+1
)</f>
        <v>0</v>
      </c>
      <c r="L236" s="186">
        <f ca="1">-SUMIFS(
  desp.m.ik[valor],
  desp.m.ik[nucleo], $B236,
  desp.m.ik[variavel], $B$223,
  desp.m.ik[mes], "&gt;="&amp;L$1,
  desp.m.ik[mes], "&lt;"&amp;EOMONTH(L$1,0)+1
)</f>
        <v>0</v>
      </c>
      <c r="M236" s="186">
        <f ca="1">-SUMIFS(
  desp.m.ik[valor],
  desp.m.ik[nucleo], $B236,
  desp.m.ik[variavel], $B$223,
  desp.m.ik[mes], "&gt;="&amp;M$1,
  desp.m.ik[mes], "&lt;"&amp;EOMONTH(M$1,0)+1
)</f>
        <v>0</v>
      </c>
      <c r="N236" s="186">
        <f ca="1">-SUMIFS(
  desp.m.ik[valor],
  desp.m.ik[nucleo], $B236,
  desp.m.ik[variavel], $B$223,
  desp.m.ik[mes], "&gt;="&amp;N$1,
  desp.m.ik[mes], "&lt;"&amp;EOMONTH(N$1,0)+1
)</f>
        <v>0</v>
      </c>
      <c r="O236" s="186">
        <f ca="1">-SUMIFS(
  desp.m.ik[valor],
  desp.m.ik[nucleo], $B236,
  desp.m.ik[variavel], $B$223,
  desp.m.ik[mes], "&gt;="&amp;O$1,
  desp.m.ik[mes], "&lt;"&amp;EOMONTH(O$1,0)+1
)</f>
        <v>0</v>
      </c>
      <c r="P236" s="186">
        <f ca="1">-SUMIFS(
  desp.m.ik[valor],
  desp.m.ik[nucleo], $B236,
  desp.m.ik[variavel], $B$223,
  desp.m.ik[mes], "&gt;="&amp;P$1,
  desp.m.ik[mes], "&lt;"&amp;EOMONTH(P$1,0)+1
)</f>
        <v>0</v>
      </c>
      <c r="Q236" s="186">
        <f ca="1">-SUMIFS(
  desp.m.ik[valor],
  desp.m.ik[nucleo], $B236,
  desp.m.ik[variavel], $B$223,
  desp.m.ik[mes], "&gt;="&amp;Q$1,
  desp.m.ik[mes], "&lt;"&amp;EOMONTH(Q$1,0)+1
)</f>
        <v>0</v>
      </c>
      <c r="R236" s="186">
        <f ca="1">-SUMIFS(
  desp.m.ik[valor],
  desp.m.ik[nucleo], $B236,
  desp.m.ik[variavel], $B$223,
  desp.m.ik[mes], "&gt;="&amp;R$1,
  desp.m.ik[mes], "&lt;"&amp;EOMONTH(R$1,0)+1
)</f>
        <v>0</v>
      </c>
      <c r="S236" s="186">
        <f ca="1">-SUMIFS(
  desp.m.ik[valor],
  desp.m.ik[nucleo], $B236,
  desp.m.ik[variavel], $B$223,
  desp.m.ik[mes], "&gt;="&amp;S$1,
  desp.m.ik[mes], "&lt;"&amp;EOMONTH(S$1,0)+1
)</f>
        <v>0</v>
      </c>
      <c r="T236" s="186">
        <f ca="1">-SUMIFS(
  desp.m.ik[valor],
  desp.m.ik[nucleo], $B236,
  desp.m.ik[variavel], $B$223,
  desp.m.ik[mes], "&gt;="&amp;T$1,
  desp.m.ik[mes], "&lt;"&amp;EOMONTH(T$1,0)+1
)</f>
        <v>0</v>
      </c>
      <c r="U236" s="186">
        <f ca="1">-SUMIFS(
  desp.m.ik[valor],
  desp.m.ik[nucleo], $B236,
  desp.m.ik[variavel], $B$223,
  desp.m.ik[mes], "&gt;="&amp;U$1,
  desp.m.ik[mes], "&lt;"&amp;EOMONTH(U$1,0)+1
)</f>
        <v>0</v>
      </c>
      <c r="V236" s="186">
        <f ca="1">-SUMIFS(
  desp.m.ik[valor],
  desp.m.ik[nucleo], $B236,
  desp.m.ik[variavel], $B$223,
  desp.m.ik[mes], "&gt;="&amp;V$1,
  desp.m.ik[mes], "&lt;"&amp;EOMONTH(V$1,0)+1
)</f>
        <v>0</v>
      </c>
      <c r="W236" s="186">
        <f ca="1">-SUMIFS(
  desp.m.ik[valor],
  desp.m.ik[nucleo], $B236,
  desp.m.ik[variavel], $B$223,
  desp.m.ik[mes], "&gt;="&amp;W$1,
  desp.m.ik[mes], "&lt;"&amp;EOMONTH(W$1,0)+1
)</f>
        <v>0</v>
      </c>
      <c r="X236" s="186">
        <f ca="1">-SUMIFS(
  desp.m.ik[valor],
  desp.m.ik[nucleo], $B236,
  desp.m.ik[variavel], $B$223,
  desp.m.ik[mes], "&gt;="&amp;X$1,
  desp.m.ik[mes], "&lt;"&amp;EOMONTH(X$1,0)+1
)</f>
        <v>0</v>
      </c>
      <c r="Y236" s="186">
        <f ca="1">-SUMIFS(
  desp.m.ik[valor],
  desp.m.ik[nucleo], $B236,
  desp.m.ik[variavel], $B$223,
  desp.m.ik[mes], "&gt;="&amp;Y$1,
  desp.m.ik[mes], "&lt;"&amp;EOMONTH(Y$1,0)+1
)</f>
        <v>0</v>
      </c>
      <c r="Z236" s="186">
        <f ca="1">-SUMIFS(
  desp.m.ik[valor],
  desp.m.ik[nucleo], $B236,
  desp.m.ik[variavel], $B$223,
  desp.m.ik[mes], "&gt;="&amp;Z$1,
  desp.m.ik[mes], "&lt;"&amp;EOMONTH(Z$1,0)+1
)</f>
        <v>0</v>
      </c>
      <c r="AA236" s="186">
        <f ca="1">-SUMIFS(
  desp.m.ik[valor],
  desp.m.ik[nucleo], $B236,
  desp.m.ik[variavel], $B$223,
  desp.m.ik[mes], "&gt;="&amp;AA$1,
  desp.m.ik[mes], "&lt;"&amp;EOMONTH(AA$1,0)+1
)</f>
        <v>0</v>
      </c>
      <c r="AC236" s="178">
        <f t="shared" ca="1" si="41"/>
        <v>0</v>
      </c>
      <c r="AE236" s="178">
        <f t="shared" ca="1" si="40"/>
        <v>0</v>
      </c>
    </row>
    <row r="237" spans="1:31" hidden="1" outlineLevel="2" x14ac:dyDescent="0.25">
      <c r="A237" s="185" t="s">
        <v>658</v>
      </c>
      <c r="B237" s="185" t="s">
        <v>659</v>
      </c>
      <c r="C237" s="138" t="s">
        <v>514</v>
      </c>
      <c r="D237" s="186">
        <f ca="1">-SUMIFS(
  desp.m.ik[valor],
  desp.m.ik[nucleo], $B237,
  desp.m.ik[variavel], $B$223,
  desp.m.ik[mes], "&gt;="&amp;D$1,
  desp.m.ik[mes], "&lt;"&amp;EOMONTH(D$1,0)+1
)</f>
        <v>0</v>
      </c>
      <c r="E237" s="186">
        <f ca="1">-SUMIFS(
  desp.m.ik[valor],
  desp.m.ik[nucleo], $B237,
  desp.m.ik[variavel], $B$223,
  desp.m.ik[mes], "&gt;="&amp;E$1,
  desp.m.ik[mes], "&lt;"&amp;EOMONTH(E$1,0)+1
)</f>
        <v>0</v>
      </c>
      <c r="F237" s="186">
        <f ca="1">-SUMIFS(
  desp.m.ik[valor],
  desp.m.ik[nucleo], $B237,
  desp.m.ik[variavel], $B$223,
  desp.m.ik[mes], "&gt;="&amp;F$1,
  desp.m.ik[mes], "&lt;"&amp;EOMONTH(F$1,0)+1
)</f>
        <v>0</v>
      </c>
      <c r="G237" s="186">
        <f ca="1">-SUMIFS(
  desp.m.ik[valor],
  desp.m.ik[nucleo], $B237,
  desp.m.ik[variavel], $B$223,
  desp.m.ik[mes], "&gt;="&amp;G$1,
  desp.m.ik[mes], "&lt;"&amp;EOMONTH(G$1,0)+1
)</f>
        <v>0</v>
      </c>
      <c r="H237" s="186">
        <f ca="1">-SUMIFS(
  desp.m.ik[valor],
  desp.m.ik[nucleo], $B237,
  desp.m.ik[variavel], $B$223,
  desp.m.ik[mes], "&gt;="&amp;H$1,
  desp.m.ik[mes], "&lt;"&amp;EOMONTH(H$1,0)+1
)</f>
        <v>0</v>
      </c>
      <c r="I237" s="186">
        <f ca="1">-SUMIFS(
  desp.m.ik[valor],
  desp.m.ik[nucleo], $B237,
  desp.m.ik[variavel], $B$223,
  desp.m.ik[mes], "&gt;="&amp;I$1,
  desp.m.ik[mes], "&lt;"&amp;EOMONTH(I$1,0)+1
)</f>
        <v>0</v>
      </c>
      <c r="J237" s="186">
        <f ca="1">-SUMIFS(
  desp.m.ik[valor],
  desp.m.ik[nucleo], $B237,
  desp.m.ik[variavel], $B$223,
  desp.m.ik[mes], "&gt;="&amp;J$1,
  desp.m.ik[mes], "&lt;"&amp;EOMONTH(J$1,0)+1
)</f>
        <v>0</v>
      </c>
      <c r="K237" s="186">
        <f ca="1">-SUMIFS(
  desp.m.ik[valor],
  desp.m.ik[nucleo], $B237,
  desp.m.ik[variavel], $B$223,
  desp.m.ik[mes], "&gt;="&amp;K$1,
  desp.m.ik[mes], "&lt;"&amp;EOMONTH(K$1,0)+1
)</f>
        <v>0</v>
      </c>
      <c r="L237" s="186">
        <f ca="1">-SUMIFS(
  desp.m.ik[valor],
  desp.m.ik[nucleo], $B237,
  desp.m.ik[variavel], $B$223,
  desp.m.ik[mes], "&gt;="&amp;L$1,
  desp.m.ik[mes], "&lt;"&amp;EOMONTH(L$1,0)+1
)</f>
        <v>0</v>
      </c>
      <c r="M237" s="186">
        <f ca="1">-SUMIFS(
  desp.m.ik[valor],
  desp.m.ik[nucleo], $B237,
  desp.m.ik[variavel], $B$223,
  desp.m.ik[mes], "&gt;="&amp;M$1,
  desp.m.ik[mes], "&lt;"&amp;EOMONTH(M$1,0)+1
)</f>
        <v>0</v>
      </c>
      <c r="N237" s="186">
        <f ca="1">-SUMIFS(
  desp.m.ik[valor],
  desp.m.ik[nucleo], $B237,
  desp.m.ik[variavel], $B$223,
  desp.m.ik[mes], "&gt;="&amp;N$1,
  desp.m.ik[mes], "&lt;"&amp;EOMONTH(N$1,0)+1
)</f>
        <v>0</v>
      </c>
      <c r="O237" s="186">
        <f ca="1">-SUMIFS(
  desp.m.ik[valor],
  desp.m.ik[nucleo], $B237,
  desp.m.ik[variavel], $B$223,
  desp.m.ik[mes], "&gt;="&amp;O$1,
  desp.m.ik[mes], "&lt;"&amp;EOMONTH(O$1,0)+1
)</f>
        <v>0</v>
      </c>
      <c r="P237" s="186">
        <f ca="1">-SUMIFS(
  desp.m.ik[valor],
  desp.m.ik[nucleo], $B237,
  desp.m.ik[variavel], $B$223,
  desp.m.ik[mes], "&gt;="&amp;P$1,
  desp.m.ik[mes], "&lt;"&amp;EOMONTH(P$1,0)+1
)</f>
        <v>0</v>
      </c>
      <c r="Q237" s="186">
        <f ca="1">-SUMIFS(
  desp.m.ik[valor],
  desp.m.ik[nucleo], $B237,
  desp.m.ik[variavel], $B$223,
  desp.m.ik[mes], "&gt;="&amp;Q$1,
  desp.m.ik[mes], "&lt;"&amp;EOMONTH(Q$1,0)+1
)</f>
        <v>0</v>
      </c>
      <c r="R237" s="186">
        <f ca="1">-SUMIFS(
  desp.m.ik[valor],
  desp.m.ik[nucleo], $B237,
  desp.m.ik[variavel], $B$223,
  desp.m.ik[mes], "&gt;="&amp;R$1,
  desp.m.ik[mes], "&lt;"&amp;EOMONTH(R$1,0)+1
)</f>
        <v>0</v>
      </c>
      <c r="S237" s="186">
        <f ca="1">-SUMIFS(
  desp.m.ik[valor],
  desp.m.ik[nucleo], $B237,
  desp.m.ik[variavel], $B$223,
  desp.m.ik[mes], "&gt;="&amp;S$1,
  desp.m.ik[mes], "&lt;"&amp;EOMONTH(S$1,0)+1
)</f>
        <v>0</v>
      </c>
      <c r="T237" s="186">
        <f ca="1">-SUMIFS(
  desp.m.ik[valor],
  desp.m.ik[nucleo], $B237,
  desp.m.ik[variavel], $B$223,
  desp.m.ik[mes], "&gt;="&amp;T$1,
  desp.m.ik[mes], "&lt;"&amp;EOMONTH(T$1,0)+1
)</f>
        <v>0</v>
      </c>
      <c r="U237" s="186">
        <f ca="1">-SUMIFS(
  desp.m.ik[valor],
  desp.m.ik[nucleo], $B237,
  desp.m.ik[variavel], $B$223,
  desp.m.ik[mes], "&gt;="&amp;U$1,
  desp.m.ik[mes], "&lt;"&amp;EOMONTH(U$1,0)+1
)</f>
        <v>0</v>
      </c>
      <c r="V237" s="186">
        <f ca="1">-SUMIFS(
  desp.m.ik[valor],
  desp.m.ik[nucleo], $B237,
  desp.m.ik[variavel], $B$223,
  desp.m.ik[mes], "&gt;="&amp;V$1,
  desp.m.ik[mes], "&lt;"&amp;EOMONTH(V$1,0)+1
)</f>
        <v>0</v>
      </c>
      <c r="W237" s="186">
        <f ca="1">-SUMIFS(
  desp.m.ik[valor],
  desp.m.ik[nucleo], $B237,
  desp.m.ik[variavel], $B$223,
  desp.m.ik[mes], "&gt;="&amp;W$1,
  desp.m.ik[mes], "&lt;"&amp;EOMONTH(W$1,0)+1
)</f>
        <v>0</v>
      </c>
      <c r="X237" s="186">
        <f ca="1">-SUMIFS(
  desp.m.ik[valor],
  desp.m.ik[nucleo], $B237,
  desp.m.ik[variavel], $B$223,
  desp.m.ik[mes], "&gt;="&amp;X$1,
  desp.m.ik[mes], "&lt;"&amp;EOMONTH(X$1,0)+1
)</f>
        <v>0</v>
      </c>
      <c r="Y237" s="186">
        <f ca="1">-SUMIFS(
  desp.m.ik[valor],
  desp.m.ik[nucleo], $B237,
  desp.m.ik[variavel], $B$223,
  desp.m.ik[mes], "&gt;="&amp;Y$1,
  desp.m.ik[mes], "&lt;"&amp;EOMONTH(Y$1,0)+1
)</f>
        <v>0</v>
      </c>
      <c r="Z237" s="186">
        <f ca="1">-SUMIFS(
  desp.m.ik[valor],
  desp.m.ik[nucleo], $B237,
  desp.m.ik[variavel], $B$223,
  desp.m.ik[mes], "&gt;="&amp;Z$1,
  desp.m.ik[mes], "&lt;"&amp;EOMONTH(Z$1,0)+1
)</f>
        <v>0</v>
      </c>
      <c r="AA237" s="186">
        <f ca="1">-SUMIFS(
  desp.m.ik[valor],
  desp.m.ik[nucleo], $B237,
  desp.m.ik[variavel], $B$223,
  desp.m.ik[mes], "&gt;="&amp;AA$1,
  desp.m.ik[mes], "&lt;"&amp;EOMONTH(AA$1,0)+1
)</f>
        <v>0</v>
      </c>
      <c r="AC237" s="178">
        <f t="shared" ca="1" si="41"/>
        <v>0</v>
      </c>
      <c r="AE237" s="178">
        <f t="shared" ca="1" si="40"/>
        <v>0</v>
      </c>
    </row>
    <row r="238" spans="1:31" hidden="1" outlineLevel="2" x14ac:dyDescent="0.25">
      <c r="A238" s="185" t="s">
        <v>920</v>
      </c>
      <c r="B238" s="185" t="s">
        <v>535</v>
      </c>
      <c r="C238" s="138" t="s">
        <v>514</v>
      </c>
      <c r="D238" s="186">
        <f ca="1">-SUMIFS(
  desp.m.ik[valor],
  desp.m.ik[nucleo], $B238,
  desp.m.ik[variavel], $B$223,
  desp.m.ik[mes], "&gt;="&amp;D$1,
  desp.m.ik[mes], "&lt;"&amp;EOMONTH(D$1,0)+1
)</f>
        <v>0</v>
      </c>
      <c r="E238" s="186">
        <f ca="1">-SUMIFS(
  desp.m.ik[valor],
  desp.m.ik[nucleo], $B238,
  desp.m.ik[variavel], $B$223,
  desp.m.ik[mes], "&gt;="&amp;E$1,
  desp.m.ik[mes], "&lt;"&amp;EOMONTH(E$1,0)+1
)</f>
        <v>0</v>
      </c>
      <c r="F238" s="186">
        <f ca="1">-SUMIFS(
  desp.m.ik[valor],
  desp.m.ik[nucleo], $B238,
  desp.m.ik[variavel], $B$223,
  desp.m.ik[mes], "&gt;="&amp;F$1,
  desp.m.ik[mes], "&lt;"&amp;EOMONTH(F$1,0)+1
)</f>
        <v>0</v>
      </c>
      <c r="G238" s="186">
        <f ca="1">-SUMIFS(
  desp.m.ik[valor],
  desp.m.ik[nucleo], $B238,
  desp.m.ik[variavel], $B$223,
  desp.m.ik[mes], "&gt;="&amp;G$1,
  desp.m.ik[mes], "&lt;"&amp;EOMONTH(G$1,0)+1
)</f>
        <v>0</v>
      </c>
      <c r="H238" s="186">
        <f ca="1">-SUMIFS(
  desp.m.ik[valor],
  desp.m.ik[nucleo], $B238,
  desp.m.ik[variavel], $B$223,
  desp.m.ik[mes], "&gt;="&amp;H$1,
  desp.m.ik[mes], "&lt;"&amp;EOMONTH(H$1,0)+1
)</f>
        <v>0</v>
      </c>
      <c r="I238" s="186">
        <f ca="1">-SUMIFS(
  desp.m.ik[valor],
  desp.m.ik[nucleo], $B238,
  desp.m.ik[variavel], $B$223,
  desp.m.ik[mes], "&gt;="&amp;I$1,
  desp.m.ik[mes], "&lt;"&amp;EOMONTH(I$1,0)+1
)</f>
        <v>0</v>
      </c>
      <c r="J238" s="186">
        <f ca="1">-SUMIFS(
  desp.m.ik[valor],
  desp.m.ik[nucleo], $B238,
  desp.m.ik[variavel], $B$223,
  desp.m.ik[mes], "&gt;="&amp;J$1,
  desp.m.ik[mes], "&lt;"&amp;EOMONTH(J$1,0)+1
)</f>
        <v>0</v>
      </c>
      <c r="K238" s="186">
        <f ca="1">-SUMIFS(
  desp.m.ik[valor],
  desp.m.ik[nucleo], $B238,
  desp.m.ik[variavel], $B$223,
  desp.m.ik[mes], "&gt;="&amp;K$1,
  desp.m.ik[mes], "&lt;"&amp;EOMONTH(K$1,0)+1
)</f>
        <v>0</v>
      </c>
      <c r="L238" s="186">
        <f ca="1">-SUMIFS(
  desp.m.ik[valor],
  desp.m.ik[nucleo], $B238,
  desp.m.ik[variavel], $B$223,
  desp.m.ik[mes], "&gt;="&amp;L$1,
  desp.m.ik[mes], "&lt;"&amp;EOMONTH(L$1,0)+1
)</f>
        <v>0</v>
      </c>
      <c r="M238" s="186">
        <f ca="1">-SUMIFS(
  desp.m.ik[valor],
  desp.m.ik[nucleo], $B238,
  desp.m.ik[variavel], $B$223,
  desp.m.ik[mes], "&gt;="&amp;M$1,
  desp.m.ik[mes], "&lt;"&amp;EOMONTH(M$1,0)+1
)</f>
        <v>0</v>
      </c>
      <c r="N238" s="186">
        <f ca="1">-SUMIFS(
  desp.m.ik[valor],
  desp.m.ik[nucleo], $B238,
  desp.m.ik[variavel], $B$223,
  desp.m.ik[mes], "&gt;="&amp;N$1,
  desp.m.ik[mes], "&lt;"&amp;EOMONTH(N$1,0)+1
)</f>
        <v>0</v>
      </c>
      <c r="O238" s="186">
        <f ca="1">-SUMIFS(
  desp.m.ik[valor],
  desp.m.ik[nucleo], $B238,
  desp.m.ik[variavel], $B$223,
  desp.m.ik[mes], "&gt;="&amp;O$1,
  desp.m.ik[mes], "&lt;"&amp;EOMONTH(O$1,0)+1
)</f>
        <v>0</v>
      </c>
      <c r="P238" s="186">
        <f ca="1">-SUMIFS(
  desp.m.ik[valor],
  desp.m.ik[nucleo], $B238,
  desp.m.ik[variavel], $B$223,
  desp.m.ik[mes], "&gt;="&amp;P$1,
  desp.m.ik[mes], "&lt;"&amp;EOMONTH(P$1,0)+1
)</f>
        <v>0</v>
      </c>
      <c r="Q238" s="186">
        <f ca="1">-SUMIFS(
  desp.m.ik[valor],
  desp.m.ik[nucleo], $B238,
  desp.m.ik[variavel], $B$223,
  desp.m.ik[mes], "&gt;="&amp;Q$1,
  desp.m.ik[mes], "&lt;"&amp;EOMONTH(Q$1,0)+1
)</f>
        <v>0</v>
      </c>
      <c r="R238" s="186">
        <f ca="1">-SUMIFS(
  desp.m.ik[valor],
  desp.m.ik[nucleo], $B238,
  desp.m.ik[variavel], $B$223,
  desp.m.ik[mes], "&gt;="&amp;R$1,
  desp.m.ik[mes], "&lt;"&amp;EOMONTH(R$1,0)+1
)</f>
        <v>0</v>
      </c>
      <c r="S238" s="186">
        <f ca="1">-SUMIFS(
  desp.m.ik[valor],
  desp.m.ik[nucleo], $B238,
  desp.m.ik[variavel], $B$223,
  desp.m.ik[mes], "&gt;="&amp;S$1,
  desp.m.ik[mes], "&lt;"&amp;EOMONTH(S$1,0)+1
)</f>
        <v>0</v>
      </c>
      <c r="T238" s="186">
        <f ca="1">-SUMIFS(
  desp.m.ik[valor],
  desp.m.ik[nucleo], $B238,
  desp.m.ik[variavel], $B$223,
  desp.m.ik[mes], "&gt;="&amp;T$1,
  desp.m.ik[mes], "&lt;"&amp;EOMONTH(T$1,0)+1
)</f>
        <v>0</v>
      </c>
      <c r="U238" s="186">
        <f ca="1">-SUMIFS(
  desp.m.ik[valor],
  desp.m.ik[nucleo], $B238,
  desp.m.ik[variavel], $B$223,
  desp.m.ik[mes], "&gt;="&amp;U$1,
  desp.m.ik[mes], "&lt;"&amp;EOMONTH(U$1,0)+1
)</f>
        <v>0</v>
      </c>
      <c r="V238" s="186">
        <f ca="1">-SUMIFS(
  desp.m.ik[valor],
  desp.m.ik[nucleo], $B238,
  desp.m.ik[variavel], $B$223,
  desp.m.ik[mes], "&gt;="&amp;V$1,
  desp.m.ik[mes], "&lt;"&amp;EOMONTH(V$1,0)+1
)</f>
        <v>0</v>
      </c>
      <c r="W238" s="186">
        <f ca="1">-SUMIFS(
  desp.m.ik[valor],
  desp.m.ik[nucleo], $B238,
  desp.m.ik[variavel], $B$223,
  desp.m.ik[mes], "&gt;="&amp;W$1,
  desp.m.ik[mes], "&lt;"&amp;EOMONTH(W$1,0)+1
)</f>
        <v>0</v>
      </c>
      <c r="X238" s="186">
        <f ca="1">-SUMIFS(
  desp.m.ik[valor],
  desp.m.ik[nucleo], $B238,
  desp.m.ik[variavel], $B$223,
  desp.m.ik[mes], "&gt;="&amp;X$1,
  desp.m.ik[mes], "&lt;"&amp;EOMONTH(X$1,0)+1
)</f>
        <v>0</v>
      </c>
      <c r="Y238" s="186">
        <f ca="1">-SUMIFS(
  desp.m.ik[valor],
  desp.m.ik[nucleo], $B238,
  desp.m.ik[variavel], $B$223,
  desp.m.ik[mes], "&gt;="&amp;Y$1,
  desp.m.ik[mes], "&lt;"&amp;EOMONTH(Y$1,0)+1
)</f>
        <v>0</v>
      </c>
      <c r="Z238" s="186">
        <f ca="1">-SUMIFS(
  desp.m.ik[valor],
  desp.m.ik[nucleo], $B238,
  desp.m.ik[variavel], $B$223,
  desp.m.ik[mes], "&gt;="&amp;Z$1,
  desp.m.ik[mes], "&lt;"&amp;EOMONTH(Z$1,0)+1
)</f>
        <v>0</v>
      </c>
      <c r="AA238" s="186">
        <f ca="1">-SUMIFS(
  desp.m.ik[valor],
  desp.m.ik[nucleo], $B238,
  desp.m.ik[variavel], $B$223,
  desp.m.ik[mes], "&gt;="&amp;AA$1,
  desp.m.ik[mes], "&lt;"&amp;EOMONTH(AA$1,0)+1
)</f>
        <v>0</v>
      </c>
      <c r="AC238" s="178">
        <f t="shared" ca="1" si="41"/>
        <v>0</v>
      </c>
      <c r="AE238" s="178">
        <f t="shared" ca="1" si="40"/>
        <v>0</v>
      </c>
    </row>
    <row r="239" spans="1:31" hidden="1" outlineLevel="2" x14ac:dyDescent="0.25">
      <c r="A239" s="185" t="s">
        <v>921</v>
      </c>
      <c r="B239" s="185" t="s">
        <v>573</v>
      </c>
      <c r="C239" s="138" t="s">
        <v>514</v>
      </c>
      <c r="D239" s="186">
        <f ca="1">-SUMIFS(
  desp.m.ik[valor],
  desp.m.ik[nucleo], $B239,
  desp.m.ik[variavel], $B$223,
  desp.m.ik[mes], "&gt;="&amp;D$1,
  desp.m.ik[mes], "&lt;"&amp;EOMONTH(D$1,0)+1
)</f>
        <v>0</v>
      </c>
      <c r="E239" s="186">
        <f ca="1">-SUMIFS(
  desp.m.ik[valor],
  desp.m.ik[nucleo], $B239,
  desp.m.ik[variavel], $B$223,
  desp.m.ik[mes], "&gt;="&amp;E$1,
  desp.m.ik[mes], "&lt;"&amp;EOMONTH(E$1,0)+1
)</f>
        <v>0</v>
      </c>
      <c r="F239" s="186">
        <f ca="1">-SUMIFS(
  desp.m.ik[valor],
  desp.m.ik[nucleo], $B239,
  desp.m.ik[variavel], $B$223,
  desp.m.ik[mes], "&gt;="&amp;F$1,
  desp.m.ik[mes], "&lt;"&amp;EOMONTH(F$1,0)+1
)</f>
        <v>0</v>
      </c>
      <c r="G239" s="186">
        <f ca="1">-SUMIFS(
  desp.m.ik[valor],
  desp.m.ik[nucleo], $B239,
  desp.m.ik[variavel], $B$223,
  desp.m.ik[mes], "&gt;="&amp;G$1,
  desp.m.ik[mes], "&lt;"&amp;EOMONTH(G$1,0)+1
)</f>
        <v>0</v>
      </c>
      <c r="H239" s="186">
        <f ca="1">-SUMIFS(
  desp.m.ik[valor],
  desp.m.ik[nucleo], $B239,
  desp.m.ik[variavel], $B$223,
  desp.m.ik[mes], "&gt;="&amp;H$1,
  desp.m.ik[mes], "&lt;"&amp;EOMONTH(H$1,0)+1
)</f>
        <v>0</v>
      </c>
      <c r="I239" s="186">
        <f ca="1">-SUMIFS(
  desp.m.ik[valor],
  desp.m.ik[nucleo], $B239,
  desp.m.ik[variavel], $B$223,
  desp.m.ik[mes], "&gt;="&amp;I$1,
  desp.m.ik[mes], "&lt;"&amp;EOMONTH(I$1,0)+1
)</f>
        <v>0</v>
      </c>
      <c r="J239" s="186">
        <f ca="1">-SUMIFS(
  desp.m.ik[valor],
  desp.m.ik[nucleo], $B239,
  desp.m.ik[variavel], $B$223,
  desp.m.ik[mes], "&gt;="&amp;J$1,
  desp.m.ik[mes], "&lt;"&amp;EOMONTH(J$1,0)+1
)</f>
        <v>0</v>
      </c>
      <c r="K239" s="186">
        <f ca="1">-SUMIFS(
  desp.m.ik[valor],
  desp.m.ik[nucleo], $B239,
  desp.m.ik[variavel], $B$223,
  desp.m.ik[mes], "&gt;="&amp;K$1,
  desp.m.ik[mes], "&lt;"&amp;EOMONTH(K$1,0)+1
)</f>
        <v>0</v>
      </c>
      <c r="L239" s="186">
        <f ca="1">-SUMIFS(
  desp.m.ik[valor],
  desp.m.ik[nucleo], $B239,
  desp.m.ik[variavel], $B$223,
  desp.m.ik[mes], "&gt;="&amp;L$1,
  desp.m.ik[mes], "&lt;"&amp;EOMONTH(L$1,0)+1
)</f>
        <v>0</v>
      </c>
      <c r="M239" s="186">
        <f ca="1">-SUMIFS(
  desp.m.ik[valor],
  desp.m.ik[nucleo], $B239,
  desp.m.ik[variavel], $B$223,
  desp.m.ik[mes], "&gt;="&amp;M$1,
  desp.m.ik[mes], "&lt;"&amp;EOMONTH(M$1,0)+1
)</f>
        <v>0</v>
      </c>
      <c r="N239" s="186">
        <f ca="1">-SUMIFS(
  desp.m.ik[valor],
  desp.m.ik[nucleo], $B239,
  desp.m.ik[variavel], $B$223,
  desp.m.ik[mes], "&gt;="&amp;N$1,
  desp.m.ik[mes], "&lt;"&amp;EOMONTH(N$1,0)+1
)</f>
        <v>0</v>
      </c>
      <c r="O239" s="186">
        <f ca="1">-SUMIFS(
  desp.m.ik[valor],
  desp.m.ik[nucleo], $B239,
  desp.m.ik[variavel], $B$223,
  desp.m.ik[mes], "&gt;="&amp;O$1,
  desp.m.ik[mes], "&lt;"&amp;EOMONTH(O$1,0)+1
)</f>
        <v>0</v>
      </c>
      <c r="P239" s="186">
        <f ca="1">-SUMIFS(
  desp.m.ik[valor],
  desp.m.ik[nucleo], $B239,
  desp.m.ik[variavel], $B$223,
  desp.m.ik[mes], "&gt;="&amp;P$1,
  desp.m.ik[mes], "&lt;"&amp;EOMONTH(P$1,0)+1
)</f>
        <v>0</v>
      </c>
      <c r="Q239" s="186">
        <f ca="1">-SUMIFS(
  desp.m.ik[valor],
  desp.m.ik[nucleo], $B239,
  desp.m.ik[variavel], $B$223,
  desp.m.ik[mes], "&gt;="&amp;Q$1,
  desp.m.ik[mes], "&lt;"&amp;EOMONTH(Q$1,0)+1
)</f>
        <v>0</v>
      </c>
      <c r="R239" s="186">
        <f ca="1">-SUMIFS(
  desp.m.ik[valor],
  desp.m.ik[nucleo], $B239,
  desp.m.ik[variavel], $B$223,
  desp.m.ik[mes], "&gt;="&amp;R$1,
  desp.m.ik[mes], "&lt;"&amp;EOMONTH(R$1,0)+1
)</f>
        <v>0</v>
      </c>
      <c r="S239" s="186">
        <f ca="1">-SUMIFS(
  desp.m.ik[valor],
  desp.m.ik[nucleo], $B239,
  desp.m.ik[variavel], $B$223,
  desp.m.ik[mes], "&gt;="&amp;S$1,
  desp.m.ik[mes], "&lt;"&amp;EOMONTH(S$1,0)+1
)</f>
        <v>0</v>
      </c>
      <c r="T239" s="186">
        <f ca="1">-SUMIFS(
  desp.m.ik[valor],
  desp.m.ik[nucleo], $B239,
  desp.m.ik[variavel], $B$223,
  desp.m.ik[mes], "&gt;="&amp;T$1,
  desp.m.ik[mes], "&lt;"&amp;EOMONTH(T$1,0)+1
)</f>
        <v>0</v>
      </c>
      <c r="U239" s="186">
        <f ca="1">-SUMIFS(
  desp.m.ik[valor],
  desp.m.ik[nucleo], $B239,
  desp.m.ik[variavel], $B$223,
  desp.m.ik[mes], "&gt;="&amp;U$1,
  desp.m.ik[mes], "&lt;"&amp;EOMONTH(U$1,0)+1
)</f>
        <v>0</v>
      </c>
      <c r="V239" s="186">
        <f ca="1">-SUMIFS(
  desp.m.ik[valor],
  desp.m.ik[nucleo], $B239,
  desp.m.ik[variavel], $B$223,
  desp.m.ik[mes], "&gt;="&amp;V$1,
  desp.m.ik[mes], "&lt;"&amp;EOMONTH(V$1,0)+1
)</f>
        <v>0</v>
      </c>
      <c r="W239" s="186">
        <f ca="1">-SUMIFS(
  desp.m.ik[valor],
  desp.m.ik[nucleo], $B239,
  desp.m.ik[variavel], $B$223,
  desp.m.ik[mes], "&gt;="&amp;W$1,
  desp.m.ik[mes], "&lt;"&amp;EOMONTH(W$1,0)+1
)</f>
        <v>0</v>
      </c>
      <c r="X239" s="186">
        <f ca="1">-SUMIFS(
  desp.m.ik[valor],
  desp.m.ik[nucleo], $B239,
  desp.m.ik[variavel], $B$223,
  desp.m.ik[mes], "&gt;="&amp;X$1,
  desp.m.ik[mes], "&lt;"&amp;EOMONTH(X$1,0)+1
)</f>
        <v>0</v>
      </c>
      <c r="Y239" s="186">
        <f ca="1">-SUMIFS(
  desp.m.ik[valor],
  desp.m.ik[nucleo], $B239,
  desp.m.ik[variavel], $B$223,
  desp.m.ik[mes], "&gt;="&amp;Y$1,
  desp.m.ik[mes], "&lt;"&amp;EOMONTH(Y$1,0)+1
)</f>
        <v>0</v>
      </c>
      <c r="Z239" s="186">
        <f ca="1">-SUMIFS(
  desp.m.ik[valor],
  desp.m.ik[nucleo], $B239,
  desp.m.ik[variavel], $B$223,
  desp.m.ik[mes], "&gt;="&amp;Z$1,
  desp.m.ik[mes], "&lt;"&amp;EOMONTH(Z$1,0)+1
)</f>
        <v>0</v>
      </c>
      <c r="AA239" s="186">
        <f ca="1">-SUMIFS(
  desp.m.ik[valor],
  desp.m.ik[nucleo], $B239,
  desp.m.ik[variavel], $B$223,
  desp.m.ik[mes], "&gt;="&amp;AA$1,
  desp.m.ik[mes], "&lt;"&amp;EOMONTH(AA$1,0)+1
)</f>
        <v>0</v>
      </c>
      <c r="AC239" s="178">
        <f t="shared" ca="1" si="41"/>
        <v>0</v>
      </c>
      <c r="AE239" s="178">
        <f t="shared" ca="1" si="40"/>
        <v>0</v>
      </c>
    </row>
    <row r="240" spans="1:31" hidden="1" outlineLevel="2" x14ac:dyDescent="0.25">
      <c r="A240" s="185" t="s">
        <v>705</v>
      </c>
      <c r="B240" s="185" t="s">
        <v>557</v>
      </c>
      <c r="C240" s="138" t="s">
        <v>514</v>
      </c>
      <c r="D240" s="186">
        <f ca="1">-SUMIFS(
  desp.m.ik[valor],
  desp.m.ik[nucleo], $B240,
  desp.m.ik[variavel], $B$223,
  desp.m.ik[mes], "&gt;="&amp;D$1,
  desp.m.ik[mes], "&lt;"&amp;EOMONTH(D$1,0)+1
)</f>
        <v>0</v>
      </c>
      <c r="E240" s="186">
        <f ca="1">-SUMIFS(
  desp.m.ik[valor],
  desp.m.ik[nucleo], $B240,
  desp.m.ik[variavel], $B$223,
  desp.m.ik[mes], "&gt;="&amp;E$1,
  desp.m.ik[mes], "&lt;"&amp;EOMONTH(E$1,0)+1
)</f>
        <v>0</v>
      </c>
      <c r="F240" s="186">
        <f ca="1">-SUMIFS(
  desp.m.ik[valor],
  desp.m.ik[nucleo], $B240,
  desp.m.ik[variavel], $B$223,
  desp.m.ik[mes], "&gt;="&amp;F$1,
  desp.m.ik[mes], "&lt;"&amp;EOMONTH(F$1,0)+1
)</f>
        <v>0</v>
      </c>
      <c r="G240" s="186">
        <f ca="1">-SUMIFS(
  desp.m.ik[valor],
  desp.m.ik[nucleo], $B240,
  desp.m.ik[variavel], $B$223,
  desp.m.ik[mes], "&gt;="&amp;G$1,
  desp.m.ik[mes], "&lt;"&amp;EOMONTH(G$1,0)+1
)</f>
        <v>0</v>
      </c>
      <c r="H240" s="186">
        <f ca="1">-SUMIFS(
  desp.m.ik[valor],
  desp.m.ik[nucleo], $B240,
  desp.m.ik[variavel], $B$223,
  desp.m.ik[mes], "&gt;="&amp;H$1,
  desp.m.ik[mes], "&lt;"&amp;EOMONTH(H$1,0)+1
)</f>
        <v>0</v>
      </c>
      <c r="I240" s="186">
        <f ca="1">-SUMIFS(
  desp.m.ik[valor],
  desp.m.ik[nucleo], $B240,
  desp.m.ik[variavel], $B$223,
  desp.m.ik[mes], "&gt;="&amp;I$1,
  desp.m.ik[mes], "&lt;"&amp;EOMONTH(I$1,0)+1
)</f>
        <v>0</v>
      </c>
      <c r="J240" s="186">
        <f ca="1">-SUMIFS(
  desp.m.ik[valor],
  desp.m.ik[nucleo], $B240,
  desp.m.ik[variavel], $B$223,
  desp.m.ik[mes], "&gt;="&amp;J$1,
  desp.m.ik[mes], "&lt;"&amp;EOMONTH(J$1,0)+1
)</f>
        <v>0</v>
      </c>
      <c r="K240" s="186">
        <f ca="1">-SUMIFS(
  desp.m.ik[valor],
  desp.m.ik[nucleo], $B240,
  desp.m.ik[variavel], $B$223,
  desp.m.ik[mes], "&gt;="&amp;K$1,
  desp.m.ik[mes], "&lt;"&amp;EOMONTH(K$1,0)+1
)</f>
        <v>0</v>
      </c>
      <c r="L240" s="186">
        <f ca="1">-SUMIFS(
  desp.m.ik[valor],
  desp.m.ik[nucleo], $B240,
  desp.m.ik[variavel], $B$223,
  desp.m.ik[mes], "&gt;="&amp;L$1,
  desp.m.ik[mes], "&lt;"&amp;EOMONTH(L$1,0)+1
)</f>
        <v>0</v>
      </c>
      <c r="M240" s="186">
        <f ca="1">-SUMIFS(
  desp.m.ik[valor],
  desp.m.ik[nucleo], $B240,
  desp.m.ik[variavel], $B$223,
  desp.m.ik[mes], "&gt;="&amp;M$1,
  desp.m.ik[mes], "&lt;"&amp;EOMONTH(M$1,0)+1
)</f>
        <v>0</v>
      </c>
      <c r="N240" s="186">
        <f ca="1">-SUMIFS(
  desp.m.ik[valor],
  desp.m.ik[nucleo], $B240,
  desp.m.ik[variavel], $B$223,
  desp.m.ik[mes], "&gt;="&amp;N$1,
  desp.m.ik[mes], "&lt;"&amp;EOMONTH(N$1,0)+1
)</f>
        <v>0</v>
      </c>
      <c r="O240" s="186">
        <f ca="1">-SUMIFS(
  desp.m.ik[valor],
  desp.m.ik[nucleo], $B240,
  desp.m.ik[variavel], $B$223,
  desp.m.ik[mes], "&gt;="&amp;O$1,
  desp.m.ik[mes], "&lt;"&amp;EOMONTH(O$1,0)+1
)</f>
        <v>0</v>
      </c>
      <c r="P240" s="186">
        <f ca="1">-SUMIFS(
  desp.m.ik[valor],
  desp.m.ik[nucleo], $B240,
  desp.m.ik[variavel], $B$223,
  desp.m.ik[mes], "&gt;="&amp;P$1,
  desp.m.ik[mes], "&lt;"&amp;EOMONTH(P$1,0)+1
)</f>
        <v>0</v>
      </c>
      <c r="Q240" s="186">
        <f ca="1">-SUMIFS(
  desp.m.ik[valor],
  desp.m.ik[nucleo], $B240,
  desp.m.ik[variavel], $B$223,
  desp.m.ik[mes], "&gt;="&amp;Q$1,
  desp.m.ik[mes], "&lt;"&amp;EOMONTH(Q$1,0)+1
)</f>
        <v>0</v>
      </c>
      <c r="R240" s="186">
        <f ca="1">-SUMIFS(
  desp.m.ik[valor],
  desp.m.ik[nucleo], $B240,
  desp.m.ik[variavel], $B$223,
  desp.m.ik[mes], "&gt;="&amp;R$1,
  desp.m.ik[mes], "&lt;"&amp;EOMONTH(R$1,0)+1
)</f>
        <v>0</v>
      </c>
      <c r="S240" s="186">
        <f ca="1">-SUMIFS(
  desp.m.ik[valor],
  desp.m.ik[nucleo], $B240,
  desp.m.ik[variavel], $B$223,
  desp.m.ik[mes], "&gt;="&amp;S$1,
  desp.m.ik[mes], "&lt;"&amp;EOMONTH(S$1,0)+1
)</f>
        <v>0</v>
      </c>
      <c r="T240" s="186">
        <f ca="1">-SUMIFS(
  desp.m.ik[valor],
  desp.m.ik[nucleo], $B240,
  desp.m.ik[variavel], $B$223,
  desp.m.ik[mes], "&gt;="&amp;T$1,
  desp.m.ik[mes], "&lt;"&amp;EOMONTH(T$1,0)+1
)</f>
        <v>0</v>
      </c>
      <c r="U240" s="186">
        <f ca="1">-SUMIFS(
  desp.m.ik[valor],
  desp.m.ik[nucleo], $B240,
  desp.m.ik[variavel], $B$223,
  desp.m.ik[mes], "&gt;="&amp;U$1,
  desp.m.ik[mes], "&lt;"&amp;EOMONTH(U$1,0)+1
)</f>
        <v>0</v>
      </c>
      <c r="V240" s="186">
        <f ca="1">-SUMIFS(
  desp.m.ik[valor],
  desp.m.ik[nucleo], $B240,
  desp.m.ik[variavel], $B$223,
  desp.m.ik[mes], "&gt;="&amp;V$1,
  desp.m.ik[mes], "&lt;"&amp;EOMONTH(V$1,0)+1
)</f>
        <v>0</v>
      </c>
      <c r="W240" s="186">
        <f ca="1">-SUMIFS(
  desp.m.ik[valor],
  desp.m.ik[nucleo], $B240,
  desp.m.ik[variavel], $B$223,
  desp.m.ik[mes], "&gt;="&amp;W$1,
  desp.m.ik[mes], "&lt;"&amp;EOMONTH(W$1,0)+1
)</f>
        <v>0</v>
      </c>
      <c r="X240" s="186">
        <f ca="1">-SUMIFS(
  desp.m.ik[valor],
  desp.m.ik[nucleo], $B240,
  desp.m.ik[variavel], $B$223,
  desp.m.ik[mes], "&gt;="&amp;X$1,
  desp.m.ik[mes], "&lt;"&amp;EOMONTH(X$1,0)+1
)</f>
        <v>0</v>
      </c>
      <c r="Y240" s="186">
        <f ca="1">-SUMIFS(
  desp.m.ik[valor],
  desp.m.ik[nucleo], $B240,
  desp.m.ik[variavel], $B$223,
  desp.m.ik[mes], "&gt;="&amp;Y$1,
  desp.m.ik[mes], "&lt;"&amp;EOMONTH(Y$1,0)+1
)</f>
        <v>0</v>
      </c>
      <c r="Z240" s="186">
        <f ca="1">-SUMIFS(
  desp.m.ik[valor],
  desp.m.ik[nucleo], $B240,
  desp.m.ik[variavel], $B$223,
  desp.m.ik[mes], "&gt;="&amp;Z$1,
  desp.m.ik[mes], "&lt;"&amp;EOMONTH(Z$1,0)+1
)</f>
        <v>0</v>
      </c>
      <c r="AA240" s="186">
        <f ca="1">-SUMIFS(
  desp.m.ik[valor],
  desp.m.ik[nucleo], $B240,
  desp.m.ik[variavel], $B$223,
  desp.m.ik[mes], "&gt;="&amp;AA$1,
  desp.m.ik[mes], "&lt;"&amp;EOMONTH(AA$1,0)+1
)</f>
        <v>0</v>
      </c>
      <c r="AC240" s="178">
        <f t="shared" ca="1" si="41"/>
        <v>0</v>
      </c>
      <c r="AE240" s="178">
        <f t="shared" ca="1" si="40"/>
        <v>0</v>
      </c>
    </row>
    <row r="241" spans="1:31" hidden="1" outlineLevel="2" x14ac:dyDescent="0.25">
      <c r="A241" s="185" t="s">
        <v>705</v>
      </c>
      <c r="B241" s="185" t="s">
        <v>574</v>
      </c>
      <c r="C241" s="138" t="s">
        <v>514</v>
      </c>
      <c r="D241" s="186">
        <f ca="1">-SUMIFS(
  desp.m.ik[valor],
  desp.m.ik[nucleo], $B241,
  desp.m.ik[variavel], $B$223,
  desp.m.ik[mes], "&gt;="&amp;D$1,
  desp.m.ik[mes], "&lt;"&amp;EOMONTH(D$1,0)+1
)</f>
        <v>0</v>
      </c>
      <c r="E241" s="186">
        <f ca="1">-SUMIFS(
  desp.m.ik[valor],
  desp.m.ik[nucleo], $B241,
  desp.m.ik[variavel], $B$223,
  desp.m.ik[mes], "&gt;="&amp;E$1,
  desp.m.ik[mes], "&lt;"&amp;EOMONTH(E$1,0)+1
)</f>
        <v>0</v>
      </c>
      <c r="F241" s="186">
        <f ca="1">-SUMIFS(
  desp.m.ik[valor],
  desp.m.ik[nucleo], $B241,
  desp.m.ik[variavel], $B$223,
  desp.m.ik[mes], "&gt;="&amp;F$1,
  desp.m.ik[mes], "&lt;"&amp;EOMONTH(F$1,0)+1
)</f>
        <v>0</v>
      </c>
      <c r="G241" s="186">
        <f ca="1">-SUMIFS(
  desp.m.ik[valor],
  desp.m.ik[nucleo], $B241,
  desp.m.ik[variavel], $B$223,
  desp.m.ik[mes], "&gt;="&amp;G$1,
  desp.m.ik[mes], "&lt;"&amp;EOMONTH(G$1,0)+1
)</f>
        <v>0</v>
      </c>
      <c r="H241" s="186">
        <f ca="1">-SUMIFS(
  desp.m.ik[valor],
  desp.m.ik[nucleo], $B241,
  desp.m.ik[variavel], $B$223,
  desp.m.ik[mes], "&gt;="&amp;H$1,
  desp.m.ik[mes], "&lt;"&amp;EOMONTH(H$1,0)+1
)</f>
        <v>0</v>
      </c>
      <c r="I241" s="186">
        <f ca="1">-SUMIFS(
  desp.m.ik[valor],
  desp.m.ik[nucleo], $B241,
  desp.m.ik[variavel], $B$223,
  desp.m.ik[mes], "&gt;="&amp;I$1,
  desp.m.ik[mes], "&lt;"&amp;EOMONTH(I$1,0)+1
)</f>
        <v>0</v>
      </c>
      <c r="J241" s="186">
        <f ca="1">-SUMIFS(
  desp.m.ik[valor],
  desp.m.ik[nucleo], $B241,
  desp.m.ik[variavel], $B$223,
  desp.m.ik[mes], "&gt;="&amp;J$1,
  desp.m.ik[mes], "&lt;"&amp;EOMONTH(J$1,0)+1
)</f>
        <v>0</v>
      </c>
      <c r="K241" s="186">
        <f ca="1">-SUMIFS(
  desp.m.ik[valor],
  desp.m.ik[nucleo], $B241,
  desp.m.ik[variavel], $B$223,
  desp.m.ik[mes], "&gt;="&amp;K$1,
  desp.m.ik[mes], "&lt;"&amp;EOMONTH(K$1,0)+1
)</f>
        <v>0</v>
      </c>
      <c r="L241" s="186">
        <f ca="1">-SUMIFS(
  desp.m.ik[valor],
  desp.m.ik[nucleo], $B241,
  desp.m.ik[variavel], $B$223,
  desp.m.ik[mes], "&gt;="&amp;L$1,
  desp.m.ik[mes], "&lt;"&amp;EOMONTH(L$1,0)+1
)</f>
        <v>0</v>
      </c>
      <c r="M241" s="186">
        <f ca="1">-SUMIFS(
  desp.m.ik[valor],
  desp.m.ik[nucleo], $B241,
  desp.m.ik[variavel], $B$223,
  desp.m.ik[mes], "&gt;="&amp;M$1,
  desp.m.ik[mes], "&lt;"&amp;EOMONTH(M$1,0)+1
)</f>
        <v>0</v>
      </c>
      <c r="N241" s="186">
        <f ca="1">-SUMIFS(
  desp.m.ik[valor],
  desp.m.ik[nucleo], $B241,
  desp.m.ik[variavel], $B$223,
  desp.m.ik[mes], "&gt;="&amp;N$1,
  desp.m.ik[mes], "&lt;"&amp;EOMONTH(N$1,0)+1
)</f>
        <v>0</v>
      </c>
      <c r="O241" s="186">
        <f ca="1">-SUMIFS(
  desp.m.ik[valor],
  desp.m.ik[nucleo], $B241,
  desp.m.ik[variavel], $B$223,
  desp.m.ik[mes], "&gt;="&amp;O$1,
  desp.m.ik[mes], "&lt;"&amp;EOMONTH(O$1,0)+1
)</f>
        <v>0</v>
      </c>
      <c r="P241" s="186">
        <f ca="1">-SUMIFS(
  desp.m.ik[valor],
  desp.m.ik[nucleo], $B241,
  desp.m.ik[variavel], $B$223,
  desp.m.ik[mes], "&gt;="&amp;P$1,
  desp.m.ik[mes], "&lt;"&amp;EOMONTH(P$1,0)+1
)</f>
        <v>0</v>
      </c>
      <c r="Q241" s="186">
        <f ca="1">-SUMIFS(
  desp.m.ik[valor],
  desp.m.ik[nucleo], $B241,
  desp.m.ik[variavel], $B$223,
  desp.m.ik[mes], "&gt;="&amp;Q$1,
  desp.m.ik[mes], "&lt;"&amp;EOMONTH(Q$1,0)+1
)</f>
        <v>0</v>
      </c>
      <c r="R241" s="186">
        <f ca="1">-SUMIFS(
  desp.m.ik[valor],
  desp.m.ik[nucleo], $B241,
  desp.m.ik[variavel], $B$223,
  desp.m.ik[mes], "&gt;="&amp;R$1,
  desp.m.ik[mes], "&lt;"&amp;EOMONTH(R$1,0)+1
)</f>
        <v>0</v>
      </c>
      <c r="S241" s="186">
        <f ca="1">-SUMIFS(
  desp.m.ik[valor],
  desp.m.ik[nucleo], $B241,
  desp.m.ik[variavel], $B$223,
  desp.m.ik[mes], "&gt;="&amp;S$1,
  desp.m.ik[mes], "&lt;"&amp;EOMONTH(S$1,0)+1
)</f>
        <v>0</v>
      </c>
      <c r="T241" s="186">
        <f ca="1">-SUMIFS(
  desp.m.ik[valor],
  desp.m.ik[nucleo], $B241,
  desp.m.ik[variavel], $B$223,
  desp.m.ik[mes], "&gt;="&amp;T$1,
  desp.m.ik[mes], "&lt;"&amp;EOMONTH(T$1,0)+1
)</f>
        <v>0</v>
      </c>
      <c r="U241" s="186">
        <f ca="1">-SUMIFS(
  desp.m.ik[valor],
  desp.m.ik[nucleo], $B241,
  desp.m.ik[variavel], $B$223,
  desp.m.ik[mes], "&gt;="&amp;U$1,
  desp.m.ik[mes], "&lt;"&amp;EOMONTH(U$1,0)+1
)</f>
        <v>0</v>
      </c>
      <c r="V241" s="186">
        <f ca="1">-SUMIFS(
  desp.m.ik[valor],
  desp.m.ik[nucleo], $B241,
  desp.m.ik[variavel], $B$223,
  desp.m.ik[mes], "&gt;="&amp;V$1,
  desp.m.ik[mes], "&lt;"&amp;EOMONTH(V$1,0)+1
)</f>
        <v>0</v>
      </c>
      <c r="W241" s="186">
        <f ca="1">-SUMIFS(
  desp.m.ik[valor],
  desp.m.ik[nucleo], $B241,
  desp.m.ik[variavel], $B$223,
  desp.m.ik[mes], "&gt;="&amp;W$1,
  desp.m.ik[mes], "&lt;"&amp;EOMONTH(W$1,0)+1
)</f>
        <v>0</v>
      </c>
      <c r="X241" s="186">
        <f ca="1">-SUMIFS(
  desp.m.ik[valor],
  desp.m.ik[nucleo], $B241,
  desp.m.ik[variavel], $B$223,
  desp.m.ik[mes], "&gt;="&amp;X$1,
  desp.m.ik[mes], "&lt;"&amp;EOMONTH(X$1,0)+1
)</f>
        <v>0</v>
      </c>
      <c r="Y241" s="186">
        <f ca="1">-SUMIFS(
  desp.m.ik[valor],
  desp.m.ik[nucleo], $B241,
  desp.m.ik[variavel], $B$223,
  desp.m.ik[mes], "&gt;="&amp;Y$1,
  desp.m.ik[mes], "&lt;"&amp;EOMONTH(Y$1,0)+1
)</f>
        <v>0</v>
      </c>
      <c r="Z241" s="186">
        <f ca="1">-SUMIFS(
  desp.m.ik[valor],
  desp.m.ik[nucleo], $B241,
  desp.m.ik[variavel], $B$223,
  desp.m.ik[mes], "&gt;="&amp;Z$1,
  desp.m.ik[mes], "&lt;"&amp;EOMONTH(Z$1,0)+1
)</f>
        <v>0</v>
      </c>
      <c r="AA241" s="186">
        <f ca="1">-SUMIFS(
  desp.m.ik[valor],
  desp.m.ik[nucleo], $B241,
  desp.m.ik[variavel], $B$223,
  desp.m.ik[mes], "&gt;="&amp;AA$1,
  desp.m.ik[mes], "&lt;"&amp;EOMONTH(AA$1,0)+1
)</f>
        <v>0</v>
      </c>
      <c r="AC241" s="178">
        <f t="shared" ca="1" si="41"/>
        <v>0</v>
      </c>
      <c r="AE241" s="178">
        <f t="shared" ca="1" si="40"/>
        <v>0</v>
      </c>
    </row>
    <row r="242" spans="1:31" hidden="1" outlineLevel="2" x14ac:dyDescent="0.25">
      <c r="A242" s="185" t="s">
        <v>922</v>
      </c>
      <c r="B242" s="185" t="s">
        <v>571</v>
      </c>
      <c r="C242" s="138" t="s">
        <v>514</v>
      </c>
      <c r="D242" s="186">
        <f ca="1">-SUMIFS(
  desp.m.ik[valor],
  desp.m.ik[nucleo], $B242,
  desp.m.ik[variavel], $B$223,
  desp.m.ik[mes], "&gt;="&amp;D$1,
  desp.m.ik[mes], "&lt;"&amp;EOMONTH(D$1,0)+1
)</f>
        <v>0</v>
      </c>
      <c r="E242" s="186">
        <f ca="1">-SUMIFS(
  desp.m.ik[valor],
  desp.m.ik[nucleo], $B242,
  desp.m.ik[variavel], $B$223,
  desp.m.ik[mes], "&gt;="&amp;E$1,
  desp.m.ik[mes], "&lt;"&amp;EOMONTH(E$1,0)+1
)</f>
        <v>0</v>
      </c>
      <c r="F242" s="186">
        <f ca="1">-SUMIFS(
  desp.m.ik[valor],
  desp.m.ik[nucleo], $B242,
  desp.m.ik[variavel], $B$223,
  desp.m.ik[mes], "&gt;="&amp;F$1,
  desp.m.ik[mes], "&lt;"&amp;EOMONTH(F$1,0)+1
)</f>
        <v>0</v>
      </c>
      <c r="G242" s="186">
        <f ca="1">-SUMIFS(
  desp.m.ik[valor],
  desp.m.ik[nucleo], $B242,
  desp.m.ik[variavel], $B$223,
  desp.m.ik[mes], "&gt;="&amp;G$1,
  desp.m.ik[mes], "&lt;"&amp;EOMONTH(G$1,0)+1
)</f>
        <v>0</v>
      </c>
      <c r="H242" s="186">
        <f ca="1">-SUMIFS(
  desp.m.ik[valor],
  desp.m.ik[nucleo], $B242,
  desp.m.ik[variavel], $B$223,
  desp.m.ik[mes], "&gt;="&amp;H$1,
  desp.m.ik[mes], "&lt;"&amp;EOMONTH(H$1,0)+1
)</f>
        <v>0</v>
      </c>
      <c r="I242" s="186">
        <f ca="1">-SUMIFS(
  desp.m.ik[valor],
  desp.m.ik[nucleo], $B242,
  desp.m.ik[variavel], $B$223,
  desp.m.ik[mes], "&gt;="&amp;I$1,
  desp.m.ik[mes], "&lt;"&amp;EOMONTH(I$1,0)+1
)</f>
        <v>0</v>
      </c>
      <c r="J242" s="186">
        <f ca="1">-SUMIFS(
  desp.m.ik[valor],
  desp.m.ik[nucleo], $B242,
  desp.m.ik[variavel], $B$223,
  desp.m.ik[mes], "&gt;="&amp;J$1,
  desp.m.ik[mes], "&lt;"&amp;EOMONTH(J$1,0)+1
)</f>
        <v>0</v>
      </c>
      <c r="K242" s="186">
        <f ca="1">-SUMIFS(
  desp.m.ik[valor],
  desp.m.ik[nucleo], $B242,
  desp.m.ik[variavel], $B$223,
  desp.m.ik[mes], "&gt;="&amp;K$1,
  desp.m.ik[mes], "&lt;"&amp;EOMONTH(K$1,0)+1
)</f>
        <v>0</v>
      </c>
      <c r="L242" s="186">
        <f ca="1">-SUMIFS(
  desp.m.ik[valor],
  desp.m.ik[nucleo], $B242,
  desp.m.ik[variavel], $B$223,
  desp.m.ik[mes], "&gt;="&amp;L$1,
  desp.m.ik[mes], "&lt;"&amp;EOMONTH(L$1,0)+1
)</f>
        <v>0</v>
      </c>
      <c r="M242" s="186">
        <f ca="1">-SUMIFS(
  desp.m.ik[valor],
  desp.m.ik[nucleo], $B242,
  desp.m.ik[variavel], $B$223,
  desp.m.ik[mes], "&gt;="&amp;M$1,
  desp.m.ik[mes], "&lt;"&amp;EOMONTH(M$1,0)+1
)</f>
        <v>0</v>
      </c>
      <c r="N242" s="186">
        <f ca="1">-SUMIFS(
  desp.m.ik[valor],
  desp.m.ik[nucleo], $B242,
  desp.m.ik[variavel], $B$223,
  desp.m.ik[mes], "&gt;="&amp;N$1,
  desp.m.ik[mes], "&lt;"&amp;EOMONTH(N$1,0)+1
)</f>
        <v>0</v>
      </c>
      <c r="O242" s="186">
        <f ca="1">-SUMIFS(
  desp.m.ik[valor],
  desp.m.ik[nucleo], $B242,
  desp.m.ik[variavel], $B$223,
  desp.m.ik[mes], "&gt;="&amp;O$1,
  desp.m.ik[mes], "&lt;"&amp;EOMONTH(O$1,0)+1
)</f>
        <v>0</v>
      </c>
      <c r="P242" s="186">
        <f ca="1">-SUMIFS(
  desp.m.ik[valor],
  desp.m.ik[nucleo], $B242,
  desp.m.ik[variavel], $B$223,
  desp.m.ik[mes], "&gt;="&amp;P$1,
  desp.m.ik[mes], "&lt;"&amp;EOMONTH(P$1,0)+1
)</f>
        <v>0</v>
      </c>
      <c r="Q242" s="186">
        <f ca="1">-SUMIFS(
  desp.m.ik[valor],
  desp.m.ik[nucleo], $B242,
  desp.m.ik[variavel], $B$223,
  desp.m.ik[mes], "&gt;="&amp;Q$1,
  desp.m.ik[mes], "&lt;"&amp;EOMONTH(Q$1,0)+1
)</f>
        <v>0</v>
      </c>
      <c r="R242" s="186">
        <f ca="1">-SUMIFS(
  desp.m.ik[valor],
  desp.m.ik[nucleo], $B242,
  desp.m.ik[variavel], $B$223,
  desp.m.ik[mes], "&gt;="&amp;R$1,
  desp.m.ik[mes], "&lt;"&amp;EOMONTH(R$1,0)+1
)</f>
        <v>0</v>
      </c>
      <c r="S242" s="186">
        <f ca="1">-SUMIFS(
  desp.m.ik[valor],
  desp.m.ik[nucleo], $B242,
  desp.m.ik[variavel], $B$223,
  desp.m.ik[mes], "&gt;="&amp;S$1,
  desp.m.ik[mes], "&lt;"&amp;EOMONTH(S$1,0)+1
)</f>
        <v>0</v>
      </c>
      <c r="T242" s="186">
        <f ca="1">-SUMIFS(
  desp.m.ik[valor],
  desp.m.ik[nucleo], $B242,
  desp.m.ik[variavel], $B$223,
  desp.m.ik[mes], "&gt;="&amp;T$1,
  desp.m.ik[mes], "&lt;"&amp;EOMONTH(T$1,0)+1
)</f>
        <v>0</v>
      </c>
      <c r="U242" s="186">
        <f ca="1">-SUMIFS(
  desp.m.ik[valor],
  desp.m.ik[nucleo], $B242,
  desp.m.ik[variavel], $B$223,
  desp.m.ik[mes], "&gt;="&amp;U$1,
  desp.m.ik[mes], "&lt;"&amp;EOMONTH(U$1,0)+1
)</f>
        <v>0</v>
      </c>
      <c r="V242" s="186">
        <f ca="1">-SUMIFS(
  desp.m.ik[valor],
  desp.m.ik[nucleo], $B242,
  desp.m.ik[variavel], $B$223,
  desp.m.ik[mes], "&gt;="&amp;V$1,
  desp.m.ik[mes], "&lt;"&amp;EOMONTH(V$1,0)+1
)</f>
        <v>0</v>
      </c>
      <c r="W242" s="186">
        <f ca="1">-SUMIFS(
  desp.m.ik[valor],
  desp.m.ik[nucleo], $B242,
  desp.m.ik[variavel], $B$223,
  desp.m.ik[mes], "&gt;="&amp;W$1,
  desp.m.ik[mes], "&lt;"&amp;EOMONTH(W$1,0)+1
)</f>
        <v>0</v>
      </c>
      <c r="X242" s="186">
        <f ca="1">-SUMIFS(
  desp.m.ik[valor],
  desp.m.ik[nucleo], $B242,
  desp.m.ik[variavel], $B$223,
  desp.m.ik[mes], "&gt;="&amp;X$1,
  desp.m.ik[mes], "&lt;"&amp;EOMONTH(X$1,0)+1
)</f>
        <v>0</v>
      </c>
      <c r="Y242" s="186">
        <f ca="1">-SUMIFS(
  desp.m.ik[valor],
  desp.m.ik[nucleo], $B242,
  desp.m.ik[variavel], $B$223,
  desp.m.ik[mes], "&gt;="&amp;Y$1,
  desp.m.ik[mes], "&lt;"&amp;EOMONTH(Y$1,0)+1
)</f>
        <v>0</v>
      </c>
      <c r="Z242" s="186">
        <f ca="1">-SUMIFS(
  desp.m.ik[valor],
  desp.m.ik[nucleo], $B242,
  desp.m.ik[variavel], $B$223,
  desp.m.ik[mes], "&gt;="&amp;Z$1,
  desp.m.ik[mes], "&lt;"&amp;EOMONTH(Z$1,0)+1
)</f>
        <v>0</v>
      </c>
      <c r="AA242" s="186">
        <f ca="1">-SUMIFS(
  desp.m.ik[valor],
  desp.m.ik[nucleo], $B242,
  desp.m.ik[variavel], $B$223,
  desp.m.ik[mes], "&gt;="&amp;AA$1,
  desp.m.ik[mes], "&lt;"&amp;EOMONTH(AA$1,0)+1
)</f>
        <v>0</v>
      </c>
      <c r="AC242" s="178">
        <f t="shared" ca="1" si="41"/>
        <v>0</v>
      </c>
      <c r="AE242" s="178">
        <f t="shared" ca="1" si="40"/>
        <v>0</v>
      </c>
    </row>
    <row r="243" spans="1:31" hidden="1" outlineLevel="2" x14ac:dyDescent="0.25">
      <c r="A243" s="185" t="s">
        <v>924</v>
      </c>
      <c r="B243" s="185" t="s">
        <v>580</v>
      </c>
      <c r="C243" s="138" t="s">
        <v>514</v>
      </c>
      <c r="D243" s="186">
        <f ca="1">-SUMIFS(
  desp.m.ik[valor],
  desp.m.ik[nucleo], $B243,
  desp.m.ik[variavel], $B$223,
  desp.m.ik[mes], "&gt;="&amp;D$1,
  desp.m.ik[mes], "&lt;"&amp;EOMONTH(D$1,0)+1
)</f>
        <v>0</v>
      </c>
      <c r="E243" s="186">
        <f ca="1">-SUMIFS(
  desp.m.ik[valor],
  desp.m.ik[nucleo], $B243,
  desp.m.ik[variavel], $B$223,
  desp.m.ik[mes], "&gt;="&amp;E$1,
  desp.m.ik[mes], "&lt;"&amp;EOMONTH(E$1,0)+1
)</f>
        <v>0</v>
      </c>
      <c r="F243" s="186">
        <f ca="1">-SUMIFS(
  desp.m.ik[valor],
  desp.m.ik[nucleo], $B243,
  desp.m.ik[variavel], $B$223,
  desp.m.ik[mes], "&gt;="&amp;F$1,
  desp.m.ik[mes], "&lt;"&amp;EOMONTH(F$1,0)+1
)</f>
        <v>0</v>
      </c>
      <c r="G243" s="186">
        <f ca="1">-SUMIFS(
  desp.m.ik[valor],
  desp.m.ik[nucleo], $B243,
  desp.m.ik[variavel], $B$223,
  desp.m.ik[mes], "&gt;="&amp;G$1,
  desp.m.ik[mes], "&lt;"&amp;EOMONTH(G$1,0)+1
)</f>
        <v>0</v>
      </c>
      <c r="H243" s="186">
        <f ca="1">-SUMIFS(
  desp.m.ik[valor],
  desp.m.ik[nucleo], $B243,
  desp.m.ik[variavel], $B$223,
  desp.m.ik[mes], "&gt;="&amp;H$1,
  desp.m.ik[mes], "&lt;"&amp;EOMONTH(H$1,0)+1
)</f>
        <v>0</v>
      </c>
      <c r="I243" s="186">
        <f ca="1">-SUMIFS(
  desp.m.ik[valor],
  desp.m.ik[nucleo], $B243,
  desp.m.ik[variavel], $B$223,
  desp.m.ik[mes], "&gt;="&amp;I$1,
  desp.m.ik[mes], "&lt;"&amp;EOMONTH(I$1,0)+1
)</f>
        <v>0</v>
      </c>
      <c r="J243" s="186">
        <f ca="1">-SUMIFS(
  desp.m.ik[valor],
  desp.m.ik[nucleo], $B243,
  desp.m.ik[variavel], $B$223,
  desp.m.ik[mes], "&gt;="&amp;J$1,
  desp.m.ik[mes], "&lt;"&amp;EOMONTH(J$1,0)+1
)</f>
        <v>0</v>
      </c>
      <c r="K243" s="186">
        <f ca="1">-SUMIFS(
  desp.m.ik[valor],
  desp.m.ik[nucleo], $B243,
  desp.m.ik[variavel], $B$223,
  desp.m.ik[mes], "&gt;="&amp;K$1,
  desp.m.ik[mes], "&lt;"&amp;EOMONTH(K$1,0)+1
)</f>
        <v>0</v>
      </c>
      <c r="L243" s="186">
        <f ca="1">-SUMIFS(
  desp.m.ik[valor],
  desp.m.ik[nucleo], $B243,
  desp.m.ik[variavel], $B$223,
  desp.m.ik[mes], "&gt;="&amp;L$1,
  desp.m.ik[mes], "&lt;"&amp;EOMONTH(L$1,0)+1
)</f>
        <v>0</v>
      </c>
      <c r="M243" s="186">
        <f ca="1">-SUMIFS(
  desp.m.ik[valor],
  desp.m.ik[nucleo], $B243,
  desp.m.ik[variavel], $B$223,
  desp.m.ik[mes], "&gt;="&amp;M$1,
  desp.m.ik[mes], "&lt;"&amp;EOMONTH(M$1,0)+1
)</f>
        <v>0</v>
      </c>
      <c r="N243" s="186">
        <f ca="1">-SUMIFS(
  desp.m.ik[valor],
  desp.m.ik[nucleo], $B243,
  desp.m.ik[variavel], $B$223,
  desp.m.ik[mes], "&gt;="&amp;N$1,
  desp.m.ik[mes], "&lt;"&amp;EOMONTH(N$1,0)+1
)</f>
        <v>0</v>
      </c>
      <c r="O243" s="186">
        <f ca="1">-SUMIFS(
  desp.m.ik[valor],
  desp.m.ik[nucleo], $B243,
  desp.m.ik[variavel], $B$223,
  desp.m.ik[mes], "&gt;="&amp;O$1,
  desp.m.ik[mes], "&lt;"&amp;EOMONTH(O$1,0)+1
)</f>
        <v>0</v>
      </c>
      <c r="P243" s="186">
        <f ca="1">-SUMIFS(
  desp.m.ik[valor],
  desp.m.ik[nucleo], $B243,
  desp.m.ik[variavel], $B$223,
  desp.m.ik[mes], "&gt;="&amp;P$1,
  desp.m.ik[mes], "&lt;"&amp;EOMONTH(P$1,0)+1
)</f>
        <v>0</v>
      </c>
      <c r="Q243" s="186">
        <f ca="1">-SUMIFS(
  desp.m.ik[valor],
  desp.m.ik[nucleo], $B243,
  desp.m.ik[variavel], $B$223,
  desp.m.ik[mes], "&gt;="&amp;Q$1,
  desp.m.ik[mes], "&lt;"&amp;EOMONTH(Q$1,0)+1
)</f>
        <v>0</v>
      </c>
      <c r="R243" s="186">
        <f ca="1">-SUMIFS(
  desp.m.ik[valor],
  desp.m.ik[nucleo], $B243,
  desp.m.ik[variavel], $B$223,
  desp.m.ik[mes], "&gt;="&amp;R$1,
  desp.m.ik[mes], "&lt;"&amp;EOMONTH(R$1,0)+1
)</f>
        <v>0</v>
      </c>
      <c r="S243" s="186">
        <f ca="1">-SUMIFS(
  desp.m.ik[valor],
  desp.m.ik[nucleo], $B243,
  desp.m.ik[variavel], $B$223,
  desp.m.ik[mes], "&gt;="&amp;S$1,
  desp.m.ik[mes], "&lt;"&amp;EOMONTH(S$1,0)+1
)</f>
        <v>0</v>
      </c>
      <c r="T243" s="186">
        <f ca="1">-SUMIFS(
  desp.m.ik[valor],
  desp.m.ik[nucleo], $B243,
  desp.m.ik[variavel], $B$223,
  desp.m.ik[mes], "&gt;="&amp;T$1,
  desp.m.ik[mes], "&lt;"&amp;EOMONTH(T$1,0)+1
)</f>
        <v>0</v>
      </c>
      <c r="U243" s="186">
        <f ca="1">-SUMIFS(
  desp.m.ik[valor],
  desp.m.ik[nucleo], $B243,
  desp.m.ik[variavel], $B$223,
  desp.m.ik[mes], "&gt;="&amp;U$1,
  desp.m.ik[mes], "&lt;"&amp;EOMONTH(U$1,0)+1
)</f>
        <v>0</v>
      </c>
      <c r="V243" s="186">
        <f ca="1">-SUMIFS(
  desp.m.ik[valor],
  desp.m.ik[nucleo], $B243,
  desp.m.ik[variavel], $B$223,
  desp.m.ik[mes], "&gt;="&amp;V$1,
  desp.m.ik[mes], "&lt;"&amp;EOMONTH(V$1,0)+1
)</f>
        <v>0</v>
      </c>
      <c r="W243" s="186">
        <f ca="1">-SUMIFS(
  desp.m.ik[valor],
  desp.m.ik[nucleo], $B243,
  desp.m.ik[variavel], $B$223,
  desp.m.ik[mes], "&gt;="&amp;W$1,
  desp.m.ik[mes], "&lt;"&amp;EOMONTH(W$1,0)+1
)</f>
        <v>0</v>
      </c>
      <c r="X243" s="186">
        <f ca="1">-SUMIFS(
  desp.m.ik[valor],
  desp.m.ik[nucleo], $B243,
  desp.m.ik[variavel], $B$223,
  desp.m.ik[mes], "&gt;="&amp;X$1,
  desp.m.ik[mes], "&lt;"&amp;EOMONTH(X$1,0)+1
)</f>
        <v>0</v>
      </c>
      <c r="Y243" s="186">
        <f ca="1">-SUMIFS(
  desp.m.ik[valor],
  desp.m.ik[nucleo], $B243,
  desp.m.ik[variavel], $B$223,
  desp.m.ik[mes], "&gt;="&amp;Y$1,
  desp.m.ik[mes], "&lt;"&amp;EOMONTH(Y$1,0)+1
)</f>
        <v>0</v>
      </c>
      <c r="Z243" s="186">
        <f ca="1">-SUMIFS(
  desp.m.ik[valor],
  desp.m.ik[nucleo], $B243,
  desp.m.ik[variavel], $B$223,
  desp.m.ik[mes], "&gt;="&amp;Z$1,
  desp.m.ik[mes], "&lt;"&amp;EOMONTH(Z$1,0)+1
)</f>
        <v>0</v>
      </c>
      <c r="AA243" s="186">
        <f ca="1">-SUMIFS(
  desp.m.ik[valor],
  desp.m.ik[nucleo], $B243,
  desp.m.ik[variavel], $B$223,
  desp.m.ik[mes], "&gt;="&amp;AA$1,
  desp.m.ik[mes], "&lt;"&amp;EOMONTH(AA$1,0)+1
)</f>
        <v>0</v>
      </c>
      <c r="AC243" s="178">
        <f t="shared" ca="1" si="41"/>
        <v>0</v>
      </c>
      <c r="AE243" s="178">
        <f t="shared" ca="1" si="40"/>
        <v>0</v>
      </c>
    </row>
    <row r="244" spans="1:31" hidden="1" outlineLevel="2" x14ac:dyDescent="0.25">
      <c r="A244" s="185" t="s">
        <v>705</v>
      </c>
      <c r="B244" s="185" t="s">
        <v>569</v>
      </c>
      <c r="C244" s="138" t="s">
        <v>514</v>
      </c>
      <c r="D244" s="186">
        <f ca="1">-SUMIFS(
  desp.m.ik[valor],
  desp.m.ik[nucleo], $B244,
  desp.m.ik[variavel], $B$223,
  desp.m.ik[mes], "&gt;="&amp;D$1,
  desp.m.ik[mes], "&lt;"&amp;EOMONTH(D$1,0)+1
)</f>
        <v>0</v>
      </c>
      <c r="E244" s="186">
        <f ca="1">-SUMIFS(
  desp.m.ik[valor],
  desp.m.ik[nucleo], $B244,
  desp.m.ik[variavel], $B$223,
  desp.m.ik[mes], "&gt;="&amp;E$1,
  desp.m.ik[mes], "&lt;"&amp;EOMONTH(E$1,0)+1
)</f>
        <v>0</v>
      </c>
      <c r="F244" s="186">
        <f ca="1">-SUMIFS(
  desp.m.ik[valor],
  desp.m.ik[nucleo], $B244,
  desp.m.ik[variavel], $B$223,
  desp.m.ik[mes], "&gt;="&amp;F$1,
  desp.m.ik[mes], "&lt;"&amp;EOMONTH(F$1,0)+1
)</f>
        <v>0</v>
      </c>
      <c r="G244" s="186">
        <f ca="1">-SUMIFS(
  desp.m.ik[valor],
  desp.m.ik[nucleo], $B244,
  desp.m.ik[variavel], $B$223,
  desp.m.ik[mes], "&gt;="&amp;G$1,
  desp.m.ik[mes], "&lt;"&amp;EOMONTH(G$1,0)+1
)</f>
        <v>0</v>
      </c>
      <c r="H244" s="186">
        <f ca="1">-SUMIFS(
  desp.m.ik[valor],
  desp.m.ik[nucleo], $B244,
  desp.m.ik[variavel], $B$223,
  desp.m.ik[mes], "&gt;="&amp;H$1,
  desp.m.ik[mes], "&lt;"&amp;EOMONTH(H$1,0)+1
)</f>
        <v>0</v>
      </c>
      <c r="I244" s="186">
        <f ca="1">-SUMIFS(
  desp.m.ik[valor],
  desp.m.ik[nucleo], $B244,
  desp.m.ik[variavel], $B$223,
  desp.m.ik[mes], "&gt;="&amp;I$1,
  desp.m.ik[mes], "&lt;"&amp;EOMONTH(I$1,0)+1
)</f>
        <v>0</v>
      </c>
      <c r="J244" s="186">
        <f ca="1">-SUMIFS(
  desp.m.ik[valor],
  desp.m.ik[nucleo], $B244,
  desp.m.ik[variavel], $B$223,
  desp.m.ik[mes], "&gt;="&amp;J$1,
  desp.m.ik[mes], "&lt;"&amp;EOMONTH(J$1,0)+1
)</f>
        <v>0</v>
      </c>
      <c r="K244" s="186">
        <f ca="1">-SUMIFS(
  desp.m.ik[valor],
  desp.m.ik[nucleo], $B244,
  desp.m.ik[variavel], $B$223,
  desp.m.ik[mes], "&gt;="&amp;K$1,
  desp.m.ik[mes], "&lt;"&amp;EOMONTH(K$1,0)+1
)</f>
        <v>0</v>
      </c>
      <c r="L244" s="186">
        <f ca="1">-SUMIFS(
  desp.m.ik[valor],
  desp.m.ik[nucleo], $B244,
  desp.m.ik[variavel], $B$223,
  desp.m.ik[mes], "&gt;="&amp;L$1,
  desp.m.ik[mes], "&lt;"&amp;EOMONTH(L$1,0)+1
)</f>
        <v>0</v>
      </c>
      <c r="M244" s="186">
        <f ca="1">-SUMIFS(
  desp.m.ik[valor],
  desp.m.ik[nucleo], $B244,
  desp.m.ik[variavel], $B$223,
  desp.m.ik[mes], "&gt;="&amp;M$1,
  desp.m.ik[mes], "&lt;"&amp;EOMONTH(M$1,0)+1
)</f>
        <v>0</v>
      </c>
      <c r="N244" s="186">
        <f ca="1">-SUMIFS(
  desp.m.ik[valor],
  desp.m.ik[nucleo], $B244,
  desp.m.ik[variavel], $B$223,
  desp.m.ik[mes], "&gt;="&amp;N$1,
  desp.m.ik[mes], "&lt;"&amp;EOMONTH(N$1,0)+1
)</f>
        <v>0</v>
      </c>
      <c r="O244" s="186">
        <f ca="1">-SUMIFS(
  desp.m.ik[valor],
  desp.m.ik[nucleo], $B244,
  desp.m.ik[variavel], $B$223,
  desp.m.ik[mes], "&gt;="&amp;O$1,
  desp.m.ik[mes], "&lt;"&amp;EOMONTH(O$1,0)+1
)</f>
        <v>0</v>
      </c>
      <c r="P244" s="186">
        <f ca="1">-SUMIFS(
  desp.m.ik[valor],
  desp.m.ik[nucleo], $B244,
  desp.m.ik[variavel], $B$223,
  desp.m.ik[mes], "&gt;="&amp;P$1,
  desp.m.ik[mes], "&lt;"&amp;EOMONTH(P$1,0)+1
)</f>
        <v>0</v>
      </c>
      <c r="Q244" s="186">
        <f ca="1">-SUMIFS(
  desp.m.ik[valor],
  desp.m.ik[nucleo], $B244,
  desp.m.ik[variavel], $B$223,
  desp.m.ik[mes], "&gt;="&amp;Q$1,
  desp.m.ik[mes], "&lt;"&amp;EOMONTH(Q$1,0)+1
)</f>
        <v>0</v>
      </c>
      <c r="R244" s="186">
        <f ca="1">-SUMIFS(
  desp.m.ik[valor],
  desp.m.ik[nucleo], $B244,
  desp.m.ik[variavel], $B$223,
  desp.m.ik[mes], "&gt;="&amp;R$1,
  desp.m.ik[mes], "&lt;"&amp;EOMONTH(R$1,0)+1
)</f>
        <v>0</v>
      </c>
      <c r="S244" s="186">
        <f ca="1">-SUMIFS(
  desp.m.ik[valor],
  desp.m.ik[nucleo], $B244,
  desp.m.ik[variavel], $B$223,
  desp.m.ik[mes], "&gt;="&amp;S$1,
  desp.m.ik[mes], "&lt;"&amp;EOMONTH(S$1,0)+1
)</f>
        <v>0</v>
      </c>
      <c r="T244" s="186">
        <f ca="1">-SUMIFS(
  desp.m.ik[valor],
  desp.m.ik[nucleo], $B244,
  desp.m.ik[variavel], $B$223,
  desp.m.ik[mes], "&gt;="&amp;T$1,
  desp.m.ik[mes], "&lt;"&amp;EOMONTH(T$1,0)+1
)</f>
        <v>0</v>
      </c>
      <c r="U244" s="186">
        <f ca="1">-SUMIFS(
  desp.m.ik[valor],
  desp.m.ik[nucleo], $B244,
  desp.m.ik[variavel], $B$223,
  desp.m.ik[mes], "&gt;="&amp;U$1,
  desp.m.ik[mes], "&lt;"&amp;EOMONTH(U$1,0)+1
)</f>
        <v>0</v>
      </c>
      <c r="V244" s="186">
        <f ca="1">-SUMIFS(
  desp.m.ik[valor],
  desp.m.ik[nucleo], $B244,
  desp.m.ik[variavel], $B$223,
  desp.m.ik[mes], "&gt;="&amp;V$1,
  desp.m.ik[mes], "&lt;"&amp;EOMONTH(V$1,0)+1
)</f>
        <v>0</v>
      </c>
      <c r="W244" s="186">
        <f ca="1">-SUMIFS(
  desp.m.ik[valor],
  desp.m.ik[nucleo], $B244,
  desp.m.ik[variavel], $B$223,
  desp.m.ik[mes], "&gt;="&amp;W$1,
  desp.m.ik[mes], "&lt;"&amp;EOMONTH(W$1,0)+1
)</f>
        <v>0</v>
      </c>
      <c r="X244" s="186">
        <f ca="1">-SUMIFS(
  desp.m.ik[valor],
  desp.m.ik[nucleo], $B244,
  desp.m.ik[variavel], $B$223,
  desp.m.ik[mes], "&gt;="&amp;X$1,
  desp.m.ik[mes], "&lt;"&amp;EOMONTH(X$1,0)+1
)</f>
        <v>0</v>
      </c>
      <c r="Y244" s="186">
        <f ca="1">-SUMIFS(
  desp.m.ik[valor],
  desp.m.ik[nucleo], $B244,
  desp.m.ik[variavel], $B$223,
  desp.m.ik[mes], "&gt;="&amp;Y$1,
  desp.m.ik[mes], "&lt;"&amp;EOMONTH(Y$1,0)+1
)</f>
        <v>0</v>
      </c>
      <c r="Z244" s="186">
        <f ca="1">-SUMIFS(
  desp.m.ik[valor],
  desp.m.ik[nucleo], $B244,
  desp.m.ik[variavel], $B$223,
  desp.m.ik[mes], "&gt;="&amp;Z$1,
  desp.m.ik[mes], "&lt;"&amp;EOMONTH(Z$1,0)+1
)</f>
        <v>0</v>
      </c>
      <c r="AA244" s="186">
        <f ca="1">-SUMIFS(
  desp.m.ik[valor],
  desp.m.ik[nucleo], $B244,
  desp.m.ik[variavel], $B$223,
  desp.m.ik[mes], "&gt;="&amp;AA$1,
  desp.m.ik[mes], "&lt;"&amp;EOMONTH(AA$1,0)+1
)</f>
        <v>0</v>
      </c>
      <c r="AC244" s="178">
        <f t="shared" ca="1" si="41"/>
        <v>0</v>
      </c>
      <c r="AE244" s="178">
        <f ca="1">SUM(D244:AA244)</f>
        <v>0</v>
      </c>
    </row>
    <row r="245" spans="1:31" hidden="1" outlineLevel="2" x14ac:dyDescent="0.25">
      <c r="A245" s="185" t="s">
        <v>660</v>
      </c>
      <c r="B245" s="185" t="s">
        <v>704</v>
      </c>
      <c r="C245" s="138" t="s">
        <v>514</v>
      </c>
      <c r="D245" s="186">
        <f ca="1">-SUMIFS(
  desp.m.ik[valor],
  desp.m.ik[nucleo], $B245,
  desp.m.ik[variavel], $B$223,
  desp.m.ik[mes], "&gt;="&amp;D$1,
  desp.m.ik[mes], "&lt;"&amp;EOMONTH(D$1,0)+1
)</f>
        <v>0</v>
      </c>
      <c r="E245" s="186">
        <f ca="1">-SUMIFS(
  desp.m.ik[valor],
  desp.m.ik[nucleo], $B245,
  desp.m.ik[variavel], $B$223,
  desp.m.ik[mes], "&gt;="&amp;E$1,
  desp.m.ik[mes], "&lt;"&amp;EOMONTH(E$1,0)+1
)</f>
        <v>0</v>
      </c>
      <c r="F245" s="186">
        <f ca="1">-SUMIFS(
  desp.m.ik[valor],
  desp.m.ik[nucleo], $B245,
  desp.m.ik[variavel], $B$223,
  desp.m.ik[mes], "&gt;="&amp;F$1,
  desp.m.ik[mes], "&lt;"&amp;EOMONTH(F$1,0)+1
)</f>
        <v>0</v>
      </c>
      <c r="G245" s="186">
        <f ca="1">-SUMIFS(
  desp.m.ik[valor],
  desp.m.ik[nucleo], $B245,
  desp.m.ik[variavel], $B$223,
  desp.m.ik[mes], "&gt;="&amp;G$1,
  desp.m.ik[mes], "&lt;"&amp;EOMONTH(G$1,0)+1
)</f>
        <v>0</v>
      </c>
      <c r="H245" s="186">
        <f ca="1">-SUMIFS(
  desp.m.ik[valor],
  desp.m.ik[nucleo], $B245,
  desp.m.ik[variavel], $B$223,
  desp.m.ik[mes], "&gt;="&amp;H$1,
  desp.m.ik[mes], "&lt;"&amp;EOMONTH(H$1,0)+1
)</f>
        <v>0</v>
      </c>
      <c r="I245" s="186">
        <f ca="1">-SUMIFS(
  desp.m.ik[valor],
  desp.m.ik[nucleo], $B245,
  desp.m.ik[variavel], $B$223,
  desp.m.ik[mes], "&gt;="&amp;I$1,
  desp.m.ik[mes], "&lt;"&amp;EOMONTH(I$1,0)+1
)</f>
        <v>0</v>
      </c>
      <c r="J245" s="186">
        <f ca="1">-SUMIFS(
  desp.m.ik[valor],
  desp.m.ik[nucleo], $B245,
  desp.m.ik[variavel], $B$223,
  desp.m.ik[mes], "&gt;="&amp;J$1,
  desp.m.ik[mes], "&lt;"&amp;EOMONTH(J$1,0)+1
)</f>
        <v>0</v>
      </c>
      <c r="K245" s="186">
        <f ca="1">-SUMIFS(
  desp.m.ik[valor],
  desp.m.ik[nucleo], $B245,
  desp.m.ik[variavel], $B$223,
  desp.m.ik[mes], "&gt;="&amp;K$1,
  desp.m.ik[mes], "&lt;"&amp;EOMONTH(K$1,0)+1
)</f>
        <v>0</v>
      </c>
      <c r="L245" s="186">
        <f ca="1">-SUMIFS(
  desp.m.ik[valor],
  desp.m.ik[nucleo], $B245,
  desp.m.ik[variavel], $B$223,
  desp.m.ik[mes], "&gt;="&amp;L$1,
  desp.m.ik[mes], "&lt;"&amp;EOMONTH(L$1,0)+1
)</f>
        <v>0</v>
      </c>
      <c r="M245" s="186">
        <f ca="1">-SUMIFS(
  desp.m.ik[valor],
  desp.m.ik[nucleo], $B245,
  desp.m.ik[variavel], $B$223,
  desp.m.ik[mes], "&gt;="&amp;M$1,
  desp.m.ik[mes], "&lt;"&amp;EOMONTH(M$1,0)+1
)</f>
        <v>0</v>
      </c>
      <c r="N245" s="186">
        <f ca="1">-SUMIFS(
  desp.m.ik[valor],
  desp.m.ik[nucleo], $B245,
  desp.m.ik[variavel], $B$223,
  desp.m.ik[mes], "&gt;="&amp;N$1,
  desp.m.ik[mes], "&lt;"&amp;EOMONTH(N$1,0)+1
)</f>
        <v>0</v>
      </c>
      <c r="O245" s="186">
        <f ca="1">-SUMIFS(
  desp.m.ik[valor],
  desp.m.ik[nucleo], $B245,
  desp.m.ik[variavel], $B$223,
  desp.m.ik[mes], "&gt;="&amp;O$1,
  desp.m.ik[mes], "&lt;"&amp;EOMONTH(O$1,0)+1
)</f>
        <v>0</v>
      </c>
      <c r="P245" s="186">
        <f ca="1">-SUMIFS(
  desp.m.ik[valor],
  desp.m.ik[nucleo], $B245,
  desp.m.ik[variavel], $B$223,
  desp.m.ik[mes], "&gt;="&amp;P$1,
  desp.m.ik[mes], "&lt;"&amp;EOMONTH(P$1,0)+1
)</f>
        <v>0</v>
      </c>
      <c r="Q245" s="186">
        <f ca="1">-SUMIFS(
  desp.m.ik[valor],
  desp.m.ik[nucleo], $B245,
  desp.m.ik[variavel], $B$223,
  desp.m.ik[mes], "&gt;="&amp;Q$1,
  desp.m.ik[mes], "&lt;"&amp;EOMONTH(Q$1,0)+1
)</f>
        <v>0</v>
      </c>
      <c r="R245" s="186">
        <f ca="1">-SUMIFS(
  desp.m.ik[valor],
  desp.m.ik[nucleo], $B245,
  desp.m.ik[variavel], $B$223,
  desp.m.ik[mes], "&gt;="&amp;R$1,
  desp.m.ik[mes], "&lt;"&amp;EOMONTH(R$1,0)+1
)</f>
        <v>0</v>
      </c>
      <c r="S245" s="186">
        <f ca="1">-SUMIFS(
  desp.m.ik[valor],
  desp.m.ik[nucleo], $B245,
  desp.m.ik[variavel], $B$223,
  desp.m.ik[mes], "&gt;="&amp;S$1,
  desp.m.ik[mes], "&lt;"&amp;EOMONTH(S$1,0)+1
)</f>
        <v>0</v>
      </c>
      <c r="T245" s="186">
        <f ca="1">-SUMIFS(
  desp.m.ik[valor],
  desp.m.ik[nucleo], $B245,
  desp.m.ik[variavel], $B$223,
  desp.m.ik[mes], "&gt;="&amp;T$1,
  desp.m.ik[mes], "&lt;"&amp;EOMONTH(T$1,0)+1
)</f>
        <v>0</v>
      </c>
      <c r="U245" s="186">
        <f ca="1">-SUMIFS(
  desp.m.ik[valor],
  desp.m.ik[nucleo], $B245,
  desp.m.ik[variavel], $B$223,
  desp.m.ik[mes], "&gt;="&amp;U$1,
  desp.m.ik[mes], "&lt;"&amp;EOMONTH(U$1,0)+1
)</f>
        <v>0</v>
      </c>
      <c r="V245" s="186">
        <f ca="1">-SUMIFS(
  desp.m.ik[valor],
  desp.m.ik[nucleo], $B245,
  desp.m.ik[variavel], $B$223,
  desp.m.ik[mes], "&gt;="&amp;V$1,
  desp.m.ik[mes], "&lt;"&amp;EOMONTH(V$1,0)+1
)</f>
        <v>0</v>
      </c>
      <c r="W245" s="186">
        <f ca="1">-SUMIFS(
  desp.m.ik[valor],
  desp.m.ik[nucleo], $B245,
  desp.m.ik[variavel], $B$223,
  desp.m.ik[mes], "&gt;="&amp;W$1,
  desp.m.ik[mes], "&lt;"&amp;EOMONTH(W$1,0)+1
)</f>
        <v>0</v>
      </c>
      <c r="X245" s="186">
        <f ca="1">-SUMIFS(
  desp.m.ik[valor],
  desp.m.ik[nucleo], $B245,
  desp.m.ik[variavel], $B$223,
  desp.m.ik[mes], "&gt;="&amp;X$1,
  desp.m.ik[mes], "&lt;"&amp;EOMONTH(X$1,0)+1
)</f>
        <v>0</v>
      </c>
      <c r="Y245" s="186">
        <f ca="1">-SUMIFS(
  desp.m.ik[valor],
  desp.m.ik[nucleo], $B245,
  desp.m.ik[variavel], $B$223,
  desp.m.ik[mes], "&gt;="&amp;Y$1,
  desp.m.ik[mes], "&lt;"&amp;EOMONTH(Y$1,0)+1
)</f>
        <v>0</v>
      </c>
      <c r="Z245" s="186">
        <f ca="1">-SUMIFS(
  desp.m.ik[valor],
  desp.m.ik[nucleo], $B245,
  desp.m.ik[variavel], $B$223,
  desp.m.ik[mes], "&gt;="&amp;Z$1,
  desp.m.ik[mes], "&lt;"&amp;EOMONTH(Z$1,0)+1
)</f>
        <v>0</v>
      </c>
      <c r="AA245" s="186">
        <f ca="1">-SUMIFS(
  desp.m.ik[valor],
  desp.m.ik[nucleo], $B245,
  desp.m.ik[variavel], $B$223,
  desp.m.ik[mes], "&gt;="&amp;AA$1,
  desp.m.ik[mes], "&lt;"&amp;EOMONTH(AA$1,0)+1
)</f>
        <v>0</v>
      </c>
      <c r="AC245" s="178">
        <f t="shared" ca="1" si="41"/>
        <v>0</v>
      </c>
      <c r="AE245" s="178">
        <f ca="1">SUM(D245:AA245)</f>
        <v>0</v>
      </c>
    </row>
    <row r="246" spans="1:31" hidden="1" outlineLevel="2" x14ac:dyDescent="0.25">
      <c r="A246" s="185" t="s">
        <v>925</v>
      </c>
      <c r="B246" s="185" t="s">
        <v>578</v>
      </c>
      <c r="C246" s="138" t="s">
        <v>514</v>
      </c>
      <c r="D246" s="186">
        <f ca="1">-SUMIFS(
  desp.m.ik[valor],
  desp.m.ik[nucleo], $B246,
  desp.m.ik[variavel], $B$223,
  desp.m.ik[mes], "&gt;="&amp;D$1,
  desp.m.ik[mes], "&lt;"&amp;EOMONTH(D$1,0)+1
)</f>
        <v>0</v>
      </c>
      <c r="E246" s="186">
        <f ca="1">-SUMIFS(
  desp.m.ik[valor],
  desp.m.ik[nucleo], $B246,
  desp.m.ik[variavel], $B$223,
  desp.m.ik[mes], "&gt;="&amp;E$1,
  desp.m.ik[mes], "&lt;"&amp;EOMONTH(E$1,0)+1
)</f>
        <v>0</v>
      </c>
      <c r="F246" s="186">
        <f ca="1">-SUMIFS(
  desp.m.ik[valor],
  desp.m.ik[nucleo], $B246,
  desp.m.ik[variavel], $B$223,
  desp.m.ik[mes], "&gt;="&amp;F$1,
  desp.m.ik[mes], "&lt;"&amp;EOMONTH(F$1,0)+1
)</f>
        <v>0</v>
      </c>
      <c r="G246" s="186">
        <f ca="1">-SUMIFS(
  desp.m.ik[valor],
  desp.m.ik[nucleo], $B246,
  desp.m.ik[variavel], $B$223,
  desp.m.ik[mes], "&gt;="&amp;G$1,
  desp.m.ik[mes], "&lt;"&amp;EOMONTH(G$1,0)+1
)</f>
        <v>0</v>
      </c>
      <c r="H246" s="186">
        <f ca="1">-SUMIFS(
  desp.m.ik[valor],
  desp.m.ik[nucleo], $B246,
  desp.m.ik[variavel], $B$223,
  desp.m.ik[mes], "&gt;="&amp;H$1,
  desp.m.ik[mes], "&lt;"&amp;EOMONTH(H$1,0)+1
)</f>
        <v>0</v>
      </c>
      <c r="I246" s="186">
        <f ca="1">-SUMIFS(
  desp.m.ik[valor],
  desp.m.ik[nucleo], $B246,
  desp.m.ik[variavel], $B$223,
  desp.m.ik[mes], "&gt;="&amp;I$1,
  desp.m.ik[mes], "&lt;"&amp;EOMONTH(I$1,0)+1
)</f>
        <v>0</v>
      </c>
      <c r="J246" s="186">
        <f ca="1">-SUMIFS(
  desp.m.ik[valor],
  desp.m.ik[nucleo], $B246,
  desp.m.ik[variavel], $B$223,
  desp.m.ik[mes], "&gt;="&amp;J$1,
  desp.m.ik[mes], "&lt;"&amp;EOMONTH(J$1,0)+1
)</f>
        <v>0</v>
      </c>
      <c r="K246" s="186">
        <f ca="1">-SUMIFS(
  desp.m.ik[valor],
  desp.m.ik[nucleo], $B246,
  desp.m.ik[variavel], $B$223,
  desp.m.ik[mes], "&gt;="&amp;K$1,
  desp.m.ik[mes], "&lt;"&amp;EOMONTH(K$1,0)+1
)</f>
        <v>0</v>
      </c>
      <c r="L246" s="186">
        <f ca="1">-SUMIFS(
  desp.m.ik[valor],
  desp.m.ik[nucleo], $B246,
  desp.m.ik[variavel], $B$223,
  desp.m.ik[mes], "&gt;="&amp;L$1,
  desp.m.ik[mes], "&lt;"&amp;EOMONTH(L$1,0)+1
)</f>
        <v>0</v>
      </c>
      <c r="M246" s="186">
        <f ca="1">-SUMIFS(
  desp.m.ik[valor],
  desp.m.ik[nucleo], $B246,
  desp.m.ik[variavel], $B$223,
  desp.m.ik[mes], "&gt;="&amp;M$1,
  desp.m.ik[mes], "&lt;"&amp;EOMONTH(M$1,0)+1
)</f>
        <v>0</v>
      </c>
      <c r="N246" s="186">
        <f ca="1">-SUMIFS(
  desp.m.ik[valor],
  desp.m.ik[nucleo], $B246,
  desp.m.ik[variavel], $B$223,
  desp.m.ik[mes], "&gt;="&amp;N$1,
  desp.m.ik[mes], "&lt;"&amp;EOMONTH(N$1,0)+1
)</f>
        <v>0</v>
      </c>
      <c r="O246" s="186">
        <f ca="1">-SUMIFS(
  desp.m.ik[valor],
  desp.m.ik[nucleo], $B246,
  desp.m.ik[variavel], $B$223,
  desp.m.ik[mes], "&gt;="&amp;O$1,
  desp.m.ik[mes], "&lt;"&amp;EOMONTH(O$1,0)+1
)</f>
        <v>0</v>
      </c>
      <c r="P246" s="186">
        <f ca="1">-SUMIFS(
  desp.m.ik[valor],
  desp.m.ik[nucleo], $B246,
  desp.m.ik[variavel], $B$223,
  desp.m.ik[mes], "&gt;="&amp;P$1,
  desp.m.ik[mes], "&lt;"&amp;EOMONTH(P$1,0)+1
)</f>
        <v>0</v>
      </c>
      <c r="Q246" s="186">
        <f ca="1">-SUMIFS(
  desp.m.ik[valor],
  desp.m.ik[nucleo], $B246,
  desp.m.ik[variavel], $B$223,
  desp.m.ik[mes], "&gt;="&amp;Q$1,
  desp.m.ik[mes], "&lt;"&amp;EOMONTH(Q$1,0)+1
)</f>
        <v>0</v>
      </c>
      <c r="R246" s="186">
        <f ca="1">-SUMIFS(
  desp.m.ik[valor],
  desp.m.ik[nucleo], $B246,
  desp.m.ik[variavel], $B$223,
  desp.m.ik[mes], "&gt;="&amp;R$1,
  desp.m.ik[mes], "&lt;"&amp;EOMONTH(R$1,0)+1
)</f>
        <v>0</v>
      </c>
      <c r="S246" s="186">
        <f ca="1">-SUMIFS(
  desp.m.ik[valor],
  desp.m.ik[nucleo], $B246,
  desp.m.ik[variavel], $B$223,
  desp.m.ik[mes], "&gt;="&amp;S$1,
  desp.m.ik[mes], "&lt;"&amp;EOMONTH(S$1,0)+1
)</f>
        <v>0</v>
      </c>
      <c r="T246" s="186">
        <f ca="1">-SUMIFS(
  desp.m.ik[valor],
  desp.m.ik[nucleo], $B246,
  desp.m.ik[variavel], $B$223,
  desp.m.ik[mes], "&gt;="&amp;T$1,
  desp.m.ik[mes], "&lt;"&amp;EOMONTH(T$1,0)+1
)</f>
        <v>0</v>
      </c>
      <c r="U246" s="186">
        <f ca="1">-SUMIFS(
  desp.m.ik[valor],
  desp.m.ik[nucleo], $B246,
  desp.m.ik[variavel], $B$223,
  desp.m.ik[mes], "&gt;="&amp;U$1,
  desp.m.ik[mes], "&lt;"&amp;EOMONTH(U$1,0)+1
)</f>
        <v>0</v>
      </c>
      <c r="V246" s="186">
        <f ca="1">-SUMIFS(
  desp.m.ik[valor],
  desp.m.ik[nucleo], $B246,
  desp.m.ik[variavel], $B$223,
  desp.m.ik[mes], "&gt;="&amp;V$1,
  desp.m.ik[mes], "&lt;"&amp;EOMONTH(V$1,0)+1
)</f>
        <v>0</v>
      </c>
      <c r="W246" s="186">
        <f ca="1">-SUMIFS(
  desp.m.ik[valor],
  desp.m.ik[nucleo], $B246,
  desp.m.ik[variavel], $B$223,
  desp.m.ik[mes], "&gt;="&amp;W$1,
  desp.m.ik[mes], "&lt;"&amp;EOMONTH(W$1,0)+1
)</f>
        <v>0</v>
      </c>
      <c r="X246" s="186">
        <f ca="1">-SUMIFS(
  desp.m.ik[valor],
  desp.m.ik[nucleo], $B246,
  desp.m.ik[variavel], $B$223,
  desp.m.ik[mes], "&gt;="&amp;X$1,
  desp.m.ik[mes], "&lt;"&amp;EOMONTH(X$1,0)+1
)</f>
        <v>0</v>
      </c>
      <c r="Y246" s="186">
        <f ca="1">-SUMIFS(
  desp.m.ik[valor],
  desp.m.ik[nucleo], $B246,
  desp.m.ik[variavel], $B$223,
  desp.m.ik[mes], "&gt;="&amp;Y$1,
  desp.m.ik[mes], "&lt;"&amp;EOMONTH(Y$1,0)+1
)</f>
        <v>0</v>
      </c>
      <c r="Z246" s="186">
        <f ca="1">-SUMIFS(
  desp.m.ik[valor],
  desp.m.ik[nucleo], $B246,
  desp.m.ik[variavel], $B$223,
  desp.m.ik[mes], "&gt;="&amp;Z$1,
  desp.m.ik[mes], "&lt;"&amp;EOMONTH(Z$1,0)+1
)</f>
        <v>0</v>
      </c>
      <c r="AA246" s="186">
        <f ca="1">-SUMIFS(
  desp.m.ik[valor],
  desp.m.ik[nucleo], $B246,
  desp.m.ik[variavel], $B$223,
  desp.m.ik[mes], "&gt;="&amp;AA$1,
  desp.m.ik[mes], "&lt;"&amp;EOMONTH(AA$1,0)+1
)</f>
        <v>0</v>
      </c>
      <c r="AC246" s="178">
        <f t="shared" ca="1" si="41"/>
        <v>0</v>
      </c>
      <c r="AE246" s="178">
        <f t="shared" ca="1" si="40"/>
        <v>0</v>
      </c>
    </row>
    <row r="247" spans="1:31" hidden="1" outlineLevel="2" x14ac:dyDescent="0.25">
      <c r="A247" s="185" t="s">
        <v>923</v>
      </c>
      <c r="B247" s="185" t="s">
        <v>562</v>
      </c>
      <c r="C247" s="138" t="s">
        <v>514</v>
      </c>
      <c r="D247" s="186">
        <f ca="1">-SUMIFS(
  desp.m.ik[valor],
  desp.m.ik[nucleo], $B247,
  desp.m.ik[variavel], $B$223,
  desp.m.ik[mes], "&gt;="&amp;D$1,
  desp.m.ik[mes], "&lt;"&amp;EOMONTH(D$1,0)+1
)</f>
        <v>0</v>
      </c>
      <c r="E247" s="186">
        <f ca="1">-SUMIFS(
  desp.m.ik[valor],
  desp.m.ik[nucleo], $B247,
  desp.m.ik[variavel], $B$223,
  desp.m.ik[mes], "&gt;="&amp;E$1,
  desp.m.ik[mes], "&lt;"&amp;EOMONTH(E$1,0)+1
)</f>
        <v>0</v>
      </c>
      <c r="F247" s="186">
        <f ca="1">-SUMIFS(
  desp.m.ik[valor],
  desp.m.ik[nucleo], $B247,
  desp.m.ik[variavel], $B$223,
  desp.m.ik[mes], "&gt;="&amp;F$1,
  desp.m.ik[mes], "&lt;"&amp;EOMONTH(F$1,0)+1
)</f>
        <v>0</v>
      </c>
      <c r="G247" s="186">
        <f ca="1">-SUMIFS(
  desp.m.ik[valor],
  desp.m.ik[nucleo], $B247,
  desp.m.ik[variavel], $B$223,
  desp.m.ik[mes], "&gt;="&amp;G$1,
  desp.m.ik[mes], "&lt;"&amp;EOMONTH(G$1,0)+1
)</f>
        <v>0</v>
      </c>
      <c r="H247" s="186">
        <f ca="1">-SUMIFS(
  desp.m.ik[valor],
  desp.m.ik[nucleo], $B247,
  desp.m.ik[variavel], $B$223,
  desp.m.ik[mes], "&gt;="&amp;H$1,
  desp.m.ik[mes], "&lt;"&amp;EOMONTH(H$1,0)+1
)</f>
        <v>0</v>
      </c>
      <c r="I247" s="186">
        <f ca="1">-SUMIFS(
  desp.m.ik[valor],
  desp.m.ik[nucleo], $B247,
  desp.m.ik[variavel], $B$223,
  desp.m.ik[mes], "&gt;="&amp;I$1,
  desp.m.ik[mes], "&lt;"&amp;EOMONTH(I$1,0)+1
)</f>
        <v>0</v>
      </c>
      <c r="J247" s="186">
        <f ca="1">-SUMIFS(
  desp.m.ik[valor],
  desp.m.ik[nucleo], $B247,
  desp.m.ik[variavel], $B$223,
  desp.m.ik[mes], "&gt;="&amp;J$1,
  desp.m.ik[mes], "&lt;"&amp;EOMONTH(J$1,0)+1
)</f>
        <v>0</v>
      </c>
      <c r="K247" s="186">
        <f ca="1">-SUMIFS(
  desp.m.ik[valor],
  desp.m.ik[nucleo], $B247,
  desp.m.ik[variavel], $B$223,
  desp.m.ik[mes], "&gt;="&amp;K$1,
  desp.m.ik[mes], "&lt;"&amp;EOMONTH(K$1,0)+1
)</f>
        <v>0</v>
      </c>
      <c r="L247" s="186">
        <f ca="1">-SUMIFS(
  desp.m.ik[valor],
  desp.m.ik[nucleo], $B247,
  desp.m.ik[variavel], $B$223,
  desp.m.ik[mes], "&gt;="&amp;L$1,
  desp.m.ik[mes], "&lt;"&amp;EOMONTH(L$1,0)+1
)</f>
        <v>0</v>
      </c>
      <c r="M247" s="186">
        <f ca="1">-SUMIFS(
  desp.m.ik[valor],
  desp.m.ik[nucleo], $B247,
  desp.m.ik[variavel], $B$223,
  desp.m.ik[mes], "&gt;="&amp;M$1,
  desp.m.ik[mes], "&lt;"&amp;EOMONTH(M$1,0)+1
)</f>
        <v>0</v>
      </c>
      <c r="N247" s="186">
        <f ca="1">-SUMIFS(
  desp.m.ik[valor],
  desp.m.ik[nucleo], $B247,
  desp.m.ik[variavel], $B$223,
  desp.m.ik[mes], "&gt;="&amp;N$1,
  desp.m.ik[mes], "&lt;"&amp;EOMONTH(N$1,0)+1
)</f>
        <v>0</v>
      </c>
      <c r="O247" s="186">
        <f ca="1">-SUMIFS(
  desp.m.ik[valor],
  desp.m.ik[nucleo], $B247,
  desp.m.ik[variavel], $B$223,
  desp.m.ik[mes], "&gt;="&amp;O$1,
  desp.m.ik[mes], "&lt;"&amp;EOMONTH(O$1,0)+1
)</f>
        <v>0</v>
      </c>
      <c r="P247" s="186">
        <f ca="1">-SUMIFS(
  desp.m.ik[valor],
  desp.m.ik[nucleo], $B247,
  desp.m.ik[variavel], $B$223,
  desp.m.ik[mes], "&gt;="&amp;P$1,
  desp.m.ik[mes], "&lt;"&amp;EOMONTH(P$1,0)+1
)</f>
        <v>0</v>
      </c>
      <c r="Q247" s="186">
        <f ca="1">-SUMIFS(
  desp.m.ik[valor],
  desp.m.ik[nucleo], $B247,
  desp.m.ik[variavel], $B$223,
  desp.m.ik[mes], "&gt;="&amp;Q$1,
  desp.m.ik[mes], "&lt;"&amp;EOMONTH(Q$1,0)+1
)</f>
        <v>0</v>
      </c>
      <c r="R247" s="186">
        <f ca="1">-SUMIFS(
  desp.m.ik[valor],
  desp.m.ik[nucleo], $B247,
  desp.m.ik[variavel], $B$223,
  desp.m.ik[mes], "&gt;="&amp;R$1,
  desp.m.ik[mes], "&lt;"&amp;EOMONTH(R$1,0)+1
)</f>
        <v>0</v>
      </c>
      <c r="S247" s="186">
        <f ca="1">-SUMIFS(
  desp.m.ik[valor],
  desp.m.ik[nucleo], $B247,
  desp.m.ik[variavel], $B$223,
  desp.m.ik[mes], "&gt;="&amp;S$1,
  desp.m.ik[mes], "&lt;"&amp;EOMONTH(S$1,0)+1
)</f>
        <v>0</v>
      </c>
      <c r="T247" s="186">
        <f ca="1">-SUMIFS(
  desp.m.ik[valor],
  desp.m.ik[nucleo], $B247,
  desp.m.ik[variavel], $B$223,
  desp.m.ik[mes], "&gt;="&amp;T$1,
  desp.m.ik[mes], "&lt;"&amp;EOMONTH(T$1,0)+1
)</f>
        <v>0</v>
      </c>
      <c r="U247" s="186">
        <f ca="1">-SUMIFS(
  desp.m.ik[valor],
  desp.m.ik[nucleo], $B247,
  desp.m.ik[variavel], $B$223,
  desp.m.ik[mes], "&gt;="&amp;U$1,
  desp.m.ik[mes], "&lt;"&amp;EOMONTH(U$1,0)+1
)</f>
        <v>0</v>
      </c>
      <c r="V247" s="186">
        <f ca="1">-SUMIFS(
  desp.m.ik[valor],
  desp.m.ik[nucleo], $B247,
  desp.m.ik[variavel], $B$223,
  desp.m.ik[mes], "&gt;="&amp;V$1,
  desp.m.ik[mes], "&lt;"&amp;EOMONTH(V$1,0)+1
)</f>
        <v>0</v>
      </c>
      <c r="W247" s="186">
        <f ca="1">-SUMIFS(
  desp.m.ik[valor],
  desp.m.ik[nucleo], $B247,
  desp.m.ik[variavel], $B$223,
  desp.m.ik[mes], "&gt;="&amp;W$1,
  desp.m.ik[mes], "&lt;"&amp;EOMONTH(W$1,0)+1
)</f>
        <v>0</v>
      </c>
      <c r="X247" s="186">
        <f ca="1">-SUMIFS(
  desp.m.ik[valor],
  desp.m.ik[nucleo], $B247,
  desp.m.ik[variavel], $B$223,
  desp.m.ik[mes], "&gt;="&amp;X$1,
  desp.m.ik[mes], "&lt;"&amp;EOMONTH(X$1,0)+1
)</f>
        <v>0</v>
      </c>
      <c r="Y247" s="186">
        <f ca="1">-SUMIFS(
  desp.m.ik[valor],
  desp.m.ik[nucleo], $B247,
  desp.m.ik[variavel], $B$223,
  desp.m.ik[mes], "&gt;="&amp;Y$1,
  desp.m.ik[mes], "&lt;"&amp;EOMONTH(Y$1,0)+1
)</f>
        <v>0</v>
      </c>
      <c r="Z247" s="186">
        <f ca="1">-SUMIFS(
  desp.m.ik[valor],
  desp.m.ik[nucleo], $B247,
  desp.m.ik[variavel], $B$223,
  desp.m.ik[mes], "&gt;="&amp;Z$1,
  desp.m.ik[mes], "&lt;"&amp;EOMONTH(Z$1,0)+1
)</f>
        <v>0</v>
      </c>
      <c r="AA247" s="186">
        <f ca="1">-SUMIFS(
  desp.m.ik[valor],
  desp.m.ik[nucleo], $B247,
  desp.m.ik[variavel], $B$223,
  desp.m.ik[mes], "&gt;="&amp;AA$1,
  desp.m.ik[mes], "&lt;"&amp;EOMONTH(AA$1,0)+1
)</f>
        <v>0</v>
      </c>
      <c r="AC247" s="178">
        <f t="shared" ca="1" si="41"/>
        <v>0</v>
      </c>
      <c r="AE247" s="178">
        <f t="shared" ca="1" si="40"/>
        <v>0</v>
      </c>
    </row>
    <row r="248" spans="1:31" hidden="1" outlineLevel="1" x14ac:dyDescent="0.25">
      <c r="A248" s="182" t="s">
        <v>992</v>
      </c>
      <c r="B248" s="187" t="s">
        <v>723</v>
      </c>
      <c r="C248" s="183" t="s">
        <v>514</v>
      </c>
      <c r="D248" s="184">
        <f t="shared" ref="D248:AA248" si="49">SUM(D$249)</f>
        <v>0</v>
      </c>
      <c r="E248" s="184">
        <f t="shared" ca="1" si="49"/>
        <v>0</v>
      </c>
      <c r="F248" s="184">
        <f t="shared" ca="1" si="49"/>
        <v>0</v>
      </c>
      <c r="G248" s="184">
        <f t="shared" ca="1" si="49"/>
        <v>0</v>
      </c>
      <c r="H248" s="184">
        <f t="shared" ca="1" si="49"/>
        <v>0</v>
      </c>
      <c r="I248" s="184">
        <f t="shared" ca="1" si="49"/>
        <v>0</v>
      </c>
      <c r="J248" s="184">
        <f t="shared" ca="1" si="49"/>
        <v>0</v>
      </c>
      <c r="K248" s="184">
        <f t="shared" ca="1" si="49"/>
        <v>0</v>
      </c>
      <c r="L248" s="184">
        <f t="shared" ca="1" si="49"/>
        <v>0</v>
      </c>
      <c r="M248" s="184">
        <f t="shared" ca="1" si="49"/>
        <v>0</v>
      </c>
      <c r="N248" s="184">
        <f t="shared" ca="1" si="49"/>
        <v>0</v>
      </c>
      <c r="O248" s="184">
        <f t="shared" ca="1" si="49"/>
        <v>0</v>
      </c>
      <c r="P248" s="184">
        <f t="shared" ca="1" si="49"/>
        <v>0</v>
      </c>
      <c r="Q248" s="184">
        <f t="shared" ca="1" si="49"/>
        <v>0</v>
      </c>
      <c r="R248" s="184">
        <f t="shared" ca="1" si="49"/>
        <v>0</v>
      </c>
      <c r="S248" s="184">
        <f t="shared" ca="1" si="49"/>
        <v>0</v>
      </c>
      <c r="T248" s="184">
        <f t="shared" ca="1" si="49"/>
        <v>0</v>
      </c>
      <c r="U248" s="184">
        <f t="shared" ca="1" si="49"/>
        <v>0</v>
      </c>
      <c r="V248" s="184">
        <f t="shared" ca="1" si="49"/>
        <v>0</v>
      </c>
      <c r="W248" s="184">
        <f t="shared" ca="1" si="49"/>
        <v>0</v>
      </c>
      <c r="X248" s="184">
        <f t="shared" ca="1" si="49"/>
        <v>0</v>
      </c>
      <c r="Y248" s="184">
        <f t="shared" ca="1" si="49"/>
        <v>0</v>
      </c>
      <c r="Z248" s="184">
        <f t="shared" ca="1" si="49"/>
        <v>0</v>
      </c>
      <c r="AA248" s="184">
        <f t="shared" ca="1" si="49"/>
        <v>0</v>
      </c>
      <c r="AC248" s="280">
        <f t="shared" ca="1" si="41"/>
        <v>0</v>
      </c>
      <c r="AE248" s="280">
        <f t="shared" ca="1" si="40"/>
        <v>0</v>
      </c>
    </row>
    <row r="249" spans="1:31" hidden="1" outlineLevel="2" x14ac:dyDescent="0.25">
      <c r="A249" s="185" t="s">
        <v>993</v>
      </c>
      <c r="B249" s="185" t="s">
        <v>722</v>
      </c>
      <c r="C249" s="138" t="s">
        <v>514</v>
      </c>
      <c r="D249" s="186" cm="1">
        <f t="array" ref="D249">-SUMPRODUCT(
  tb_desp[valor] *
  (tb_desp[nucleo]=$B249) *
  (tb_desp[centro.negocio]=$B$248) *
  (tb_desp[data.pagamento]&gt;=D$1) *
  (tb_desp[data.pagamento]&lt;EOMONTH(D$1,0)+1)
)</f>
        <v>0</v>
      </c>
      <c r="E249" s="186">
        <f ca="1">-SUMIFS(
  desp.m.ik[valor],
  desp.m.ik[nucleo], $B249,
  desp.m.ik[variavel], $B$248,
  desp.m.ik[mes], "&gt;="&amp;E$1,
  desp.m.ik[mes], "&lt;"&amp;EOMONTH(E$1,0)+1
)</f>
        <v>0</v>
      </c>
      <c r="F249" s="186">
        <f ca="1">-SUMIFS(
  desp.m.ik[valor],
  desp.m.ik[nucleo], $B249,
  desp.m.ik[variavel], $B$248,
  desp.m.ik[mes], "&gt;="&amp;F$1,
  desp.m.ik[mes], "&lt;"&amp;EOMONTH(F$1,0)+1
)</f>
        <v>0</v>
      </c>
      <c r="G249" s="186">
        <f ca="1">-SUMIFS(
  desp.m.ik[valor],
  desp.m.ik[nucleo], $B249,
  desp.m.ik[variavel], $B$248,
  desp.m.ik[mes], "&gt;="&amp;G$1,
  desp.m.ik[mes], "&lt;"&amp;EOMONTH(G$1,0)+1
)</f>
        <v>0</v>
      </c>
      <c r="H249" s="186">
        <f ca="1">-SUMIFS(
  desp.m.ik[valor],
  desp.m.ik[nucleo], $B249,
  desp.m.ik[variavel], $B$248,
  desp.m.ik[mes], "&gt;="&amp;H$1,
  desp.m.ik[mes], "&lt;"&amp;EOMONTH(H$1,0)+1
)</f>
        <v>0</v>
      </c>
      <c r="I249" s="186">
        <f ca="1">-SUMIFS(
  desp.m.ik[valor],
  desp.m.ik[nucleo], $B249,
  desp.m.ik[variavel], $B$248,
  desp.m.ik[mes], "&gt;="&amp;I$1,
  desp.m.ik[mes], "&lt;"&amp;EOMONTH(I$1,0)+1
)</f>
        <v>0</v>
      </c>
      <c r="J249" s="186">
        <f ca="1">-SUMIFS(
  desp.m.ik[valor],
  desp.m.ik[nucleo], $B249,
  desp.m.ik[variavel], $B$248,
  desp.m.ik[mes], "&gt;="&amp;J$1,
  desp.m.ik[mes], "&lt;"&amp;EOMONTH(J$1,0)+1
)</f>
        <v>0</v>
      </c>
      <c r="K249" s="186">
        <f ca="1">-SUMIFS(
  desp.m.ik[valor],
  desp.m.ik[nucleo], $B249,
  desp.m.ik[variavel], $B$248,
  desp.m.ik[mes], "&gt;="&amp;K$1,
  desp.m.ik[mes], "&lt;"&amp;EOMONTH(K$1,0)+1
)</f>
        <v>0</v>
      </c>
      <c r="L249" s="186">
        <f ca="1">-SUMIFS(
  desp.m.ik[valor],
  desp.m.ik[nucleo], $B249,
  desp.m.ik[variavel], $B$248,
  desp.m.ik[mes], "&gt;="&amp;L$1,
  desp.m.ik[mes], "&lt;"&amp;EOMONTH(L$1,0)+1
)</f>
        <v>0</v>
      </c>
      <c r="M249" s="186">
        <f ca="1">-SUMIFS(
  desp.m.ik[valor],
  desp.m.ik[nucleo], $B249,
  desp.m.ik[variavel], $B$248,
  desp.m.ik[mes], "&gt;="&amp;M$1,
  desp.m.ik[mes], "&lt;"&amp;EOMONTH(M$1,0)+1
)</f>
        <v>0</v>
      </c>
      <c r="N249" s="186">
        <f ca="1">-SUMIFS(
  desp.m.ik[valor],
  desp.m.ik[nucleo], $B249,
  desp.m.ik[variavel], $B$248,
  desp.m.ik[mes], "&gt;="&amp;N$1,
  desp.m.ik[mes], "&lt;"&amp;EOMONTH(N$1,0)+1
)</f>
        <v>0</v>
      </c>
      <c r="O249" s="186">
        <f ca="1">-SUMIFS(
  desp.m.ik[valor],
  desp.m.ik[nucleo], $B249,
  desp.m.ik[variavel], $B$248,
  desp.m.ik[mes], "&gt;="&amp;O$1,
  desp.m.ik[mes], "&lt;"&amp;EOMONTH(O$1,0)+1
)</f>
        <v>0</v>
      </c>
      <c r="P249" s="186">
        <f ca="1">-SUMIFS(
  desp.m.ik[valor],
  desp.m.ik[nucleo], $B249,
  desp.m.ik[variavel], $B$248,
  desp.m.ik[mes], "&gt;="&amp;P$1,
  desp.m.ik[mes], "&lt;"&amp;EOMONTH(P$1,0)+1
)</f>
        <v>0</v>
      </c>
      <c r="Q249" s="186">
        <f ca="1">-SUMIFS(
  desp.m.ik[valor],
  desp.m.ik[nucleo], $B249,
  desp.m.ik[variavel], $B$248,
  desp.m.ik[mes], "&gt;="&amp;Q$1,
  desp.m.ik[mes], "&lt;"&amp;EOMONTH(Q$1,0)+1
)</f>
        <v>0</v>
      </c>
      <c r="R249" s="186">
        <f ca="1">-SUMIFS(
  desp.m.ik[valor],
  desp.m.ik[nucleo], $B249,
  desp.m.ik[variavel], $B$248,
  desp.m.ik[mes], "&gt;="&amp;R$1,
  desp.m.ik[mes], "&lt;"&amp;EOMONTH(R$1,0)+1
)</f>
        <v>0</v>
      </c>
      <c r="S249" s="186">
        <f ca="1">-SUMIFS(
  desp.m.ik[valor],
  desp.m.ik[nucleo], $B249,
  desp.m.ik[variavel], $B$248,
  desp.m.ik[mes], "&gt;="&amp;S$1,
  desp.m.ik[mes], "&lt;"&amp;EOMONTH(S$1,0)+1
)</f>
        <v>0</v>
      </c>
      <c r="T249" s="186">
        <f ca="1">-SUMIFS(
  desp.m.ik[valor],
  desp.m.ik[nucleo], $B249,
  desp.m.ik[variavel], $B$248,
  desp.m.ik[mes], "&gt;="&amp;T$1,
  desp.m.ik[mes], "&lt;"&amp;EOMONTH(T$1,0)+1
)</f>
        <v>0</v>
      </c>
      <c r="U249" s="186">
        <f ca="1">-SUMIFS(
  desp.m.ik[valor],
  desp.m.ik[nucleo], $B249,
  desp.m.ik[variavel], $B$248,
  desp.m.ik[mes], "&gt;="&amp;U$1,
  desp.m.ik[mes], "&lt;"&amp;EOMONTH(U$1,0)+1
)</f>
        <v>0</v>
      </c>
      <c r="V249" s="186">
        <f ca="1">-SUMIFS(
  desp.m.ik[valor],
  desp.m.ik[nucleo], $B249,
  desp.m.ik[variavel], $B$248,
  desp.m.ik[mes], "&gt;="&amp;V$1,
  desp.m.ik[mes], "&lt;"&amp;EOMONTH(V$1,0)+1
)</f>
        <v>0</v>
      </c>
      <c r="W249" s="186">
        <f ca="1">-SUMIFS(
  desp.m.ik[valor],
  desp.m.ik[nucleo], $B249,
  desp.m.ik[variavel], $B$248,
  desp.m.ik[mes], "&gt;="&amp;W$1,
  desp.m.ik[mes], "&lt;"&amp;EOMONTH(W$1,0)+1
)</f>
        <v>0</v>
      </c>
      <c r="X249" s="186">
        <f ca="1">-SUMIFS(
  desp.m.ik[valor],
  desp.m.ik[nucleo], $B249,
  desp.m.ik[variavel], $B$248,
  desp.m.ik[mes], "&gt;="&amp;X$1,
  desp.m.ik[mes], "&lt;"&amp;EOMONTH(X$1,0)+1
)</f>
        <v>0</v>
      </c>
      <c r="Y249" s="186">
        <f ca="1">-SUMIFS(
  desp.m.ik[valor],
  desp.m.ik[nucleo], $B249,
  desp.m.ik[variavel], $B$248,
  desp.m.ik[mes], "&gt;="&amp;Y$1,
  desp.m.ik[mes], "&lt;"&amp;EOMONTH(Y$1,0)+1
)</f>
        <v>0</v>
      </c>
      <c r="Z249" s="186">
        <f ca="1">-SUMIFS(
  desp.m.ik[valor],
  desp.m.ik[nucleo], $B249,
  desp.m.ik[variavel], $B$248,
  desp.m.ik[mes], "&gt;="&amp;Z$1,
  desp.m.ik[mes], "&lt;"&amp;EOMONTH(Z$1,0)+1
)</f>
        <v>0</v>
      </c>
      <c r="AA249" s="186">
        <f ca="1">-SUMIFS(
  desp.m.ik[valor],
  desp.m.ik[nucleo], $B249,
  desp.m.ik[variavel], $B$248,
  desp.m.ik[mes], "&gt;="&amp;AA$1,
  desp.m.ik[mes], "&lt;"&amp;EOMONTH(AA$1,0)+1
)</f>
        <v>0</v>
      </c>
      <c r="AC249" s="178">
        <f t="shared" ca="1" si="41"/>
        <v>0</v>
      </c>
      <c r="AE249" s="178">
        <f t="shared" ca="1" si="40"/>
        <v>0</v>
      </c>
    </row>
    <row r="250" spans="1:31" hidden="1" outlineLevel="1" x14ac:dyDescent="0.25">
      <c r="A250" s="182" t="s">
        <v>661</v>
      </c>
      <c r="B250" s="182" t="s">
        <v>1077</v>
      </c>
      <c r="C250" s="183" t="s">
        <v>514</v>
      </c>
      <c r="D250" s="184">
        <f>SUM(D$251:D$255)</f>
        <v>0</v>
      </c>
      <c r="E250" s="184">
        <f t="shared" ref="E250:AA250" si="50">SUM(E$251:E$255)</f>
        <v>0</v>
      </c>
      <c r="F250" s="184">
        <f t="shared" si="50"/>
        <v>0</v>
      </c>
      <c r="G250" s="184">
        <f t="shared" si="50"/>
        <v>0</v>
      </c>
      <c r="H250" s="184">
        <f t="shared" si="50"/>
        <v>0</v>
      </c>
      <c r="I250" s="184">
        <f t="shared" si="50"/>
        <v>0</v>
      </c>
      <c r="J250" s="184">
        <f t="shared" si="50"/>
        <v>0</v>
      </c>
      <c r="K250" s="184">
        <f t="shared" si="50"/>
        <v>0</v>
      </c>
      <c r="L250" s="184">
        <f t="shared" si="50"/>
        <v>0</v>
      </c>
      <c r="M250" s="184">
        <f t="shared" si="50"/>
        <v>0</v>
      </c>
      <c r="N250" s="184">
        <f t="shared" si="50"/>
        <v>0</v>
      </c>
      <c r="O250" s="184">
        <f t="shared" si="50"/>
        <v>0</v>
      </c>
      <c r="P250" s="184">
        <f t="shared" si="50"/>
        <v>0</v>
      </c>
      <c r="Q250" s="184">
        <f t="shared" si="50"/>
        <v>0</v>
      </c>
      <c r="R250" s="184">
        <f t="shared" si="50"/>
        <v>0</v>
      </c>
      <c r="S250" s="184">
        <f t="shared" si="50"/>
        <v>0</v>
      </c>
      <c r="T250" s="184">
        <f t="shared" si="50"/>
        <v>0</v>
      </c>
      <c r="U250" s="184">
        <f t="shared" si="50"/>
        <v>0</v>
      </c>
      <c r="V250" s="184">
        <f t="shared" si="50"/>
        <v>0</v>
      </c>
      <c r="W250" s="184">
        <f t="shared" si="50"/>
        <v>0</v>
      </c>
      <c r="X250" s="184">
        <f t="shared" si="50"/>
        <v>0</v>
      </c>
      <c r="Y250" s="184">
        <f t="shared" si="50"/>
        <v>0</v>
      </c>
      <c r="Z250" s="184">
        <f t="shared" si="50"/>
        <v>0</v>
      </c>
      <c r="AA250" s="184">
        <f t="shared" si="50"/>
        <v>0</v>
      </c>
      <c r="AC250" s="280">
        <f t="shared" si="41"/>
        <v>0</v>
      </c>
      <c r="AE250" s="280">
        <f t="shared" si="40"/>
        <v>0</v>
      </c>
    </row>
    <row r="251" spans="1:31" hidden="1" outlineLevel="2" x14ac:dyDescent="0.25">
      <c r="A251" s="185" t="s">
        <v>1058</v>
      </c>
      <c r="B251" s="185" t="s">
        <v>537</v>
      </c>
      <c r="C251" s="138" t="s">
        <v>514</v>
      </c>
      <c r="D251" s="186">
        <f>-SUMIFS(
  tb_desp[valor],
  tb_desp[nucleo], $B251,
  tb_desp[centro.negocio], "Comissão/vendas",
  tb_desp[data.pagamento], "&gt;="&amp;D$1,
  tb_desp[data.pagamento], "&lt;"&amp;EOMONTH(D$1,0)+1,
  tb_desp[classe], "Financiamento"
)</f>
        <v>0</v>
      </c>
      <c r="E251" s="186">
        <f>-SUMIFS(
  tb_desp[valor],
  tb_desp[nucleo], $B251,
  tb_desp[centro.negocio], "Comissão/vendas",
  tb_desp[data.pagamento], "&gt;="&amp;E$1,
  tb_desp[data.pagamento], "&lt;"&amp;EOMONTH(E$1,0)+1,
  tb_desp[classe], "Financiamento"
)</f>
        <v>0</v>
      </c>
      <c r="F251" s="186">
        <f>-SUMIFS(
  tb_desp[valor],
  tb_desp[nucleo], $B251,
  tb_desp[centro.negocio], "Comissão/vendas",
  tb_desp[data.pagamento], "&gt;="&amp;F$1,
  tb_desp[data.pagamento], "&lt;"&amp;EOMONTH(F$1,0)+1,
  tb_desp[classe], "Financiamento"
)</f>
        <v>0</v>
      </c>
      <c r="G251" s="186">
        <f>-SUMIFS(
  tb_desp[valor],
  tb_desp[nucleo], $B251,
  tb_desp[centro.negocio], "Comissão/vendas",
  tb_desp[data.pagamento], "&gt;="&amp;G$1,
  tb_desp[data.pagamento], "&lt;"&amp;EOMONTH(G$1,0)+1,
  tb_desp[classe], "Financiamento"
)</f>
        <v>0</v>
      </c>
      <c r="H251" s="186">
        <f>-SUMIFS(
  tb_desp[valor],
  tb_desp[nucleo], $B251,
  tb_desp[centro.negocio], "Comissão/vendas",
  tb_desp[data.pagamento], "&gt;="&amp;H$1,
  tb_desp[data.pagamento], "&lt;"&amp;EOMONTH(H$1,0)+1,
  tb_desp[classe], "Financiamento"
)</f>
        <v>0</v>
      </c>
      <c r="I251" s="186">
        <f>-SUMIFS(
  tb_desp[valor],
  tb_desp[nucleo], $B251,
  tb_desp[centro.negocio], "Comissão/vendas",
  tb_desp[data.pagamento], "&gt;="&amp;I$1,
  tb_desp[data.pagamento], "&lt;"&amp;EOMONTH(I$1,0)+1,
  tb_desp[classe], "Financiamento"
)</f>
        <v>0</v>
      </c>
      <c r="J251" s="186">
        <f>-SUMIFS(
  tb_desp[valor],
  tb_desp[nucleo], $B251,
  tb_desp[centro.negocio], "Comissão/vendas",
  tb_desp[data.pagamento], "&gt;="&amp;J$1,
  tb_desp[data.pagamento], "&lt;"&amp;EOMONTH(J$1,0)+1,
  tb_desp[classe], "Financiamento"
)</f>
        <v>0</v>
      </c>
      <c r="K251" s="186">
        <f>-SUMIFS(
  tb_desp[valor],
  tb_desp[nucleo], $B251,
  tb_desp[centro.negocio], "Comissão/vendas",
  tb_desp[data.pagamento], "&gt;="&amp;K$1,
  tb_desp[data.pagamento], "&lt;"&amp;EOMONTH(K$1,0)+1,
  tb_desp[classe], "Financiamento"
)</f>
        <v>0</v>
      </c>
      <c r="L251" s="186">
        <f>-SUMIFS(
  tb_desp[valor],
  tb_desp[nucleo], $B251,
  tb_desp[centro.negocio], "Comissão/vendas",
  tb_desp[data.pagamento], "&gt;="&amp;L$1,
  tb_desp[data.pagamento], "&lt;"&amp;EOMONTH(L$1,0)+1,
  tb_desp[classe], "Financiamento"
)</f>
        <v>0</v>
      </c>
      <c r="M251" s="186">
        <f>-SUMIFS(
  tb_desp[valor],
  tb_desp[nucleo], $B251,
  tb_desp[centro.negocio], "Comissão/vendas",
  tb_desp[data.pagamento], "&gt;="&amp;M$1,
  tb_desp[data.pagamento], "&lt;"&amp;EOMONTH(M$1,0)+1,
  tb_desp[classe], "Financiamento"
)</f>
        <v>0</v>
      </c>
      <c r="N251" s="186">
        <f>-SUMIFS(
  tb_desp[valor],
  tb_desp[nucleo], $B251,
  tb_desp[centro.negocio], "Comissão/vendas",
  tb_desp[data.pagamento], "&gt;="&amp;N$1,
  tb_desp[data.pagamento], "&lt;"&amp;EOMONTH(N$1,0)+1,
  tb_desp[classe], "Financiamento"
)</f>
        <v>0</v>
      </c>
      <c r="O251" s="186">
        <f>-SUMIFS(
  tb_desp[valor],
  tb_desp[nucleo], $B251,
  tb_desp[centro.negocio], "Comissão/vendas",
  tb_desp[data.pagamento], "&gt;="&amp;O$1,
  tb_desp[data.pagamento], "&lt;"&amp;EOMONTH(O$1,0)+1,
  tb_desp[classe], "Financiamento"
)</f>
        <v>0</v>
      </c>
      <c r="P251" s="186">
        <f>-SUMIFS(
  tb_desp[valor],
  tb_desp[nucleo], $B251,
  tb_desp[centro.negocio], "Comissão/vendas",
  tb_desp[data.pagamento], "&gt;="&amp;P$1,
  tb_desp[data.pagamento], "&lt;"&amp;EOMONTH(P$1,0)+1,
  tb_desp[classe], "Financiamento"
)</f>
        <v>0</v>
      </c>
      <c r="Q251" s="186">
        <f>-SUMIFS(
  tb_desp[valor],
  tb_desp[nucleo], $B251,
  tb_desp[centro.negocio], "Comissão/vendas",
  tb_desp[data.pagamento], "&gt;="&amp;Q$1,
  tb_desp[data.pagamento], "&lt;"&amp;EOMONTH(Q$1,0)+1,
  tb_desp[classe], "Financiamento"
)</f>
        <v>0</v>
      </c>
      <c r="R251" s="186">
        <f>-SUMIFS(
  tb_desp[valor],
  tb_desp[nucleo], $B251,
  tb_desp[centro.negocio], "Comissão/vendas",
  tb_desp[data.pagamento], "&gt;="&amp;R$1,
  tb_desp[data.pagamento], "&lt;"&amp;EOMONTH(R$1,0)+1,
  tb_desp[classe], "Financiamento"
)</f>
        <v>0</v>
      </c>
      <c r="S251" s="186">
        <f>-SUMIFS(
  tb_desp[valor],
  tb_desp[nucleo], $B251,
  tb_desp[centro.negocio], "Comissão/vendas",
  tb_desp[data.pagamento], "&gt;="&amp;S$1,
  tb_desp[data.pagamento], "&lt;"&amp;EOMONTH(S$1,0)+1,
  tb_desp[classe], "Financiamento"
)</f>
        <v>0</v>
      </c>
      <c r="T251" s="186">
        <f>-SUMIFS(
  tb_desp[valor],
  tb_desp[nucleo], $B251,
  tb_desp[centro.negocio], "Comissão/vendas",
  tb_desp[data.pagamento], "&gt;="&amp;T$1,
  tb_desp[data.pagamento], "&lt;"&amp;EOMONTH(T$1,0)+1,
  tb_desp[classe], "Financiamento"
)</f>
        <v>0</v>
      </c>
      <c r="U251" s="186">
        <f>-SUMIFS(
  tb_desp[valor],
  tb_desp[nucleo], $B251,
  tb_desp[centro.negocio], "Comissão/vendas",
  tb_desp[data.pagamento], "&gt;="&amp;U$1,
  tb_desp[data.pagamento], "&lt;"&amp;EOMONTH(U$1,0)+1,
  tb_desp[classe], "Financiamento"
)</f>
        <v>0</v>
      </c>
      <c r="V251" s="186">
        <f>-SUMIFS(
  tb_desp[valor],
  tb_desp[nucleo], $B251,
  tb_desp[centro.negocio], "Comissão/vendas",
  tb_desp[data.pagamento], "&gt;="&amp;V$1,
  tb_desp[data.pagamento], "&lt;"&amp;EOMONTH(V$1,0)+1,
  tb_desp[classe], "Financiamento"
)</f>
        <v>0</v>
      </c>
      <c r="W251" s="186">
        <f>-SUMIFS(
  tb_desp[valor],
  tb_desp[nucleo], $B251,
  tb_desp[centro.negocio], "Comissão/vendas",
  tb_desp[data.pagamento], "&gt;="&amp;W$1,
  tb_desp[data.pagamento], "&lt;"&amp;EOMONTH(W$1,0)+1,
  tb_desp[classe], "Financiamento"
)</f>
        <v>0</v>
      </c>
      <c r="X251" s="186">
        <f>-SUMIFS(
  tb_desp[valor],
  tb_desp[nucleo], $B251,
  tb_desp[centro.negocio], "Comissão/vendas",
  tb_desp[data.pagamento], "&gt;="&amp;X$1,
  tb_desp[data.pagamento], "&lt;"&amp;EOMONTH(X$1,0)+1,
  tb_desp[classe], "Financiamento"
)</f>
        <v>0</v>
      </c>
      <c r="Y251" s="186">
        <f>-SUMIFS(
  tb_desp[valor],
  tb_desp[nucleo], $B251,
  tb_desp[centro.negocio], "Comissão/vendas",
  tb_desp[data.pagamento], "&gt;="&amp;Y$1,
  tb_desp[data.pagamento], "&lt;"&amp;EOMONTH(Y$1,0)+1,
  tb_desp[classe], "Financiamento"
)</f>
        <v>0</v>
      </c>
      <c r="Z251" s="186">
        <f>-SUMIFS(
  tb_desp[valor],
  tb_desp[nucleo], $B251,
  tb_desp[centro.negocio], "Comissão/vendas",
  tb_desp[data.pagamento], "&gt;="&amp;Z$1,
  tb_desp[data.pagamento], "&lt;"&amp;EOMONTH(Z$1,0)+1,
  tb_desp[classe], "Financiamento"
)</f>
        <v>0</v>
      </c>
      <c r="AA251" s="186">
        <f>-SUMIFS(
  tb_desp[valor],
  tb_desp[nucleo], $B251,
  tb_desp[centro.negocio], "Comissão/vendas",
  tb_desp[data.pagamento], "&gt;="&amp;AA$1,
  tb_desp[data.pagamento], "&lt;"&amp;EOMONTH(AA$1,0)+1,
  tb_desp[classe], "Financiamento"
)</f>
        <v>0</v>
      </c>
      <c r="AC251" s="178">
        <f t="shared" si="41"/>
        <v>0</v>
      </c>
      <c r="AE251" s="178">
        <f>SUM(D251:AA251)</f>
        <v>0</v>
      </c>
    </row>
    <row r="252" spans="1:31" hidden="1" outlineLevel="2" x14ac:dyDescent="0.25">
      <c r="A252" s="185" t="s">
        <v>1057</v>
      </c>
      <c r="B252" s="185" t="s">
        <v>531</v>
      </c>
      <c r="C252" s="138" t="s">
        <v>514</v>
      </c>
      <c r="D252" s="186">
        <f>-SUMIFS(
  tb_desp[valor],
  tb_desp[nucleo], $B252,
  tb_desp[centro.negocio], "Comissão/vendas",
  tb_desp[data.pagamento], "&gt;="&amp;D$1,
  tb_desp[data.pagamento], "&lt;"&amp;EOMONTH(D$1,0)+1,
  tb_desp[classe], "Financiamento"
)</f>
        <v>0</v>
      </c>
      <c r="E252" s="186">
        <f>-SUMIFS(
  tb_desp[valor],
  tb_desp[nucleo], $B252,
  tb_desp[centro.negocio], "Comissão/vendas",
  tb_desp[data.pagamento], "&gt;="&amp;E$1,
  tb_desp[data.pagamento], "&lt;"&amp;EOMONTH(E$1,0)+1,
  tb_desp[classe], "Financiamento"
)</f>
        <v>0</v>
      </c>
      <c r="F252" s="186">
        <f>-SUMIFS(
  tb_desp[valor],
  tb_desp[nucleo], $B252,
  tb_desp[centro.negocio], "Comissão/vendas",
  tb_desp[data.pagamento], "&gt;="&amp;F$1,
  tb_desp[data.pagamento], "&lt;"&amp;EOMONTH(F$1,0)+1,
  tb_desp[classe], "Financiamento"
)</f>
        <v>0</v>
      </c>
      <c r="G252" s="186">
        <f>-SUMIFS(
  tb_desp[valor],
  tb_desp[nucleo], $B252,
  tb_desp[centro.negocio], "Comissão/vendas",
  tb_desp[data.pagamento], "&gt;="&amp;G$1,
  tb_desp[data.pagamento], "&lt;"&amp;EOMONTH(G$1,0)+1,
  tb_desp[classe], "Financiamento"
)</f>
        <v>0</v>
      </c>
      <c r="H252" s="186">
        <f>-SUMIFS(
  tb_desp[valor],
  tb_desp[nucleo], $B252,
  tb_desp[centro.negocio], "Comissão/vendas",
  tb_desp[data.pagamento], "&gt;="&amp;H$1,
  tb_desp[data.pagamento], "&lt;"&amp;EOMONTH(H$1,0)+1,
  tb_desp[classe], "Financiamento"
)</f>
        <v>0</v>
      </c>
      <c r="I252" s="186">
        <f>-SUMIFS(
  tb_desp[valor],
  tb_desp[nucleo], $B252,
  tb_desp[centro.negocio], "Comissão/vendas",
  tb_desp[data.pagamento], "&gt;="&amp;I$1,
  tb_desp[data.pagamento], "&lt;"&amp;EOMONTH(I$1,0)+1,
  tb_desp[classe], "Financiamento"
)</f>
        <v>0</v>
      </c>
      <c r="J252" s="186">
        <f>-SUMIFS(
  tb_desp[valor],
  tb_desp[nucleo], $B252,
  tb_desp[centro.negocio], "Comissão/vendas",
  tb_desp[data.pagamento], "&gt;="&amp;J$1,
  tb_desp[data.pagamento], "&lt;"&amp;EOMONTH(J$1,0)+1,
  tb_desp[classe], "Financiamento"
)</f>
        <v>0</v>
      </c>
      <c r="K252" s="186">
        <f>-SUMIFS(
  tb_desp[valor],
  tb_desp[nucleo], $B252,
  tb_desp[centro.negocio], "Comissão/vendas",
  tb_desp[data.pagamento], "&gt;="&amp;K$1,
  tb_desp[data.pagamento], "&lt;"&amp;EOMONTH(K$1,0)+1,
  tb_desp[classe], "Financiamento"
)</f>
        <v>0</v>
      </c>
      <c r="L252" s="186">
        <f>-SUMIFS(
  tb_desp[valor],
  tb_desp[nucleo], $B252,
  tb_desp[centro.negocio], "Comissão/vendas",
  tb_desp[data.pagamento], "&gt;="&amp;L$1,
  tb_desp[data.pagamento], "&lt;"&amp;EOMONTH(L$1,0)+1,
  tb_desp[classe], "Financiamento"
)</f>
        <v>0</v>
      </c>
      <c r="M252" s="186">
        <f>-SUMIFS(
  tb_desp[valor],
  tb_desp[nucleo], $B252,
  tb_desp[centro.negocio], "Comissão/vendas",
  tb_desp[data.pagamento], "&gt;="&amp;M$1,
  tb_desp[data.pagamento], "&lt;"&amp;EOMONTH(M$1,0)+1,
  tb_desp[classe], "Financiamento"
)</f>
        <v>0</v>
      </c>
      <c r="N252" s="186">
        <f>-SUMIFS(
  tb_desp[valor],
  tb_desp[nucleo], $B252,
  tb_desp[centro.negocio], "Comissão/vendas",
  tb_desp[data.pagamento], "&gt;="&amp;N$1,
  tb_desp[data.pagamento], "&lt;"&amp;EOMONTH(N$1,0)+1,
  tb_desp[classe], "Financiamento"
)</f>
        <v>0</v>
      </c>
      <c r="O252" s="186">
        <f>-SUMIFS(
  tb_desp[valor],
  tb_desp[nucleo], $B252,
  tb_desp[centro.negocio], "Comissão/vendas",
  tb_desp[data.pagamento], "&gt;="&amp;O$1,
  tb_desp[data.pagamento], "&lt;"&amp;EOMONTH(O$1,0)+1,
  tb_desp[classe], "Financiamento"
)</f>
        <v>0</v>
      </c>
      <c r="P252" s="186">
        <f>-SUMIFS(
  tb_desp[valor],
  tb_desp[nucleo], $B252,
  tb_desp[centro.negocio], "Comissão/vendas",
  tb_desp[data.pagamento], "&gt;="&amp;P$1,
  tb_desp[data.pagamento], "&lt;"&amp;EOMONTH(P$1,0)+1,
  tb_desp[classe], "Financiamento"
)</f>
        <v>0</v>
      </c>
      <c r="Q252" s="186">
        <f>-SUMIFS(
  tb_desp[valor],
  tb_desp[nucleo], $B252,
  tb_desp[centro.negocio], "Comissão/vendas",
  tb_desp[data.pagamento], "&gt;="&amp;Q$1,
  tb_desp[data.pagamento], "&lt;"&amp;EOMONTH(Q$1,0)+1,
  tb_desp[classe], "Financiamento"
)</f>
        <v>0</v>
      </c>
      <c r="R252" s="186">
        <f>-SUMIFS(
  tb_desp[valor],
  tb_desp[nucleo], $B252,
  tb_desp[centro.negocio], "Comissão/vendas",
  tb_desp[data.pagamento], "&gt;="&amp;R$1,
  tb_desp[data.pagamento], "&lt;"&amp;EOMONTH(R$1,0)+1,
  tb_desp[classe], "Financiamento"
)</f>
        <v>0</v>
      </c>
      <c r="S252" s="186">
        <f>-SUMIFS(
  tb_desp[valor],
  tb_desp[nucleo], $B252,
  tb_desp[centro.negocio], "Comissão/vendas",
  tb_desp[data.pagamento], "&gt;="&amp;S$1,
  tb_desp[data.pagamento], "&lt;"&amp;EOMONTH(S$1,0)+1,
  tb_desp[classe], "Financiamento"
)</f>
        <v>0</v>
      </c>
      <c r="T252" s="186">
        <f>-SUMIFS(
  tb_desp[valor],
  tb_desp[nucleo], $B252,
  tb_desp[centro.negocio], "Comissão/vendas",
  tb_desp[data.pagamento], "&gt;="&amp;T$1,
  tb_desp[data.pagamento], "&lt;"&amp;EOMONTH(T$1,0)+1,
  tb_desp[classe], "Financiamento"
)</f>
        <v>0</v>
      </c>
      <c r="U252" s="186">
        <f>-SUMIFS(
  tb_desp[valor],
  tb_desp[nucleo], $B252,
  tb_desp[centro.negocio], "Comissão/vendas",
  tb_desp[data.pagamento], "&gt;="&amp;U$1,
  tb_desp[data.pagamento], "&lt;"&amp;EOMONTH(U$1,0)+1,
  tb_desp[classe], "Financiamento"
)</f>
        <v>0</v>
      </c>
      <c r="V252" s="186">
        <f>-SUMIFS(
  tb_desp[valor],
  tb_desp[nucleo], $B252,
  tb_desp[centro.negocio], "Comissão/vendas",
  tb_desp[data.pagamento], "&gt;="&amp;V$1,
  tb_desp[data.pagamento], "&lt;"&amp;EOMONTH(V$1,0)+1,
  tb_desp[classe], "Financiamento"
)</f>
        <v>0</v>
      </c>
      <c r="W252" s="186">
        <f>-SUMIFS(
  tb_desp[valor],
  tb_desp[nucleo], $B252,
  tb_desp[centro.negocio], "Comissão/vendas",
  tb_desp[data.pagamento], "&gt;="&amp;W$1,
  tb_desp[data.pagamento], "&lt;"&amp;EOMONTH(W$1,0)+1,
  tb_desp[classe], "Financiamento"
)</f>
        <v>0</v>
      </c>
      <c r="X252" s="186">
        <f>-SUMIFS(
  tb_desp[valor],
  tb_desp[nucleo], $B252,
  tb_desp[centro.negocio], "Comissão/vendas",
  tb_desp[data.pagamento], "&gt;="&amp;X$1,
  tb_desp[data.pagamento], "&lt;"&amp;EOMONTH(X$1,0)+1,
  tb_desp[classe], "Financiamento"
)</f>
        <v>0</v>
      </c>
      <c r="Y252" s="186">
        <f>-SUMIFS(
  tb_desp[valor],
  tb_desp[nucleo], $B252,
  tb_desp[centro.negocio], "Comissão/vendas",
  tb_desp[data.pagamento], "&gt;="&amp;Y$1,
  tb_desp[data.pagamento], "&lt;"&amp;EOMONTH(Y$1,0)+1,
  tb_desp[classe], "Financiamento"
)</f>
        <v>0</v>
      </c>
      <c r="Z252" s="186">
        <f>-SUMIFS(
  tb_desp[valor],
  tb_desp[nucleo], $B252,
  tb_desp[centro.negocio], "Comissão/vendas",
  tb_desp[data.pagamento], "&gt;="&amp;Z$1,
  tb_desp[data.pagamento], "&lt;"&amp;EOMONTH(Z$1,0)+1,
  tb_desp[classe], "Financiamento"
)</f>
        <v>0</v>
      </c>
      <c r="AA252" s="186">
        <f>-SUMIFS(
  tb_desp[valor],
  tb_desp[nucleo], $B252,
  tb_desp[centro.negocio], "Comissão/vendas",
  tb_desp[data.pagamento], "&gt;="&amp;AA$1,
  tb_desp[data.pagamento], "&lt;"&amp;EOMONTH(AA$1,0)+1,
  tb_desp[classe], "Financiamento"
)</f>
        <v>0</v>
      </c>
      <c r="AC252" s="178">
        <f t="shared" si="41"/>
        <v>0</v>
      </c>
      <c r="AE252" s="178">
        <f t="shared" si="40"/>
        <v>0</v>
      </c>
    </row>
    <row r="253" spans="1:31" hidden="1" outlineLevel="2" x14ac:dyDescent="0.25">
      <c r="A253" s="185" t="s">
        <v>1079</v>
      </c>
      <c r="B253" s="185" t="s">
        <v>541</v>
      </c>
      <c r="C253" s="138" t="s">
        <v>514</v>
      </c>
      <c r="D253" s="186">
        <f>-SUMIFS(
  tb_desp[valor],
  tb_desp[nucleo], $B253,
  tb_desp[centro.negocio], "Comissão/vendas",
  tb_desp[data.pagamento], "&gt;="&amp;D$1,
  tb_desp[data.pagamento], "&lt;"&amp;EOMONTH(D$1,0)+1,
  tb_desp[classe], "Financiamento"
)</f>
        <v>0</v>
      </c>
      <c r="E253" s="186">
        <f>-SUMIFS(
  tb_desp[valor],
  tb_desp[nucleo], $B253,
  tb_desp[centro.negocio], "Comissão/vendas",
  tb_desp[data.pagamento], "&gt;="&amp;E$1,
  tb_desp[data.pagamento], "&lt;"&amp;EOMONTH(E$1,0)+1,
  tb_desp[classe], "Financiamento"
)</f>
        <v>0</v>
      </c>
      <c r="F253" s="186">
        <f>-SUMIFS(
  tb_desp[valor],
  tb_desp[nucleo], $B253,
  tb_desp[centro.negocio], "Comissão/vendas",
  tb_desp[data.pagamento], "&gt;="&amp;F$1,
  tb_desp[data.pagamento], "&lt;"&amp;EOMONTH(F$1,0)+1,
  tb_desp[classe], "Financiamento"
)</f>
        <v>0</v>
      </c>
      <c r="G253" s="186">
        <f>-SUMIFS(
  tb_desp[valor],
  tb_desp[nucleo], $B253,
  tb_desp[centro.negocio], "Comissão/vendas",
  tb_desp[data.pagamento], "&gt;="&amp;G$1,
  tb_desp[data.pagamento], "&lt;"&amp;EOMONTH(G$1,0)+1,
  tb_desp[classe], "Financiamento"
)</f>
        <v>0</v>
      </c>
      <c r="H253" s="186">
        <f>-SUMIFS(
  tb_desp[valor],
  tb_desp[nucleo], $B253,
  tb_desp[centro.negocio], "Comissão/vendas",
  tb_desp[data.pagamento], "&gt;="&amp;H$1,
  tb_desp[data.pagamento], "&lt;"&amp;EOMONTH(H$1,0)+1,
  tb_desp[classe], "Financiamento"
)</f>
        <v>0</v>
      </c>
      <c r="I253" s="186">
        <f>-SUMIFS(
  tb_desp[valor],
  tb_desp[nucleo], $B253,
  tb_desp[centro.negocio], "Comissão/vendas",
  tb_desp[data.pagamento], "&gt;="&amp;I$1,
  tb_desp[data.pagamento], "&lt;"&amp;EOMONTH(I$1,0)+1,
  tb_desp[classe], "Financiamento"
)</f>
        <v>0</v>
      </c>
      <c r="J253" s="186">
        <f>-SUMIFS(
  tb_desp[valor],
  tb_desp[nucleo], $B253,
  tb_desp[centro.negocio], "Comissão/vendas",
  tb_desp[data.pagamento], "&gt;="&amp;J$1,
  tb_desp[data.pagamento], "&lt;"&amp;EOMONTH(J$1,0)+1,
  tb_desp[classe], "Financiamento"
)</f>
        <v>0</v>
      </c>
      <c r="K253" s="186">
        <f>-SUMIFS(
  tb_desp[valor],
  tb_desp[nucleo], $B253,
  tb_desp[centro.negocio], "Comissão/vendas",
  tb_desp[data.pagamento], "&gt;="&amp;K$1,
  tb_desp[data.pagamento], "&lt;"&amp;EOMONTH(K$1,0)+1,
  tb_desp[classe], "Financiamento"
)</f>
        <v>0</v>
      </c>
      <c r="L253" s="186">
        <f>-SUMIFS(
  tb_desp[valor],
  tb_desp[nucleo], $B253,
  tb_desp[centro.negocio], "Comissão/vendas",
  tb_desp[data.pagamento], "&gt;="&amp;L$1,
  tb_desp[data.pagamento], "&lt;"&amp;EOMONTH(L$1,0)+1,
  tb_desp[classe], "Financiamento"
)</f>
        <v>0</v>
      </c>
      <c r="M253" s="186">
        <f>-SUMIFS(
  tb_desp[valor],
  tb_desp[nucleo], $B253,
  tb_desp[centro.negocio], "Comissão/vendas",
  tb_desp[data.pagamento], "&gt;="&amp;M$1,
  tb_desp[data.pagamento], "&lt;"&amp;EOMONTH(M$1,0)+1,
  tb_desp[classe], "Financiamento"
)</f>
        <v>0</v>
      </c>
      <c r="N253" s="186">
        <f>-SUMIFS(
  tb_desp[valor],
  tb_desp[nucleo], $B253,
  tb_desp[centro.negocio], "Comissão/vendas",
  tb_desp[data.pagamento], "&gt;="&amp;N$1,
  tb_desp[data.pagamento], "&lt;"&amp;EOMONTH(N$1,0)+1,
  tb_desp[classe], "Financiamento"
)</f>
        <v>0</v>
      </c>
      <c r="O253" s="186">
        <f>-SUMIFS(
  tb_desp[valor],
  tb_desp[nucleo], $B253,
  tb_desp[centro.negocio], "Comissão/vendas",
  tb_desp[data.pagamento], "&gt;="&amp;O$1,
  tb_desp[data.pagamento], "&lt;"&amp;EOMONTH(O$1,0)+1,
  tb_desp[classe], "Financiamento"
)</f>
        <v>0</v>
      </c>
      <c r="P253" s="186">
        <f>-SUMIFS(
  tb_desp[valor],
  tb_desp[nucleo], $B253,
  tb_desp[centro.negocio], "Comissão/vendas",
  tb_desp[data.pagamento], "&gt;="&amp;P$1,
  tb_desp[data.pagamento], "&lt;"&amp;EOMONTH(P$1,0)+1,
  tb_desp[classe], "Financiamento"
)</f>
        <v>0</v>
      </c>
      <c r="Q253" s="186">
        <f>-SUMIFS(
  tb_desp[valor],
  tb_desp[nucleo], $B253,
  tb_desp[centro.negocio], "Comissão/vendas",
  tb_desp[data.pagamento], "&gt;="&amp;Q$1,
  tb_desp[data.pagamento], "&lt;"&amp;EOMONTH(Q$1,0)+1,
  tb_desp[classe], "Financiamento"
)</f>
        <v>0</v>
      </c>
      <c r="R253" s="186">
        <f>-SUMIFS(
  tb_desp[valor],
  tb_desp[nucleo], $B253,
  tb_desp[centro.negocio], "Comissão/vendas",
  tb_desp[data.pagamento], "&gt;="&amp;R$1,
  tb_desp[data.pagamento], "&lt;"&amp;EOMONTH(R$1,0)+1,
  tb_desp[classe], "Financiamento"
)</f>
        <v>0</v>
      </c>
      <c r="S253" s="186">
        <f>-SUMIFS(
  tb_desp[valor],
  tb_desp[nucleo], $B253,
  tb_desp[centro.negocio], "Comissão/vendas",
  tb_desp[data.pagamento], "&gt;="&amp;S$1,
  tb_desp[data.pagamento], "&lt;"&amp;EOMONTH(S$1,0)+1,
  tb_desp[classe], "Financiamento"
)</f>
        <v>0</v>
      </c>
      <c r="T253" s="186">
        <f>-SUMIFS(
  tb_desp[valor],
  tb_desp[nucleo], $B253,
  tb_desp[centro.negocio], "Comissão/vendas",
  tb_desp[data.pagamento], "&gt;="&amp;T$1,
  tb_desp[data.pagamento], "&lt;"&amp;EOMONTH(T$1,0)+1,
  tb_desp[classe], "Financiamento"
)</f>
        <v>0</v>
      </c>
      <c r="U253" s="186">
        <f>-SUMIFS(
  tb_desp[valor],
  tb_desp[nucleo], $B253,
  tb_desp[centro.negocio], "Comissão/vendas",
  tb_desp[data.pagamento], "&gt;="&amp;U$1,
  tb_desp[data.pagamento], "&lt;"&amp;EOMONTH(U$1,0)+1,
  tb_desp[classe], "Financiamento"
)</f>
        <v>0</v>
      </c>
      <c r="V253" s="186">
        <f>-SUMIFS(
  tb_desp[valor],
  tb_desp[nucleo], $B253,
  tb_desp[centro.negocio], "Comissão/vendas",
  tb_desp[data.pagamento], "&gt;="&amp;V$1,
  tb_desp[data.pagamento], "&lt;"&amp;EOMONTH(V$1,0)+1,
  tb_desp[classe], "Financiamento"
)</f>
        <v>0</v>
      </c>
      <c r="W253" s="186">
        <f>-SUMIFS(
  tb_desp[valor],
  tb_desp[nucleo], $B253,
  tb_desp[centro.negocio], "Comissão/vendas",
  tb_desp[data.pagamento], "&gt;="&amp;W$1,
  tb_desp[data.pagamento], "&lt;"&amp;EOMONTH(W$1,0)+1,
  tb_desp[classe], "Financiamento"
)</f>
        <v>0</v>
      </c>
      <c r="X253" s="186">
        <f>-SUMIFS(
  tb_desp[valor],
  tb_desp[nucleo], $B253,
  tb_desp[centro.negocio], "Comissão/vendas",
  tb_desp[data.pagamento], "&gt;="&amp;X$1,
  tb_desp[data.pagamento], "&lt;"&amp;EOMONTH(X$1,0)+1,
  tb_desp[classe], "Financiamento"
)</f>
        <v>0</v>
      </c>
      <c r="Y253" s="186">
        <f>-SUMIFS(
  tb_desp[valor],
  tb_desp[nucleo], $B253,
  tb_desp[centro.negocio], "Comissão/vendas",
  tb_desp[data.pagamento], "&gt;="&amp;Y$1,
  tb_desp[data.pagamento], "&lt;"&amp;EOMONTH(Y$1,0)+1,
  tb_desp[classe], "Financiamento"
)</f>
        <v>0</v>
      </c>
      <c r="Z253" s="186">
        <f>-SUMIFS(
  tb_desp[valor],
  tb_desp[nucleo], $B253,
  tb_desp[centro.negocio], "Comissão/vendas",
  tb_desp[data.pagamento], "&gt;="&amp;Z$1,
  tb_desp[data.pagamento], "&lt;"&amp;EOMONTH(Z$1,0)+1,
  tb_desp[classe], "Financiamento"
)</f>
        <v>0</v>
      </c>
      <c r="AA253" s="186">
        <f>-SUMIFS(
  tb_desp[valor],
  tb_desp[nucleo], $B253,
  tb_desp[centro.negocio], "Comissão/vendas",
  tb_desp[data.pagamento], "&gt;="&amp;AA$1,
  tb_desp[data.pagamento], "&lt;"&amp;EOMONTH(AA$1,0)+1,
  tb_desp[classe], "Financiamento"
)</f>
        <v>0</v>
      </c>
      <c r="AC253" s="178">
        <f t="shared" si="41"/>
        <v>0</v>
      </c>
      <c r="AE253" s="178">
        <f t="shared" ref="AE253" si="51">SUM(D253:AA253)</f>
        <v>0</v>
      </c>
    </row>
    <row r="254" spans="1:31" hidden="1" outlineLevel="2" x14ac:dyDescent="0.25">
      <c r="A254" s="185" t="s">
        <v>1059</v>
      </c>
      <c r="B254" s="185" t="s">
        <v>533</v>
      </c>
      <c r="C254" s="138" t="s">
        <v>514</v>
      </c>
      <c r="D254" s="186">
        <f>-SUMIFS(
  tb_desp[valor],
  tb_desp[nucleo], $B254,
  tb_desp[centro.negocio], "Comissão/vendas",
  tb_desp[data.pagamento], "&gt;="&amp;D$1,
  tb_desp[data.pagamento], "&lt;"&amp;EOMONTH(D$1,0)+1,
  tb_desp[classe], "Financiamento"
)</f>
        <v>0</v>
      </c>
      <c r="E254" s="186">
        <f>-SUMIFS(
  tb_desp[valor],
  tb_desp[nucleo], $B254,
  tb_desp[centro.negocio], "Comissão/vendas",
  tb_desp[data.pagamento], "&gt;="&amp;E$1,
  tb_desp[data.pagamento], "&lt;"&amp;EOMONTH(E$1,0)+1,
  tb_desp[classe], "Financiamento"
)</f>
        <v>0</v>
      </c>
      <c r="F254" s="186">
        <f>-SUMIFS(
  tb_desp[valor],
  tb_desp[nucleo], $B254,
  tb_desp[centro.negocio], "Comissão/vendas",
  tb_desp[data.pagamento], "&gt;="&amp;F$1,
  tb_desp[data.pagamento], "&lt;"&amp;EOMONTH(F$1,0)+1,
  tb_desp[classe], "Financiamento"
)</f>
        <v>0</v>
      </c>
      <c r="G254" s="186">
        <f>-SUMIFS(
  tb_desp[valor],
  tb_desp[nucleo], $B254,
  tb_desp[centro.negocio], "Comissão/vendas",
  tb_desp[data.pagamento], "&gt;="&amp;G$1,
  tb_desp[data.pagamento], "&lt;"&amp;EOMONTH(G$1,0)+1,
  tb_desp[classe], "Financiamento"
)</f>
        <v>0</v>
      </c>
      <c r="H254" s="186">
        <f>-SUMIFS(
  tb_desp[valor],
  tb_desp[nucleo], $B254,
  tb_desp[centro.negocio], "Comissão/vendas",
  tb_desp[data.pagamento], "&gt;="&amp;H$1,
  tb_desp[data.pagamento], "&lt;"&amp;EOMONTH(H$1,0)+1,
  tb_desp[classe], "Financiamento"
)</f>
        <v>0</v>
      </c>
      <c r="I254" s="186">
        <f>-SUMIFS(
  tb_desp[valor],
  tb_desp[nucleo], $B254,
  tb_desp[centro.negocio], "Comissão/vendas",
  tb_desp[data.pagamento], "&gt;="&amp;I$1,
  tb_desp[data.pagamento], "&lt;"&amp;EOMONTH(I$1,0)+1,
  tb_desp[classe], "Financiamento"
)</f>
        <v>0</v>
      </c>
      <c r="J254" s="186">
        <f>-SUMIFS(
  tb_desp[valor],
  tb_desp[nucleo], $B254,
  tb_desp[centro.negocio], "Comissão/vendas",
  tb_desp[data.pagamento], "&gt;="&amp;J$1,
  tb_desp[data.pagamento], "&lt;"&amp;EOMONTH(J$1,0)+1,
  tb_desp[classe], "Financiamento"
)</f>
        <v>0</v>
      </c>
      <c r="K254" s="186">
        <f>-SUMIFS(
  tb_desp[valor],
  tb_desp[nucleo], $B254,
  tb_desp[centro.negocio], "Comissão/vendas",
  tb_desp[data.pagamento], "&gt;="&amp;K$1,
  tb_desp[data.pagamento], "&lt;"&amp;EOMONTH(K$1,0)+1,
  tb_desp[classe], "Financiamento"
)</f>
        <v>0</v>
      </c>
      <c r="L254" s="186">
        <f>-SUMIFS(
  tb_desp[valor],
  tb_desp[nucleo], $B254,
  tb_desp[centro.negocio], "Comissão/vendas",
  tb_desp[data.pagamento], "&gt;="&amp;L$1,
  tb_desp[data.pagamento], "&lt;"&amp;EOMONTH(L$1,0)+1,
  tb_desp[classe], "Financiamento"
)</f>
        <v>0</v>
      </c>
      <c r="M254" s="186">
        <f>-SUMIFS(
  tb_desp[valor],
  tb_desp[nucleo], $B254,
  tb_desp[centro.negocio], "Comissão/vendas",
  tb_desp[data.pagamento], "&gt;="&amp;M$1,
  tb_desp[data.pagamento], "&lt;"&amp;EOMONTH(M$1,0)+1,
  tb_desp[classe], "Financiamento"
)</f>
        <v>0</v>
      </c>
      <c r="N254" s="186">
        <f>-SUMIFS(
  tb_desp[valor],
  tb_desp[nucleo], $B254,
  tb_desp[centro.negocio], "Comissão/vendas",
  tb_desp[data.pagamento], "&gt;="&amp;N$1,
  tb_desp[data.pagamento], "&lt;"&amp;EOMONTH(N$1,0)+1,
  tb_desp[classe], "Financiamento"
)</f>
        <v>0</v>
      </c>
      <c r="O254" s="186">
        <f>-SUMIFS(
  tb_desp[valor],
  tb_desp[nucleo], $B254,
  tb_desp[centro.negocio], "Comissão/vendas",
  tb_desp[data.pagamento], "&gt;="&amp;O$1,
  tb_desp[data.pagamento], "&lt;"&amp;EOMONTH(O$1,0)+1,
  tb_desp[classe], "Financiamento"
)</f>
        <v>0</v>
      </c>
      <c r="P254" s="186">
        <f>-SUMIFS(
  tb_desp[valor],
  tb_desp[nucleo], $B254,
  tb_desp[centro.negocio], "Comissão/vendas",
  tb_desp[data.pagamento], "&gt;="&amp;P$1,
  tb_desp[data.pagamento], "&lt;"&amp;EOMONTH(P$1,0)+1,
  tb_desp[classe], "Financiamento"
)</f>
        <v>0</v>
      </c>
      <c r="Q254" s="186">
        <f>-SUMIFS(
  tb_desp[valor],
  tb_desp[nucleo], $B254,
  tb_desp[centro.negocio], "Comissão/vendas",
  tb_desp[data.pagamento], "&gt;="&amp;Q$1,
  tb_desp[data.pagamento], "&lt;"&amp;EOMONTH(Q$1,0)+1,
  tb_desp[classe], "Financiamento"
)</f>
        <v>0</v>
      </c>
      <c r="R254" s="186">
        <f>-SUMIFS(
  tb_desp[valor],
  tb_desp[nucleo], $B254,
  tb_desp[centro.negocio], "Comissão/vendas",
  tb_desp[data.pagamento], "&gt;="&amp;R$1,
  tb_desp[data.pagamento], "&lt;"&amp;EOMONTH(R$1,0)+1,
  tb_desp[classe], "Financiamento"
)</f>
        <v>0</v>
      </c>
      <c r="S254" s="186">
        <f>-SUMIFS(
  tb_desp[valor],
  tb_desp[nucleo], $B254,
  tb_desp[centro.negocio], "Comissão/vendas",
  tb_desp[data.pagamento], "&gt;="&amp;S$1,
  tb_desp[data.pagamento], "&lt;"&amp;EOMONTH(S$1,0)+1,
  tb_desp[classe], "Financiamento"
)</f>
        <v>0</v>
      </c>
      <c r="T254" s="186">
        <f>-SUMIFS(
  tb_desp[valor],
  tb_desp[nucleo], $B254,
  tb_desp[centro.negocio], "Comissão/vendas",
  tb_desp[data.pagamento], "&gt;="&amp;T$1,
  tb_desp[data.pagamento], "&lt;"&amp;EOMONTH(T$1,0)+1,
  tb_desp[classe], "Financiamento"
)</f>
        <v>0</v>
      </c>
      <c r="U254" s="186">
        <f>-SUMIFS(
  tb_desp[valor],
  tb_desp[nucleo], $B254,
  tb_desp[centro.negocio], "Comissão/vendas",
  tb_desp[data.pagamento], "&gt;="&amp;U$1,
  tb_desp[data.pagamento], "&lt;"&amp;EOMONTH(U$1,0)+1,
  tb_desp[classe], "Financiamento"
)</f>
        <v>0</v>
      </c>
      <c r="V254" s="186">
        <f>-SUMIFS(
  tb_desp[valor],
  tb_desp[nucleo], $B254,
  tb_desp[centro.negocio], "Comissão/vendas",
  tb_desp[data.pagamento], "&gt;="&amp;V$1,
  tb_desp[data.pagamento], "&lt;"&amp;EOMONTH(V$1,0)+1,
  tb_desp[classe], "Financiamento"
)</f>
        <v>0</v>
      </c>
      <c r="W254" s="186">
        <f>-SUMIFS(
  tb_desp[valor],
  tb_desp[nucleo], $B254,
  tb_desp[centro.negocio], "Comissão/vendas",
  tb_desp[data.pagamento], "&gt;="&amp;W$1,
  tb_desp[data.pagamento], "&lt;"&amp;EOMONTH(W$1,0)+1,
  tb_desp[classe], "Financiamento"
)</f>
        <v>0</v>
      </c>
      <c r="X254" s="186">
        <f>-SUMIFS(
  tb_desp[valor],
  tb_desp[nucleo], $B254,
  tb_desp[centro.negocio], "Comissão/vendas",
  tb_desp[data.pagamento], "&gt;="&amp;X$1,
  tb_desp[data.pagamento], "&lt;"&amp;EOMONTH(X$1,0)+1,
  tb_desp[classe], "Financiamento"
)</f>
        <v>0</v>
      </c>
      <c r="Y254" s="186">
        <f>-SUMIFS(
  tb_desp[valor],
  tb_desp[nucleo], $B254,
  tb_desp[centro.negocio], "Comissão/vendas",
  tb_desp[data.pagamento], "&gt;="&amp;Y$1,
  tb_desp[data.pagamento], "&lt;"&amp;EOMONTH(Y$1,0)+1,
  tb_desp[classe], "Financiamento"
)</f>
        <v>0</v>
      </c>
      <c r="Z254" s="186">
        <f>-SUMIFS(
  tb_desp[valor],
  tb_desp[nucleo], $B254,
  tb_desp[centro.negocio], "Comissão/vendas",
  tb_desp[data.pagamento], "&gt;="&amp;Z$1,
  tb_desp[data.pagamento], "&lt;"&amp;EOMONTH(Z$1,0)+1,
  tb_desp[classe], "Financiamento"
)</f>
        <v>0</v>
      </c>
      <c r="AA254" s="186">
        <f>-SUMIFS(
  tb_desp[valor],
  tb_desp[nucleo], $B254,
  tb_desp[centro.negocio], "Comissão/vendas",
  tb_desp[data.pagamento], "&gt;="&amp;AA$1,
  tb_desp[data.pagamento], "&lt;"&amp;EOMONTH(AA$1,0)+1,
  tb_desp[classe], "Financiamento"
)</f>
        <v>0</v>
      </c>
      <c r="AC254" s="178">
        <f t="shared" si="41"/>
        <v>0</v>
      </c>
      <c r="AE254" s="178">
        <f>SUM(D254:AA254)</f>
        <v>0</v>
      </c>
    </row>
    <row r="255" spans="1:31" hidden="1" outlineLevel="2" x14ac:dyDescent="0.25">
      <c r="A255" s="185" t="s">
        <v>1078</v>
      </c>
      <c r="B255" s="185" t="s">
        <v>539</v>
      </c>
      <c r="C255" s="138" t="s">
        <v>514</v>
      </c>
      <c r="D255" s="186">
        <f>-SUMIFS(
  tb_desp[valor],
  tb_desp[nucleo], $B255,
  tb_desp[centro.negocio], "Comissão/vendas",
  tb_desp[data.pagamento], "&gt;="&amp;D$1,
  tb_desp[data.pagamento], "&lt;"&amp;EOMONTH(D$1,0)+1,
  tb_desp[classe], "Financiamento"
)</f>
        <v>0</v>
      </c>
      <c r="E255" s="186">
        <f>-SUMIFS(
  tb_desp[valor],
  tb_desp[nucleo], $B255,
  tb_desp[centro.negocio], "Comissão/vendas",
  tb_desp[data.pagamento], "&gt;="&amp;E$1,
  tb_desp[data.pagamento], "&lt;"&amp;EOMONTH(E$1,0)+1,
  tb_desp[classe], "Financiamento"
)</f>
        <v>0</v>
      </c>
      <c r="F255" s="186">
        <f>-SUMIFS(
  tb_desp[valor],
  tb_desp[nucleo], $B255,
  tb_desp[centro.negocio], "Comissão/vendas",
  tb_desp[data.pagamento], "&gt;="&amp;F$1,
  tb_desp[data.pagamento], "&lt;"&amp;EOMONTH(F$1,0)+1,
  tb_desp[classe], "Financiamento"
)</f>
        <v>0</v>
      </c>
      <c r="G255" s="186">
        <f>-SUMIFS(
  tb_desp[valor],
  tb_desp[nucleo], $B255,
  tb_desp[centro.negocio], "Comissão/vendas",
  tb_desp[data.pagamento], "&gt;="&amp;G$1,
  tb_desp[data.pagamento], "&lt;"&amp;EOMONTH(G$1,0)+1,
  tb_desp[classe], "Financiamento"
)</f>
        <v>0</v>
      </c>
      <c r="H255" s="186">
        <f>-SUMIFS(
  tb_desp[valor],
  tb_desp[nucleo], $B255,
  tb_desp[centro.negocio], "Comissão/vendas",
  tb_desp[data.pagamento], "&gt;="&amp;H$1,
  tb_desp[data.pagamento], "&lt;"&amp;EOMONTH(H$1,0)+1,
  tb_desp[classe], "Financiamento"
)</f>
        <v>0</v>
      </c>
      <c r="I255" s="186">
        <f>-SUMIFS(
  tb_desp[valor],
  tb_desp[nucleo], $B255,
  tb_desp[centro.negocio], "Comissão/vendas",
  tb_desp[data.pagamento], "&gt;="&amp;I$1,
  tb_desp[data.pagamento], "&lt;"&amp;EOMONTH(I$1,0)+1,
  tb_desp[classe], "Financiamento"
)</f>
        <v>0</v>
      </c>
      <c r="J255" s="186">
        <f>-SUMIFS(
  tb_desp[valor],
  tb_desp[nucleo], $B255,
  tb_desp[centro.negocio], "Comissão/vendas",
  tb_desp[data.pagamento], "&gt;="&amp;J$1,
  tb_desp[data.pagamento], "&lt;"&amp;EOMONTH(J$1,0)+1,
  tb_desp[classe], "Financiamento"
)</f>
        <v>0</v>
      </c>
      <c r="K255" s="186">
        <f>-SUMIFS(
  tb_desp[valor],
  tb_desp[nucleo], $B255,
  tb_desp[centro.negocio], "Comissão/vendas",
  tb_desp[data.pagamento], "&gt;="&amp;K$1,
  tb_desp[data.pagamento], "&lt;"&amp;EOMONTH(K$1,0)+1,
  tb_desp[classe], "Financiamento"
)</f>
        <v>0</v>
      </c>
      <c r="L255" s="186">
        <f>-SUMIFS(
  tb_desp[valor],
  tb_desp[nucleo], $B255,
  tb_desp[centro.negocio], "Comissão/vendas",
  tb_desp[data.pagamento], "&gt;="&amp;L$1,
  tb_desp[data.pagamento], "&lt;"&amp;EOMONTH(L$1,0)+1,
  tb_desp[classe], "Financiamento"
)</f>
        <v>0</v>
      </c>
      <c r="M255" s="186">
        <f>-SUMIFS(
  tb_desp[valor],
  tb_desp[nucleo], $B255,
  tb_desp[centro.negocio], "Comissão/vendas",
  tb_desp[data.pagamento], "&gt;="&amp;M$1,
  tb_desp[data.pagamento], "&lt;"&amp;EOMONTH(M$1,0)+1,
  tb_desp[classe], "Financiamento"
)</f>
        <v>0</v>
      </c>
      <c r="N255" s="186">
        <f>-SUMIFS(
  tb_desp[valor],
  tb_desp[nucleo], $B255,
  tb_desp[centro.negocio], "Comissão/vendas",
  tb_desp[data.pagamento], "&gt;="&amp;N$1,
  tb_desp[data.pagamento], "&lt;"&amp;EOMONTH(N$1,0)+1,
  tb_desp[classe], "Financiamento"
)</f>
        <v>0</v>
      </c>
      <c r="O255" s="186">
        <f>-SUMIFS(
  tb_desp[valor],
  tb_desp[nucleo], $B255,
  tb_desp[centro.negocio], "Comissão/vendas",
  tb_desp[data.pagamento], "&gt;="&amp;O$1,
  tb_desp[data.pagamento], "&lt;"&amp;EOMONTH(O$1,0)+1,
  tb_desp[classe], "Financiamento"
)</f>
        <v>0</v>
      </c>
      <c r="P255" s="186">
        <f>-SUMIFS(
  tb_desp[valor],
  tb_desp[nucleo], $B255,
  tb_desp[centro.negocio], "Comissão/vendas",
  tb_desp[data.pagamento], "&gt;="&amp;P$1,
  tb_desp[data.pagamento], "&lt;"&amp;EOMONTH(P$1,0)+1,
  tb_desp[classe], "Financiamento"
)</f>
        <v>0</v>
      </c>
      <c r="Q255" s="186">
        <f>-SUMIFS(
  tb_desp[valor],
  tb_desp[nucleo], $B255,
  tb_desp[centro.negocio], "Comissão/vendas",
  tb_desp[data.pagamento], "&gt;="&amp;Q$1,
  tb_desp[data.pagamento], "&lt;"&amp;EOMONTH(Q$1,0)+1,
  tb_desp[classe], "Financiamento"
)</f>
        <v>0</v>
      </c>
      <c r="R255" s="186">
        <f>-SUMIFS(
  tb_desp[valor],
  tb_desp[nucleo], $B255,
  tb_desp[centro.negocio], "Comissão/vendas",
  tb_desp[data.pagamento], "&gt;="&amp;R$1,
  tb_desp[data.pagamento], "&lt;"&amp;EOMONTH(R$1,0)+1,
  tb_desp[classe], "Financiamento"
)</f>
        <v>0</v>
      </c>
      <c r="S255" s="186">
        <f>-SUMIFS(
  tb_desp[valor],
  tb_desp[nucleo], $B255,
  tb_desp[centro.negocio], "Comissão/vendas",
  tb_desp[data.pagamento], "&gt;="&amp;S$1,
  tb_desp[data.pagamento], "&lt;"&amp;EOMONTH(S$1,0)+1,
  tb_desp[classe], "Financiamento"
)</f>
        <v>0</v>
      </c>
      <c r="T255" s="186">
        <f>-SUMIFS(
  tb_desp[valor],
  tb_desp[nucleo], $B255,
  tb_desp[centro.negocio], "Comissão/vendas",
  tb_desp[data.pagamento], "&gt;="&amp;T$1,
  tb_desp[data.pagamento], "&lt;"&amp;EOMONTH(T$1,0)+1,
  tb_desp[classe], "Financiamento"
)</f>
        <v>0</v>
      </c>
      <c r="U255" s="186">
        <f>-SUMIFS(
  tb_desp[valor],
  tb_desp[nucleo], $B255,
  tb_desp[centro.negocio], "Comissão/vendas",
  tb_desp[data.pagamento], "&gt;="&amp;U$1,
  tb_desp[data.pagamento], "&lt;"&amp;EOMONTH(U$1,0)+1,
  tb_desp[classe], "Financiamento"
)</f>
        <v>0</v>
      </c>
      <c r="V255" s="186">
        <f>-SUMIFS(
  tb_desp[valor],
  tb_desp[nucleo], $B255,
  tb_desp[centro.negocio], "Comissão/vendas",
  tb_desp[data.pagamento], "&gt;="&amp;V$1,
  tb_desp[data.pagamento], "&lt;"&amp;EOMONTH(V$1,0)+1,
  tb_desp[classe], "Financiamento"
)</f>
        <v>0</v>
      </c>
      <c r="W255" s="186">
        <f>-SUMIFS(
  tb_desp[valor],
  tb_desp[nucleo], $B255,
  tb_desp[centro.negocio], "Comissão/vendas",
  tb_desp[data.pagamento], "&gt;="&amp;W$1,
  tb_desp[data.pagamento], "&lt;"&amp;EOMONTH(W$1,0)+1,
  tb_desp[classe], "Financiamento"
)</f>
        <v>0</v>
      </c>
      <c r="X255" s="186">
        <f>-SUMIFS(
  tb_desp[valor],
  tb_desp[nucleo], $B255,
  tb_desp[centro.negocio], "Comissão/vendas",
  tb_desp[data.pagamento], "&gt;="&amp;X$1,
  tb_desp[data.pagamento], "&lt;"&amp;EOMONTH(X$1,0)+1,
  tb_desp[classe], "Financiamento"
)</f>
        <v>0</v>
      </c>
      <c r="Y255" s="186">
        <f>-SUMIFS(
  tb_desp[valor],
  tb_desp[nucleo], $B255,
  tb_desp[centro.negocio], "Comissão/vendas",
  tb_desp[data.pagamento], "&gt;="&amp;Y$1,
  tb_desp[data.pagamento], "&lt;"&amp;EOMONTH(Y$1,0)+1,
  tb_desp[classe], "Financiamento"
)</f>
        <v>0</v>
      </c>
      <c r="Z255" s="186">
        <f>-SUMIFS(
  tb_desp[valor],
  tb_desp[nucleo], $B255,
  tb_desp[centro.negocio], "Comissão/vendas",
  tb_desp[data.pagamento], "&gt;="&amp;Z$1,
  tb_desp[data.pagamento], "&lt;"&amp;EOMONTH(Z$1,0)+1,
  tb_desp[classe], "Financiamento"
)</f>
        <v>0</v>
      </c>
      <c r="AA255" s="186">
        <f>-SUMIFS(
  tb_desp[valor],
  tb_desp[nucleo], $B255,
  tb_desp[centro.negocio], "Comissão/vendas",
  tb_desp[data.pagamento], "&gt;="&amp;AA$1,
  tb_desp[data.pagamento], "&lt;"&amp;EOMONTH(AA$1,0)+1,
  tb_desp[classe], "Financiamento"
)</f>
        <v>0</v>
      </c>
      <c r="AC255" s="178">
        <f t="shared" si="41"/>
        <v>0</v>
      </c>
      <c r="AE255" s="178">
        <f t="shared" si="40"/>
        <v>0</v>
      </c>
    </row>
    <row r="256" spans="1:31" hidden="1" outlineLevel="1" x14ac:dyDescent="0.25">
      <c r="A256" s="182" t="s">
        <v>1060</v>
      </c>
      <c r="B256" s="192" t="s">
        <v>1080</v>
      </c>
      <c r="C256" s="138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AC256" s="280">
        <f t="shared" si="41"/>
        <v>0</v>
      </c>
      <c r="AE256" s="280">
        <f t="shared" si="40"/>
        <v>0</v>
      </c>
    </row>
    <row r="257" spans="1:31" collapsed="1" x14ac:dyDescent="0.25">
      <c r="A257" s="236" t="s">
        <v>917</v>
      </c>
      <c r="B257" s="236" t="s">
        <v>916</v>
      </c>
      <c r="C257" s="23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>
        <f>SUM(P258:P283)</f>
        <v>-1536281.89</v>
      </c>
      <c r="Q257" s="177">
        <f t="shared" ref="Q257:AA257" si="52">SUM(Q258:Q283)</f>
        <v>-213883.84999999986</v>
      </c>
      <c r="R257" s="177">
        <f t="shared" ref="R257:Z257" si="53">SUM(R258:R283)</f>
        <v>1600675.63</v>
      </c>
      <c r="S257" s="177">
        <f t="shared" si="53"/>
        <v>-2621684.9099999997</v>
      </c>
      <c r="T257" s="177">
        <f t="shared" si="53"/>
        <v>5687394.8899999997</v>
      </c>
      <c r="U257" s="177">
        <f t="shared" si="53"/>
        <v>-3487445.07</v>
      </c>
      <c r="V257" s="177">
        <f t="shared" si="53"/>
        <v>-2484752.4500000002</v>
      </c>
      <c r="W257" s="177">
        <f t="shared" si="53"/>
        <v>0</v>
      </c>
      <c r="X257" s="177">
        <f t="shared" si="53"/>
        <v>0</v>
      </c>
      <c r="Y257" s="177">
        <f t="shared" si="53"/>
        <v>0</v>
      </c>
      <c r="Z257" s="177">
        <f t="shared" si="53"/>
        <v>0</v>
      </c>
      <c r="AA257" s="177">
        <f t="shared" si="52"/>
        <v>0</v>
      </c>
      <c r="AC257" s="278">
        <f t="shared" si="41"/>
        <v>-571225.19999999972</v>
      </c>
      <c r="AE257" s="278">
        <f t="shared" si="40"/>
        <v>-3055977.65</v>
      </c>
    </row>
    <row r="258" spans="1:31" hidden="1" outlineLevel="1" x14ac:dyDescent="0.25">
      <c r="A258" s="345" t="str">
        <f>"4."&amp;B258&amp;"."</f>
        <v>4.AMP.</v>
      </c>
      <c r="B258" t="s">
        <v>7</v>
      </c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>
        <f>SUMIFS(
  tb_caixa[Saldo],
  tb_caixa[Empresa], $B285,
  tb_caixa[Dia], "&gt;="&amp;EDATE(P$1,1),
  tb_caixa[Dia], "&lt;"&amp;EOMONTH(P$1,1)+1
)
-P285</f>
        <v>-926220.36</v>
      </c>
      <c r="Q258" s="186">
        <f>SUMIFS(
  tb_caixa[Saldo],
  tb_caixa[Empresa], $B285,
  tb_caixa[Dia], "&gt;="&amp;EDATE(Q$1,1),
  tb_caixa[Dia], "&lt;"&amp;EOMONTH(Q$1,1)+1
)
-Q285</f>
        <v>419714.63000000006</v>
      </c>
      <c r="R258" s="186">
        <f>SUMIFS(
  tb_caixa[Saldo],
  tb_caixa[Empresa], $B285,
  tb_caixa[Dia], "&gt;="&amp;EDATE(R$1,1),
  tb_caixa[Dia], "&lt;"&amp;EOMONTH(R$1,1)+1
)
-R285</f>
        <v>-447829.06000000006</v>
      </c>
      <c r="S258" s="186">
        <f>SUMIFS(
  tb_caixa[Saldo],
  tb_caixa[Empresa], $B285,
  tb_caixa[Dia], "&gt;="&amp;EDATE(S$1,1),
  tb_caixa[Dia], "&lt;"&amp;EOMONTH(S$1,1)+1
)
-S285</f>
        <v>-185155.1</v>
      </c>
      <c r="T258" s="186">
        <f>SUMIFS(
  tb_caixa[Saldo],
  tb_caixa[Empresa], $B285,
  tb_caixa[Dia], "&gt;="&amp;EDATE(T$1,1),
  tb_caixa[Dia], "&lt;"&amp;EOMONTH(T$1,1)+1
)
-T285</f>
        <v>322583.05</v>
      </c>
      <c r="U258" s="186">
        <f>SUMIFS(
  tb_caixa[Saldo],
  tb_caixa[Empresa], $B285,
  tb_caixa[Dia], "&gt;="&amp;EDATE(U$1,1),
  tb_caixa[Dia], "&lt;"&amp;EOMONTH(U$1,1)+1
)
-U285</f>
        <v>738963.87000000011</v>
      </c>
      <c r="V258" s="186">
        <f>SUMIFS(
  tb_caixa[Saldo],
  tb_caixa[Empresa], $B285,
  tb_caixa[Dia], "&gt;="&amp;EDATE(V$1,1),
  tb_caixa[Dia], "&lt;"&amp;EOMONTH(V$1,1)+1
)
-V285</f>
        <v>-938198.67</v>
      </c>
      <c r="W258" s="186">
        <f>SUMIFS(
  tb_caixa[Saldo],
  tb_caixa[Empresa], $B285,
  tb_caixa[Dia], "&gt;="&amp;EDATE(W$1,1),
  tb_caixa[Dia], "&lt;"&amp;EOMONTH(W$1,1)+1
)
-W285</f>
        <v>0</v>
      </c>
      <c r="X258" s="186">
        <f>SUMIFS(
  tb_caixa[Saldo],
  tb_caixa[Empresa], $B285,
  tb_caixa[Dia], "&gt;="&amp;EDATE(X$1,1),
  tb_caixa[Dia], "&lt;"&amp;EOMONTH(X$1,1)+1
)
-X285</f>
        <v>0</v>
      </c>
      <c r="Y258" s="186">
        <f>SUMIFS(
  tb_caixa[Saldo],
  tb_caixa[Empresa], $B285,
  tb_caixa[Dia], "&gt;="&amp;EDATE(Y$1,1),
  tb_caixa[Dia], "&lt;"&amp;EOMONTH(Y$1,1)+1
)
-Y285</f>
        <v>0</v>
      </c>
      <c r="Z258" s="186">
        <f>SUMIFS(
  tb_caixa[Saldo],
  tb_caixa[Empresa], $B285,
  tb_caixa[Dia], "&gt;="&amp;EDATE(Z$1,1),
  tb_caixa[Dia], "&lt;"&amp;EOMONTH(Z$1,1)+1
)
-Z285</f>
        <v>0</v>
      </c>
      <c r="AA258" s="186">
        <f>SUMIFS(
  tb_caixa[Saldo],
  tb_caixa[Empresa], $B285,
  tb_caixa[Dia], "&gt;="&amp;EDATE(AA$1,1),
  tb_caixa[Dia], "&lt;"&amp;EOMONTH(AA$1,1)+1
)
-AA285</f>
        <v>0</v>
      </c>
      <c r="AC258" s="178">
        <f t="shared" si="41"/>
        <v>-77942.969999999972</v>
      </c>
      <c r="AE258" s="178">
        <f t="shared" si="40"/>
        <v>-1016141.64</v>
      </c>
    </row>
    <row r="259" spans="1:31" hidden="1" outlineLevel="1" x14ac:dyDescent="0.25">
      <c r="A259" s="346" t="str">
        <f t="shared" ref="A259:A283" si="54">"4."&amp;B259&amp;"."</f>
        <v>4.AVR.</v>
      </c>
      <c r="B259" t="s">
        <v>670</v>
      </c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>
        <f>SUMIFS(
  tb_caixa[Saldo],
  tb_caixa[Empresa], $B286,
  tb_caixa[Dia], "&gt;="&amp;EDATE(P$1,1),
  tb_caixa[Dia], "&lt;"&amp;EOMONTH(P$1,1)+1
)
-P286</f>
        <v>-1492.9400000000005</v>
      </c>
      <c r="Q259" s="186">
        <f>SUMIFS(
  tb_caixa[Saldo],
  tb_caixa[Empresa], $B286,
  tb_caixa[Dia], "&gt;="&amp;EDATE(Q$1,1),
  tb_caixa[Dia], "&lt;"&amp;EOMONTH(Q$1,1)+1
)
-Q286</f>
        <v>-4636.58</v>
      </c>
      <c r="R259" s="186">
        <f>SUMIFS(
  tb_caixa[Saldo],
  tb_caixa[Empresa], $B286,
  tb_caixa[Dia], "&gt;="&amp;EDATE(R$1,1),
  tb_caixa[Dia], "&lt;"&amp;EOMONTH(R$1,1)+1
)
-R286</f>
        <v>74.87</v>
      </c>
      <c r="S259" s="186">
        <f>SUMIFS(
  tb_caixa[Saldo],
  tb_caixa[Empresa], $B286,
  tb_caixa[Dia], "&gt;="&amp;EDATE(S$1,1),
  tb_caixa[Dia], "&lt;"&amp;EOMONTH(S$1,1)+1
)
-S286</f>
        <v>469.03</v>
      </c>
      <c r="T259" s="186">
        <f>SUMIFS(
  tb_caixa[Saldo],
  tb_caixa[Empresa], $B286,
  tb_caixa[Dia], "&gt;="&amp;EDATE(T$1,1),
  tb_caixa[Dia], "&lt;"&amp;EOMONTH(T$1,1)+1
)
-T286</f>
        <v>-101.73999999999995</v>
      </c>
      <c r="U259" s="186">
        <f>SUMIFS(
  tb_caixa[Saldo],
  tb_caixa[Empresa], $B286,
  tb_caixa[Dia], "&gt;="&amp;EDATE(U$1,1),
  tb_caixa[Dia], "&lt;"&amp;EOMONTH(U$1,1)+1
)
-U286</f>
        <v>-442.16</v>
      </c>
      <c r="V259" s="186">
        <f>SUMIFS(
  tb_caixa[Saldo],
  tb_caixa[Empresa], $B286,
  tb_caixa[Dia], "&gt;="&amp;EDATE(V$1,1),
  tb_caixa[Dia], "&lt;"&amp;EOMONTH(V$1,1)+1
)
-V286</f>
        <v>0</v>
      </c>
      <c r="W259" s="186">
        <f>SUMIFS(
  tb_caixa[Saldo],
  tb_caixa[Empresa], $B286,
  tb_caixa[Dia], "&gt;="&amp;EDATE(W$1,1),
  tb_caixa[Dia], "&lt;"&amp;EOMONTH(W$1,1)+1
)
-W286</f>
        <v>0</v>
      </c>
      <c r="X259" s="186">
        <f>SUMIFS(
  tb_caixa[Saldo],
  tb_caixa[Empresa], $B286,
  tb_caixa[Dia], "&gt;="&amp;EDATE(X$1,1),
  tb_caixa[Dia], "&lt;"&amp;EOMONTH(X$1,1)+1
)
-X286</f>
        <v>0</v>
      </c>
      <c r="Y259" s="186">
        <f>SUMIFS(
  tb_caixa[Saldo],
  tb_caixa[Empresa], $B286,
  tb_caixa[Dia], "&gt;="&amp;EDATE(Y$1,1),
  tb_caixa[Dia], "&lt;"&amp;EOMONTH(Y$1,1)+1
)
-Y286</f>
        <v>0</v>
      </c>
      <c r="Z259" s="186">
        <f>SUMIFS(
  tb_caixa[Saldo],
  tb_caixa[Empresa], $B286,
  tb_caixa[Dia], "&gt;="&amp;EDATE(Z$1,1),
  tb_caixa[Dia], "&lt;"&amp;EOMONTH(Z$1,1)+1
)
-Z286</f>
        <v>0</v>
      </c>
      <c r="AA259" s="186">
        <f>SUMIFS(
  tb_caixa[Saldo],
  tb_caixa[Empresa], $B286,
  tb_caixa[Dia], "&gt;="&amp;EDATE(AA$1,1),
  tb_caixa[Dia], "&lt;"&amp;EOMONTH(AA$1,1)+1
)
-AA286</f>
        <v>0</v>
      </c>
      <c r="AC259" s="178">
        <f t="shared" si="41"/>
        <v>-6129.52</v>
      </c>
      <c r="AE259" s="178">
        <f t="shared" si="40"/>
        <v>-6129.52</v>
      </c>
    </row>
    <row r="260" spans="1:31" hidden="1" outlineLevel="1" x14ac:dyDescent="0.25">
      <c r="A260" s="346" t="str">
        <f t="shared" si="54"/>
        <v>4.AVS.</v>
      </c>
      <c r="B260" t="s">
        <v>8</v>
      </c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>
        <f>SUMIFS(
  tb_caixa[Saldo],
  tb_caixa[Empresa], $B287,
  tb_caixa[Dia], "&gt;="&amp;EDATE(P$1,1),
  tb_caixa[Dia], "&lt;"&amp;EOMONTH(P$1,1)+1
)
-P287</f>
        <v>-21454.30000000001</v>
      </c>
      <c r="Q260" s="186">
        <f>SUMIFS(
  tb_caixa[Saldo],
  tb_caixa[Empresa], $B287,
  tb_caixa[Dia], "&gt;="&amp;EDATE(Q$1,1),
  tb_caixa[Dia], "&lt;"&amp;EOMONTH(Q$1,1)+1
)
-Q287</f>
        <v>55114.700000000012</v>
      </c>
      <c r="R260" s="186">
        <f>SUMIFS(
  tb_caixa[Saldo],
  tb_caixa[Empresa], $B287,
  tb_caixa[Dia], "&gt;="&amp;EDATE(R$1,1),
  tb_caixa[Dia], "&lt;"&amp;EOMONTH(R$1,1)+1
)
-R287</f>
        <v>21098.239999999994</v>
      </c>
      <c r="S260" s="186">
        <f>SUMIFS(
  tb_caixa[Saldo],
  tb_caixa[Empresa], $B287,
  tb_caixa[Dia], "&gt;="&amp;EDATE(S$1,1),
  tb_caixa[Dia], "&lt;"&amp;EOMONTH(S$1,1)+1
)
-S287</f>
        <v>-83855.320000000007</v>
      </c>
      <c r="T260" s="186">
        <f>SUMIFS(
  tb_caixa[Saldo],
  tb_caixa[Empresa], $B287,
  tb_caixa[Dia], "&gt;="&amp;EDATE(T$1,1),
  tb_caixa[Dia], "&lt;"&amp;EOMONTH(T$1,1)+1
)
-T287</f>
        <v>125291.87</v>
      </c>
      <c r="U260" s="186">
        <f>SUMIFS(
  tb_caixa[Saldo],
  tb_caixa[Empresa], $B287,
  tb_caixa[Dia], "&gt;="&amp;EDATE(U$1,1),
  tb_caixa[Dia], "&lt;"&amp;EOMONTH(U$1,1)+1
)
-U287</f>
        <v>-4765.4000000000015</v>
      </c>
      <c r="V260" s="186">
        <f>SUMIFS(
  tb_caixa[Saldo],
  tb_caixa[Empresa], $B287,
  tb_caixa[Dia], "&gt;="&amp;EDATE(V$1,1),
  tb_caixa[Dia], "&lt;"&amp;EOMONTH(V$1,1)+1
)
-V287</f>
        <v>-58441.34</v>
      </c>
      <c r="W260" s="186">
        <f>SUMIFS(
  tb_caixa[Saldo],
  tb_caixa[Empresa], $B287,
  tb_caixa[Dia], "&gt;="&amp;EDATE(W$1,1),
  tb_caixa[Dia], "&lt;"&amp;EOMONTH(W$1,1)+1
)
-W287</f>
        <v>0</v>
      </c>
      <c r="X260" s="186">
        <f>SUMIFS(
  tb_caixa[Saldo],
  tb_caixa[Empresa], $B287,
  tb_caixa[Dia], "&gt;="&amp;EDATE(X$1,1),
  tb_caixa[Dia], "&lt;"&amp;EOMONTH(X$1,1)+1
)
-X287</f>
        <v>0</v>
      </c>
      <c r="Y260" s="186">
        <f>SUMIFS(
  tb_caixa[Saldo],
  tb_caixa[Empresa], $B287,
  tb_caixa[Dia], "&gt;="&amp;EDATE(Y$1,1),
  tb_caixa[Dia], "&lt;"&amp;EOMONTH(Y$1,1)+1
)
-Y287</f>
        <v>0</v>
      </c>
      <c r="Z260" s="186">
        <f>SUMIFS(
  tb_caixa[Saldo],
  tb_caixa[Empresa], $B287,
  tb_caixa[Dia], "&gt;="&amp;EDATE(Z$1,1),
  tb_caixa[Dia], "&lt;"&amp;EOMONTH(Z$1,1)+1
)
-Z287</f>
        <v>0</v>
      </c>
      <c r="AA260" s="186">
        <f>SUMIFS(
  tb_caixa[Saldo],
  tb_caixa[Empresa], $B287,
  tb_caixa[Dia], "&gt;="&amp;EDATE(AA$1,1),
  tb_caixa[Dia], "&lt;"&amp;EOMONTH(AA$1,1)+1
)
-AA287</f>
        <v>0</v>
      </c>
      <c r="AC260" s="178">
        <f t="shared" ref="AC260:AC283" si="55">SUM(D260:U260)</f>
        <v>91429.789999999979</v>
      </c>
      <c r="AE260" s="178">
        <f t="shared" si="40"/>
        <v>32988.449999999983</v>
      </c>
    </row>
    <row r="261" spans="1:31" hidden="1" outlineLevel="1" x14ac:dyDescent="0.25">
      <c r="A261" s="346" t="str">
        <f t="shared" si="54"/>
        <v>4.BUT.</v>
      </c>
      <c r="B261" t="s">
        <v>671</v>
      </c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>
        <f>SUMIFS(
  tb_caixa[Saldo],
  tb_caixa[Empresa], $B288,
  tb_caixa[Dia], "&gt;="&amp;EDATE(P$1,1),
  tb_caixa[Dia], "&lt;"&amp;EOMONTH(P$1,1)+1
)
-P288</f>
        <v>17777.459999999992</v>
      </c>
      <c r="Q261" s="186">
        <f>SUMIFS(
  tb_caixa[Saldo],
  tb_caixa[Empresa], $B288,
  tb_caixa[Dia], "&gt;="&amp;EDATE(Q$1,1),
  tb_caixa[Dia], "&lt;"&amp;EOMONTH(Q$1,1)+1
)
-Q288</f>
        <v>-2848.3999999999942</v>
      </c>
      <c r="R261" s="186">
        <f>SUMIFS(
  tb_caixa[Saldo],
  tb_caixa[Empresa], $B288,
  tb_caixa[Dia], "&gt;="&amp;EDATE(R$1,1),
  tb_caixa[Dia], "&lt;"&amp;EOMONTH(R$1,1)+1
)
-R288</f>
        <v>1756.6399999999994</v>
      </c>
      <c r="S261" s="186">
        <f>SUMIFS(
  tb_caixa[Saldo],
  tb_caixa[Empresa], $B288,
  tb_caixa[Dia], "&gt;="&amp;EDATE(S$1,1),
  tb_caixa[Dia], "&lt;"&amp;EOMONTH(S$1,1)+1
)
-S288</f>
        <v>-18650.209999999992</v>
      </c>
      <c r="T261" s="186">
        <f>SUMIFS(
  tb_caixa[Saldo],
  tb_caixa[Empresa], $B288,
  tb_caixa[Dia], "&gt;="&amp;EDATE(T$1,1),
  tb_caixa[Dia], "&lt;"&amp;EOMONTH(T$1,1)+1
)
-T288</f>
        <v>120896.10999999999</v>
      </c>
      <c r="U261" s="186">
        <f>SUMIFS(
  tb_caixa[Saldo],
  tb_caixa[Empresa], $B288,
  tb_caixa[Dia], "&gt;="&amp;EDATE(U$1,1),
  tb_caixa[Dia], "&lt;"&amp;EOMONTH(U$1,1)+1
)
-U288</f>
        <v>-6692.1299999999992</v>
      </c>
      <c r="V261" s="186">
        <f>SUMIFS(
  tb_caixa[Saldo],
  tb_caixa[Empresa], $B288,
  tb_caixa[Dia], "&gt;="&amp;EDATE(V$1,1),
  tb_caixa[Dia], "&lt;"&amp;EOMONTH(V$1,1)+1
)
-V288</f>
        <v>587.80999999999995</v>
      </c>
      <c r="W261" s="186">
        <f>SUMIFS(
  tb_caixa[Saldo],
  tb_caixa[Empresa], $B288,
  tb_caixa[Dia], "&gt;="&amp;EDATE(W$1,1),
  tb_caixa[Dia], "&lt;"&amp;EOMONTH(W$1,1)+1
)
-W288</f>
        <v>0</v>
      </c>
      <c r="X261" s="186">
        <f>SUMIFS(
  tb_caixa[Saldo],
  tb_caixa[Empresa], $B288,
  tb_caixa[Dia], "&gt;="&amp;EDATE(X$1,1),
  tb_caixa[Dia], "&lt;"&amp;EOMONTH(X$1,1)+1
)
-X288</f>
        <v>0</v>
      </c>
      <c r="Y261" s="186">
        <f>SUMIFS(
  tb_caixa[Saldo],
  tb_caixa[Empresa], $B288,
  tb_caixa[Dia], "&gt;="&amp;EDATE(Y$1,1),
  tb_caixa[Dia], "&lt;"&amp;EOMONTH(Y$1,1)+1
)
-Y288</f>
        <v>0</v>
      </c>
      <c r="Z261" s="186">
        <f>SUMIFS(
  tb_caixa[Saldo],
  tb_caixa[Empresa], $B288,
  tb_caixa[Dia], "&gt;="&amp;EDATE(Z$1,1),
  tb_caixa[Dia], "&lt;"&amp;EOMONTH(Z$1,1)+1
)
-Z288</f>
        <v>0</v>
      </c>
      <c r="AA261" s="186">
        <f>SUMIFS(
  tb_caixa[Saldo],
  tb_caixa[Empresa], $B288,
  tb_caixa[Dia], "&gt;="&amp;EDATE(AA$1,1),
  tb_caixa[Dia], "&lt;"&amp;EOMONTH(AA$1,1)+1
)
-AA288</f>
        <v>0</v>
      </c>
      <c r="AC261" s="178">
        <f t="shared" si="55"/>
        <v>112239.46999999999</v>
      </c>
      <c r="AE261" s="178">
        <f t="shared" si="40"/>
        <v>112827.27999999998</v>
      </c>
    </row>
    <row r="262" spans="1:31" hidden="1" outlineLevel="1" x14ac:dyDescent="0.25">
      <c r="A262" s="346" t="str">
        <f t="shared" si="54"/>
        <v>4.CBL.</v>
      </c>
      <c r="B262" t="s">
        <v>673</v>
      </c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>
        <f>SUMIFS(
  tb_caixa[Saldo],
  tb_caixa[Empresa], $B289,
  tb_caixa[Dia], "&gt;="&amp;EDATE(P$1,1),
  tb_caixa[Dia], "&lt;"&amp;EOMONTH(P$1,1)+1
)
-P289</f>
        <v>335305.28000000003</v>
      </c>
      <c r="Q262" s="186">
        <f>SUMIFS(
  tb_caixa[Saldo],
  tb_caixa[Empresa], $B289,
  tb_caixa[Dia], "&gt;="&amp;EDATE(Q$1,1),
  tb_caixa[Dia], "&lt;"&amp;EOMONTH(Q$1,1)+1
)
-Q289</f>
        <v>-414868.16000000003</v>
      </c>
      <c r="R262" s="186">
        <f>SUMIFS(
  tb_caixa[Saldo],
  tb_caixa[Empresa], $B289,
  tb_caixa[Dia], "&gt;="&amp;EDATE(R$1,1),
  tb_caixa[Dia], "&lt;"&amp;EOMONTH(R$1,1)+1
)
-R289</f>
        <v>9879.7400000000016</v>
      </c>
      <c r="S262" s="186">
        <f>SUMIFS(
  tb_caixa[Saldo],
  tb_caixa[Empresa], $B289,
  tb_caixa[Dia], "&gt;="&amp;EDATE(S$1,1),
  tb_caixa[Dia], "&lt;"&amp;EOMONTH(S$1,1)+1
)
-S289</f>
        <v>86484.1</v>
      </c>
      <c r="T262" s="186">
        <f>SUMIFS(
  tb_caixa[Saldo],
  tb_caixa[Empresa], $B289,
  tb_caixa[Dia], "&gt;="&amp;EDATE(T$1,1),
  tb_caixa[Dia], "&lt;"&amp;EOMONTH(T$1,1)+1
)
-T289</f>
        <v>1926931.8699999999</v>
      </c>
      <c r="U262" s="186">
        <f>SUMIFS(
  tb_caixa[Saldo],
  tb_caixa[Empresa], $B289,
  tb_caixa[Dia], "&gt;="&amp;EDATE(U$1,1),
  tb_caixa[Dia], "&lt;"&amp;EOMONTH(U$1,1)+1
)
-U289</f>
        <v>-1944735.8699999999</v>
      </c>
      <c r="V262" s="186">
        <f>SUMIFS(
  tb_caixa[Saldo],
  tb_caixa[Empresa], $B289,
  tb_caixa[Dia], "&gt;="&amp;EDATE(V$1,1),
  tb_caixa[Dia], "&lt;"&amp;EOMONTH(V$1,1)+1
)
-V289</f>
        <v>-88224.82</v>
      </c>
      <c r="W262" s="186">
        <f>SUMIFS(
  tb_caixa[Saldo],
  tb_caixa[Empresa], $B289,
  tb_caixa[Dia], "&gt;="&amp;EDATE(W$1,1),
  tb_caixa[Dia], "&lt;"&amp;EOMONTH(W$1,1)+1
)
-W289</f>
        <v>0</v>
      </c>
      <c r="X262" s="186">
        <f>SUMIFS(
  tb_caixa[Saldo],
  tb_caixa[Empresa], $B289,
  tb_caixa[Dia], "&gt;="&amp;EDATE(X$1,1),
  tb_caixa[Dia], "&lt;"&amp;EOMONTH(X$1,1)+1
)
-X289</f>
        <v>0</v>
      </c>
      <c r="Y262" s="186">
        <f>SUMIFS(
  tb_caixa[Saldo],
  tb_caixa[Empresa], $B289,
  tb_caixa[Dia], "&gt;="&amp;EDATE(Y$1,1),
  tb_caixa[Dia], "&lt;"&amp;EOMONTH(Y$1,1)+1
)
-Y289</f>
        <v>0</v>
      </c>
      <c r="Z262" s="186">
        <f>SUMIFS(
  tb_caixa[Saldo],
  tb_caixa[Empresa], $B289,
  tb_caixa[Dia], "&gt;="&amp;EDATE(Z$1,1),
  tb_caixa[Dia], "&lt;"&amp;EOMONTH(Z$1,1)+1
)
-Z289</f>
        <v>0</v>
      </c>
      <c r="AA262" s="186">
        <f>SUMIFS(
  tb_caixa[Saldo],
  tb_caixa[Empresa], $B289,
  tb_caixa[Dia], "&gt;="&amp;EDATE(AA$1,1),
  tb_caixa[Dia], "&lt;"&amp;EOMONTH(AA$1,1)+1
)
-AA289</f>
        <v>0</v>
      </c>
      <c r="AC262" s="178">
        <f t="shared" si="55"/>
        <v>-1003.0400000000373</v>
      </c>
      <c r="AE262" s="178">
        <f t="shared" si="40"/>
        <v>-89227.860000000044</v>
      </c>
    </row>
    <row r="263" spans="1:31" hidden="1" outlineLevel="1" x14ac:dyDescent="0.25">
      <c r="A263" s="346" t="str">
        <f t="shared" si="54"/>
        <v>4.CHR.</v>
      </c>
      <c r="B263" t="s">
        <v>863</v>
      </c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>
        <f>SUMIFS(
  tb_caixa[Saldo],
  tb_caixa[Empresa], $B290,
  tb_caixa[Dia], "&gt;="&amp;EDATE(P$1,1),
  tb_caixa[Dia], "&lt;"&amp;EOMONTH(P$1,1)+1
)
-P290</f>
        <v>0</v>
      </c>
      <c r="Q263" s="186">
        <f>SUMIFS(
  tb_caixa[Saldo],
  tb_caixa[Empresa], $B290,
  tb_caixa[Dia], "&gt;="&amp;EDATE(Q$1,1),
  tb_caixa[Dia], "&lt;"&amp;EOMONTH(Q$1,1)+1
)
-Q290</f>
        <v>0</v>
      </c>
      <c r="R263" s="186">
        <f>SUMIFS(
  tb_caixa[Saldo],
  tb_caixa[Empresa], $B290,
  tb_caixa[Dia], "&gt;="&amp;EDATE(R$1,1),
  tb_caixa[Dia], "&lt;"&amp;EOMONTH(R$1,1)+1
)
-R290</f>
        <v>0</v>
      </c>
      <c r="S263" s="186">
        <f>SUMIFS(
  tb_caixa[Saldo],
  tb_caixa[Empresa], $B290,
  tb_caixa[Dia], "&gt;="&amp;EDATE(S$1,1),
  tb_caixa[Dia], "&lt;"&amp;EOMONTH(S$1,1)+1
)
-S290</f>
        <v>0</v>
      </c>
      <c r="T263" s="186">
        <f>SUMIFS(
  tb_caixa[Saldo],
  tb_caixa[Empresa], $B290,
  tb_caixa[Dia], "&gt;="&amp;EDATE(T$1,1),
  tb_caixa[Dia], "&lt;"&amp;EOMONTH(T$1,1)+1
)
-T290</f>
        <v>0</v>
      </c>
      <c r="U263" s="186">
        <f>SUMIFS(
  tb_caixa[Saldo],
  tb_caixa[Empresa], $B290,
  tb_caixa[Dia], "&gt;="&amp;EDATE(U$1,1),
  tb_caixa[Dia], "&lt;"&amp;EOMONTH(U$1,1)+1
)
-U290</f>
        <v>0</v>
      </c>
      <c r="V263" s="186">
        <f>SUMIFS(
  tb_caixa[Saldo],
  tb_caixa[Empresa], $B290,
  tb_caixa[Dia], "&gt;="&amp;EDATE(V$1,1),
  tb_caixa[Dia], "&lt;"&amp;EOMONTH(V$1,1)+1
)
-V290</f>
        <v>0</v>
      </c>
      <c r="W263" s="186">
        <f>SUMIFS(
  tb_caixa[Saldo],
  tb_caixa[Empresa], $B290,
  tb_caixa[Dia], "&gt;="&amp;EDATE(W$1,1),
  tb_caixa[Dia], "&lt;"&amp;EOMONTH(W$1,1)+1
)
-W290</f>
        <v>0</v>
      </c>
      <c r="X263" s="186">
        <f>SUMIFS(
  tb_caixa[Saldo],
  tb_caixa[Empresa], $B290,
  tb_caixa[Dia], "&gt;="&amp;EDATE(X$1,1),
  tb_caixa[Dia], "&lt;"&amp;EOMONTH(X$1,1)+1
)
-X290</f>
        <v>0</v>
      </c>
      <c r="Y263" s="186">
        <f>SUMIFS(
  tb_caixa[Saldo],
  tb_caixa[Empresa], $B290,
  tb_caixa[Dia], "&gt;="&amp;EDATE(Y$1,1),
  tb_caixa[Dia], "&lt;"&amp;EOMONTH(Y$1,1)+1
)
-Y290</f>
        <v>0</v>
      </c>
      <c r="Z263" s="186">
        <f>SUMIFS(
  tb_caixa[Saldo],
  tb_caixa[Empresa], $B290,
  tb_caixa[Dia], "&gt;="&amp;EDATE(Z$1,1),
  tb_caixa[Dia], "&lt;"&amp;EOMONTH(Z$1,1)+1
)
-Z290</f>
        <v>0</v>
      </c>
      <c r="AA263" s="186">
        <f>SUMIFS(
  tb_caixa[Saldo],
  tb_caixa[Empresa], $B290,
  tb_caixa[Dia], "&gt;="&amp;EDATE(AA$1,1),
  tb_caixa[Dia], "&lt;"&amp;EOMONTH(AA$1,1)+1
)
-AA290</f>
        <v>0</v>
      </c>
      <c r="AC263" s="178">
        <f t="shared" si="55"/>
        <v>0</v>
      </c>
      <c r="AE263" s="178">
        <f t="shared" ref="AE263:AE283" si="56">SUM(D263:AA263)</f>
        <v>0</v>
      </c>
    </row>
    <row r="264" spans="1:31" hidden="1" outlineLevel="1" x14ac:dyDescent="0.25">
      <c r="A264" s="346" t="str">
        <f t="shared" si="54"/>
        <v>4.CPE.</v>
      </c>
      <c r="B264" t="s">
        <v>857</v>
      </c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>
        <f>SUMIFS(
  tb_caixa[Saldo],
  tb_caixa[Empresa], $B291,
  tb_caixa[Dia], "&gt;="&amp;EDATE(P$1,1),
  tb_caixa[Dia], "&lt;"&amp;EOMONTH(P$1,1)+1
)
-P291</f>
        <v>5382.4500000000007</v>
      </c>
      <c r="Q264" s="186">
        <f>SUMIFS(
  tb_caixa[Saldo],
  tb_caixa[Empresa], $B291,
  tb_caixa[Dia], "&gt;="&amp;EDATE(Q$1,1),
  tb_caixa[Dia], "&lt;"&amp;EOMONTH(Q$1,1)+1
)
-Q291</f>
        <v>3119.6799999999994</v>
      </c>
      <c r="R264" s="186">
        <f>SUMIFS(
  tb_caixa[Saldo],
  tb_caixa[Empresa], $B291,
  tb_caixa[Dia], "&gt;="&amp;EDATE(R$1,1),
  tb_caixa[Dia], "&lt;"&amp;EOMONTH(R$1,1)+1
)
-R291</f>
        <v>-5541.9299999999994</v>
      </c>
      <c r="S264" s="186">
        <f>SUMIFS(
  tb_caixa[Saldo],
  tb_caixa[Empresa], $B291,
  tb_caixa[Dia], "&gt;="&amp;EDATE(S$1,1),
  tb_caixa[Dia], "&lt;"&amp;EOMONTH(S$1,1)+1
)
-S291</f>
        <v>3712.6900000000005</v>
      </c>
      <c r="T264" s="186">
        <f>SUMIFS(
  tb_caixa[Saldo],
  tb_caixa[Empresa], $B291,
  tb_caixa[Dia], "&gt;="&amp;EDATE(T$1,1),
  tb_caixa[Dia], "&lt;"&amp;EOMONTH(T$1,1)+1
)
-T291</f>
        <v>1242.7599999999993</v>
      </c>
      <c r="U264" s="186">
        <f>SUMIFS(
  tb_caixa[Saldo],
  tb_caixa[Empresa], $B291,
  tb_caixa[Dia], "&gt;="&amp;EDATE(U$1,1),
  tb_caixa[Dia], "&lt;"&amp;EOMONTH(U$1,1)+1
)
-U291</f>
        <v>-7823.55</v>
      </c>
      <c r="V264" s="186">
        <f>SUMIFS(
  tb_caixa[Saldo],
  tb_caixa[Empresa], $B291,
  tb_caixa[Dia], "&gt;="&amp;EDATE(V$1,1),
  tb_caixa[Dia], "&lt;"&amp;EOMONTH(V$1,1)+1
)
-V291</f>
        <v>-1445.04</v>
      </c>
      <c r="W264" s="186">
        <f>SUMIFS(
  tb_caixa[Saldo],
  tb_caixa[Empresa], $B291,
  tb_caixa[Dia], "&gt;="&amp;EDATE(W$1,1),
  tb_caixa[Dia], "&lt;"&amp;EOMONTH(W$1,1)+1
)
-W291</f>
        <v>0</v>
      </c>
      <c r="X264" s="186">
        <f>SUMIFS(
  tb_caixa[Saldo],
  tb_caixa[Empresa], $B291,
  tb_caixa[Dia], "&gt;="&amp;EDATE(X$1,1),
  tb_caixa[Dia], "&lt;"&amp;EOMONTH(X$1,1)+1
)
-X291</f>
        <v>0</v>
      </c>
      <c r="Y264" s="186">
        <f>SUMIFS(
  tb_caixa[Saldo],
  tb_caixa[Empresa], $B291,
  tb_caixa[Dia], "&gt;="&amp;EDATE(Y$1,1),
  tb_caixa[Dia], "&lt;"&amp;EOMONTH(Y$1,1)+1
)
-Y291</f>
        <v>0</v>
      </c>
      <c r="Z264" s="186">
        <f>SUMIFS(
  tb_caixa[Saldo],
  tb_caixa[Empresa], $B291,
  tb_caixa[Dia], "&gt;="&amp;EDATE(Z$1,1),
  tb_caixa[Dia], "&lt;"&amp;EOMONTH(Z$1,1)+1
)
-Z291</f>
        <v>0</v>
      </c>
      <c r="AA264" s="186">
        <f>SUMIFS(
  tb_caixa[Saldo],
  tb_caixa[Empresa], $B291,
  tb_caixa[Dia], "&gt;="&amp;EDATE(AA$1,1),
  tb_caixa[Dia], "&lt;"&amp;EOMONTH(AA$1,1)+1
)
-AA291</f>
        <v>0</v>
      </c>
      <c r="AC264" s="178">
        <f t="shared" si="55"/>
        <v>92.100000000001273</v>
      </c>
      <c r="AE264" s="178">
        <f t="shared" si="56"/>
        <v>-1352.9399999999987</v>
      </c>
    </row>
    <row r="265" spans="1:31" hidden="1" outlineLevel="1" x14ac:dyDescent="0.25">
      <c r="A265" s="346" t="str">
        <f t="shared" si="54"/>
        <v>4.CXG.</v>
      </c>
      <c r="B265" t="s">
        <v>1261</v>
      </c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>
        <f>SUMIFS(
  tb_caixa[Saldo],
  tb_caixa[Empresa], $B292,
  tb_caixa[Dia], "&gt;="&amp;EDATE(P$1,1),
  tb_caixa[Dia], "&lt;"&amp;EOMONTH(P$1,1)+1
)
-P292</f>
        <v>0</v>
      </c>
      <c r="Q265" s="186">
        <f>SUMIFS(
  tb_caixa[Saldo],
  tb_caixa[Empresa], $B292,
  tb_caixa[Dia], "&gt;="&amp;EDATE(Q$1,1),
  tb_caixa[Dia], "&lt;"&amp;EOMONTH(Q$1,1)+1
)
-Q292</f>
        <v>0</v>
      </c>
      <c r="R265" s="186">
        <f>SUMIFS(
  tb_caixa[Saldo],
  tb_caixa[Empresa], $B292,
  tb_caixa[Dia], "&gt;="&amp;EDATE(R$1,1),
  tb_caixa[Dia], "&lt;"&amp;EOMONTH(R$1,1)+1
)
-R292</f>
        <v>0</v>
      </c>
      <c r="S265" s="186">
        <f>SUMIFS(
  tb_caixa[Saldo],
  tb_caixa[Empresa], $B292,
  tb_caixa[Dia], "&gt;="&amp;EDATE(S$1,1),
  tb_caixa[Dia], "&lt;"&amp;EOMONTH(S$1,1)+1
)
-S292</f>
        <v>2751</v>
      </c>
      <c r="T265" s="186">
        <f>SUMIFS(
  tb_caixa[Saldo],
  tb_caixa[Empresa], $B292,
  tb_caixa[Dia], "&gt;="&amp;EDATE(T$1,1),
  tb_caixa[Dia], "&lt;"&amp;EOMONTH(T$1,1)+1
)
-T292</f>
        <v>-487</v>
      </c>
      <c r="U265" s="186">
        <f>SUMIFS(
  tb_caixa[Saldo],
  tb_caixa[Empresa], $B292,
  tb_caixa[Dia], "&gt;="&amp;EDATE(U$1,1),
  tb_caixa[Dia], "&lt;"&amp;EOMONTH(U$1,1)+1
)
-U292</f>
        <v>-174</v>
      </c>
      <c r="V265" s="186">
        <f>SUMIFS(
  tb_caixa[Saldo],
  tb_caixa[Empresa], $B292,
  tb_caixa[Dia], "&gt;="&amp;EDATE(V$1,1),
  tb_caixa[Dia], "&lt;"&amp;EOMONTH(V$1,1)+1
)
-V292</f>
        <v>-2090</v>
      </c>
      <c r="W265" s="186">
        <f>SUMIFS(
  tb_caixa[Saldo],
  tb_caixa[Empresa], $B292,
  tb_caixa[Dia], "&gt;="&amp;EDATE(W$1,1),
  tb_caixa[Dia], "&lt;"&amp;EOMONTH(W$1,1)+1
)
-W292</f>
        <v>0</v>
      </c>
      <c r="X265" s="186">
        <f>SUMIFS(
  tb_caixa[Saldo],
  tb_caixa[Empresa], $B292,
  tb_caixa[Dia], "&gt;="&amp;EDATE(X$1,1),
  tb_caixa[Dia], "&lt;"&amp;EOMONTH(X$1,1)+1
)
-X292</f>
        <v>0</v>
      </c>
      <c r="Y265" s="186">
        <f>SUMIFS(
  tb_caixa[Saldo],
  tb_caixa[Empresa], $B292,
  tb_caixa[Dia], "&gt;="&amp;EDATE(Y$1,1),
  tb_caixa[Dia], "&lt;"&amp;EOMONTH(Y$1,1)+1
)
-Y292</f>
        <v>0</v>
      </c>
      <c r="Z265" s="186">
        <f>SUMIFS(
  tb_caixa[Saldo],
  tb_caixa[Empresa], $B292,
  tb_caixa[Dia], "&gt;="&amp;EDATE(Z$1,1),
  tb_caixa[Dia], "&lt;"&amp;EOMONTH(Z$1,1)+1
)
-Z292</f>
        <v>0</v>
      </c>
      <c r="AA265" s="186">
        <f>SUMIFS(
  tb_caixa[Saldo],
  tb_caixa[Empresa], $B292,
  tb_caixa[Dia], "&gt;="&amp;EDATE(AA$1,1),
  tb_caixa[Dia], "&lt;"&amp;EOMONTH(AA$1,1)+1
)
-AA292</f>
        <v>0</v>
      </c>
      <c r="AC265" s="178">
        <f t="shared" si="55"/>
        <v>2090</v>
      </c>
      <c r="AE265" s="178">
        <f t="shared" si="56"/>
        <v>0</v>
      </c>
    </row>
    <row r="266" spans="1:31" hidden="1" outlineLevel="1" x14ac:dyDescent="0.25">
      <c r="A266" s="346" t="str">
        <f t="shared" si="54"/>
        <v>4.DPF.</v>
      </c>
      <c r="B266" t="s">
        <v>867</v>
      </c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>
        <f>SUMIFS(
  tb_caixa[Saldo],
  tb_caixa[Empresa], $B293,
  tb_caixa[Dia], "&gt;="&amp;EDATE(P$1,1),
  tb_caixa[Dia], "&lt;"&amp;EOMONTH(P$1,1)+1
)
-P293</f>
        <v>-28183.739999999998</v>
      </c>
      <c r="Q266" s="186">
        <f>SUMIFS(
  tb_caixa[Saldo],
  tb_caixa[Empresa], $B293,
  tb_caixa[Dia], "&gt;="&amp;EDATE(Q$1,1),
  tb_caixa[Dia], "&lt;"&amp;EOMONTH(Q$1,1)+1
)
-Q293</f>
        <v>6237.5500000000011</v>
      </c>
      <c r="R266" s="186">
        <f>SUMIFS(
  tb_caixa[Saldo],
  tb_caixa[Empresa], $B293,
  tb_caixa[Dia], "&gt;="&amp;EDATE(R$1,1),
  tb_caixa[Dia], "&lt;"&amp;EOMONTH(R$1,1)+1
)
-R293</f>
        <v>1351.95</v>
      </c>
      <c r="S266" s="186">
        <f>SUMIFS(
  tb_caixa[Saldo],
  tb_caixa[Empresa], $B293,
  tb_caixa[Dia], "&gt;="&amp;EDATE(S$1,1),
  tb_caixa[Dia], "&lt;"&amp;EOMONTH(S$1,1)+1
)
-S293</f>
        <v>-1403.3799999999999</v>
      </c>
      <c r="T266" s="186">
        <f>SUMIFS(
  tb_caixa[Saldo],
  tb_caixa[Empresa], $B293,
  tb_caixa[Dia], "&gt;="&amp;EDATE(T$1,1),
  tb_caixa[Dia], "&lt;"&amp;EOMONTH(T$1,1)+1
)
-T293</f>
        <v>6651.24</v>
      </c>
      <c r="U266" s="186">
        <f>SUMIFS(
  tb_caixa[Saldo],
  tb_caixa[Empresa], $B293,
  tb_caixa[Dia], "&gt;="&amp;EDATE(U$1,1),
  tb_caixa[Dia], "&lt;"&amp;EOMONTH(U$1,1)+1
)
-U293</f>
        <v>13609.1</v>
      </c>
      <c r="V266" s="186">
        <f>SUMIFS(
  tb_caixa[Saldo],
  tb_caixa[Empresa], $B293,
  tb_caixa[Dia], "&gt;="&amp;EDATE(V$1,1),
  tb_caixa[Dia], "&lt;"&amp;EOMONTH(V$1,1)+1
)
-V293</f>
        <v>-17355.18</v>
      </c>
      <c r="W266" s="186">
        <f>SUMIFS(
  tb_caixa[Saldo],
  tb_caixa[Empresa], $B293,
  tb_caixa[Dia], "&gt;="&amp;EDATE(W$1,1),
  tb_caixa[Dia], "&lt;"&amp;EOMONTH(W$1,1)+1
)
-W293</f>
        <v>0</v>
      </c>
      <c r="X266" s="186">
        <f>SUMIFS(
  tb_caixa[Saldo],
  tb_caixa[Empresa], $B293,
  tb_caixa[Dia], "&gt;="&amp;EDATE(X$1,1),
  tb_caixa[Dia], "&lt;"&amp;EOMONTH(X$1,1)+1
)
-X293</f>
        <v>0</v>
      </c>
      <c r="Y266" s="186">
        <f>SUMIFS(
  tb_caixa[Saldo],
  tb_caixa[Empresa], $B293,
  tb_caixa[Dia], "&gt;="&amp;EDATE(Y$1,1),
  tb_caixa[Dia], "&lt;"&amp;EOMONTH(Y$1,1)+1
)
-Y293</f>
        <v>0</v>
      </c>
      <c r="Z266" s="186">
        <f>SUMIFS(
  tb_caixa[Saldo],
  tb_caixa[Empresa], $B293,
  tb_caixa[Dia], "&gt;="&amp;EDATE(Z$1,1),
  tb_caixa[Dia], "&lt;"&amp;EOMONTH(Z$1,1)+1
)
-Z293</f>
        <v>0</v>
      </c>
      <c r="AA266" s="186">
        <f>SUMIFS(
  tb_caixa[Saldo],
  tb_caixa[Empresa], $B293,
  tb_caixa[Dia], "&gt;="&amp;EDATE(AA$1,1),
  tb_caixa[Dia], "&lt;"&amp;EOMONTH(AA$1,1)+1
)
-AA293</f>
        <v>0</v>
      </c>
      <c r="AC266" s="178">
        <f t="shared" si="55"/>
        <v>-1737.2799999999952</v>
      </c>
      <c r="AE266" s="178">
        <f t="shared" si="56"/>
        <v>-19092.459999999995</v>
      </c>
    </row>
    <row r="267" spans="1:31" hidden="1" outlineLevel="1" x14ac:dyDescent="0.25">
      <c r="A267" s="346" t="str">
        <f t="shared" si="54"/>
        <v>4.ENC.</v>
      </c>
      <c r="B267" t="s">
        <v>479</v>
      </c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>
        <f>SUMIFS(
  tb_caixa[Saldo],
  tb_caixa[Empresa], $B294,
  tb_caixa[Dia], "&gt;="&amp;EDATE(P$1,1),
  tb_caixa[Dia], "&lt;"&amp;EOMONTH(P$1,1)+1
)
-P294</f>
        <v>-64463.87</v>
      </c>
      <c r="Q267" s="186">
        <f>SUMIFS(
  tb_caixa[Saldo],
  tb_caixa[Empresa], $B294,
  tb_caixa[Dia], "&gt;="&amp;EDATE(Q$1,1),
  tb_caixa[Dia], "&lt;"&amp;EOMONTH(Q$1,1)+1
)
-Q294</f>
        <v>-97368.82</v>
      </c>
      <c r="R267" s="186">
        <f>SUMIFS(
  tb_caixa[Saldo],
  tb_caixa[Empresa], $B294,
  tb_caixa[Dia], "&gt;="&amp;EDATE(R$1,1),
  tb_caixa[Dia], "&lt;"&amp;EOMONTH(R$1,1)+1
)
-R294</f>
        <v>-7726.429999999993</v>
      </c>
      <c r="S267" s="186">
        <f>SUMIFS(
  tb_caixa[Saldo],
  tb_caixa[Empresa], $B294,
  tb_caixa[Dia], "&gt;="&amp;EDATE(S$1,1),
  tb_caixa[Dia], "&lt;"&amp;EOMONTH(S$1,1)+1
)
-S294</f>
        <v>-10054.220000000016</v>
      </c>
      <c r="T267" s="186">
        <f>SUMIFS(
  tb_caixa[Saldo],
  tb_caixa[Empresa], $B294,
  tb_caixa[Dia], "&gt;="&amp;EDATE(T$1,1),
  tb_caixa[Dia], "&lt;"&amp;EOMONTH(T$1,1)+1
)
-T294</f>
        <v>134552.97</v>
      </c>
      <c r="U267" s="186">
        <f>SUMIFS(
  tb_caixa[Saldo],
  tb_caixa[Empresa], $B294,
  tb_caixa[Dia], "&gt;="&amp;EDATE(U$1,1),
  tb_caixa[Dia], "&lt;"&amp;EOMONTH(U$1,1)+1
)
-U294</f>
        <v>454</v>
      </c>
      <c r="V267" s="186">
        <f>SUMIFS(
  tb_caixa[Saldo],
  tb_caixa[Empresa], $B294,
  tb_caixa[Dia], "&gt;="&amp;EDATE(V$1,1),
  tb_caixa[Dia], "&lt;"&amp;EOMONTH(V$1,1)+1
)
-V294</f>
        <v>-4790.51</v>
      </c>
      <c r="W267" s="186">
        <f>SUMIFS(
  tb_caixa[Saldo],
  tb_caixa[Empresa], $B294,
  tb_caixa[Dia], "&gt;="&amp;EDATE(W$1,1),
  tb_caixa[Dia], "&lt;"&amp;EOMONTH(W$1,1)+1
)
-W294</f>
        <v>0</v>
      </c>
      <c r="X267" s="186">
        <f>SUMIFS(
  tb_caixa[Saldo],
  tb_caixa[Empresa], $B294,
  tb_caixa[Dia], "&gt;="&amp;EDATE(X$1,1),
  tb_caixa[Dia], "&lt;"&amp;EOMONTH(X$1,1)+1
)
-X294</f>
        <v>0</v>
      </c>
      <c r="Y267" s="186">
        <f>SUMIFS(
  tb_caixa[Saldo],
  tb_caixa[Empresa], $B294,
  tb_caixa[Dia], "&gt;="&amp;EDATE(Y$1,1),
  tb_caixa[Dia], "&lt;"&amp;EOMONTH(Y$1,1)+1
)
-Y294</f>
        <v>0</v>
      </c>
      <c r="Z267" s="186">
        <f>SUMIFS(
  tb_caixa[Saldo],
  tb_caixa[Empresa], $B294,
  tb_caixa[Dia], "&gt;="&amp;EDATE(Z$1,1),
  tb_caixa[Dia], "&lt;"&amp;EOMONTH(Z$1,1)+1
)
-Z294</f>
        <v>0</v>
      </c>
      <c r="AA267" s="186">
        <f>SUMIFS(
  tb_caixa[Saldo],
  tb_caixa[Empresa], $B294,
  tb_caixa[Dia], "&gt;="&amp;EDATE(AA$1,1),
  tb_caixa[Dia], "&lt;"&amp;EOMONTH(AA$1,1)+1
)
-AA294</f>
        <v>0</v>
      </c>
      <c r="AC267" s="178">
        <f t="shared" si="55"/>
        <v>-44606.370000000024</v>
      </c>
      <c r="AE267" s="178">
        <f t="shared" si="56"/>
        <v>-49396.880000000026</v>
      </c>
    </row>
    <row r="268" spans="1:31" hidden="1" outlineLevel="1" x14ac:dyDescent="0.25">
      <c r="A268" s="346" t="str">
        <f t="shared" si="54"/>
        <v>4.GRA.</v>
      </c>
      <c r="B268" t="s">
        <v>9</v>
      </c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>
        <f>SUMIFS(
  tb_caixa[Saldo],
  tb_caixa[Empresa], $B295,
  tb_caixa[Dia], "&gt;="&amp;EDATE(P$1,1),
  tb_caixa[Dia], "&lt;"&amp;EOMONTH(P$1,1)+1
)
-P295</f>
        <v>662055.41</v>
      </c>
      <c r="Q268" s="186">
        <f>SUMIFS(
  tb_caixa[Saldo],
  tb_caixa[Empresa], $B295,
  tb_caixa[Dia], "&gt;="&amp;EDATE(Q$1,1),
  tb_caixa[Dia], "&lt;"&amp;EOMONTH(Q$1,1)+1
)
-Q295</f>
        <v>-2300.5899999999674</v>
      </c>
      <c r="R268" s="186">
        <f>SUMIFS(
  tb_caixa[Saldo],
  tb_caixa[Empresa], $B295,
  tb_caixa[Dia], "&gt;="&amp;EDATE(R$1,1),
  tb_caixa[Dia], "&lt;"&amp;EOMONTH(R$1,1)+1
)
-R295</f>
        <v>-572679.64000000013</v>
      </c>
      <c r="S268" s="186">
        <f>SUMIFS(
  tb_caixa[Saldo],
  tb_caixa[Empresa], $B295,
  tb_caixa[Dia], "&gt;="&amp;EDATE(S$1,1),
  tb_caixa[Dia], "&lt;"&amp;EOMONTH(S$1,1)+1
)
-S295</f>
        <v>278644.45</v>
      </c>
      <c r="T268" s="186">
        <f>SUMIFS(
  tb_caixa[Saldo],
  tb_caixa[Empresa], $B295,
  tb_caixa[Dia], "&gt;="&amp;EDATE(T$1,1),
  tb_caixa[Dia], "&lt;"&amp;EOMONTH(T$1,1)+1
)
-T295</f>
        <v>1451511.85</v>
      </c>
      <c r="U268" s="186">
        <f>SUMIFS(
  tb_caixa[Saldo],
  tb_caixa[Empresa], $B295,
  tb_caixa[Dia], "&gt;="&amp;EDATE(U$1,1),
  tb_caixa[Dia], "&lt;"&amp;EOMONTH(U$1,1)+1
)
-U295</f>
        <v>-2057714.58</v>
      </c>
      <c r="V268" s="186">
        <f>SUMIFS(
  tb_caixa[Saldo],
  tb_caixa[Empresa], $B295,
  tb_caixa[Dia], "&gt;="&amp;EDATE(V$1,1),
  tb_caixa[Dia], "&lt;"&amp;EOMONTH(V$1,1)+1
)
-V295</f>
        <v>-30953.41</v>
      </c>
      <c r="W268" s="186">
        <f>SUMIFS(
  tb_caixa[Saldo],
  tb_caixa[Empresa], $B295,
  tb_caixa[Dia], "&gt;="&amp;EDATE(W$1,1),
  tb_caixa[Dia], "&lt;"&amp;EOMONTH(W$1,1)+1
)
-W295</f>
        <v>0</v>
      </c>
      <c r="X268" s="186">
        <f>SUMIFS(
  tb_caixa[Saldo],
  tb_caixa[Empresa], $B295,
  tb_caixa[Dia], "&gt;="&amp;EDATE(X$1,1),
  tb_caixa[Dia], "&lt;"&amp;EOMONTH(X$1,1)+1
)
-X295</f>
        <v>0</v>
      </c>
      <c r="Y268" s="186">
        <f>SUMIFS(
  tb_caixa[Saldo],
  tb_caixa[Empresa], $B295,
  tb_caixa[Dia], "&gt;="&amp;EDATE(Y$1,1),
  tb_caixa[Dia], "&lt;"&amp;EOMONTH(Y$1,1)+1
)
-Y295</f>
        <v>0</v>
      </c>
      <c r="Z268" s="186">
        <f>SUMIFS(
  tb_caixa[Saldo],
  tb_caixa[Empresa], $B295,
  tb_caixa[Dia], "&gt;="&amp;EDATE(Z$1,1),
  tb_caixa[Dia], "&lt;"&amp;EOMONTH(Z$1,1)+1
)
-Z295</f>
        <v>0</v>
      </c>
      <c r="AA268" s="186">
        <f>SUMIFS(
  tb_caixa[Saldo],
  tb_caixa[Empresa], $B295,
  tb_caixa[Dia], "&gt;="&amp;EDATE(AA$1,1),
  tb_caixa[Dia], "&lt;"&amp;EOMONTH(AA$1,1)+1
)
-AA295</f>
        <v>0</v>
      </c>
      <c r="AC268" s="178">
        <f t="shared" si="55"/>
        <v>-240483.10000000009</v>
      </c>
      <c r="AE268" s="178">
        <f t="shared" si="56"/>
        <v>-271436.51000000007</v>
      </c>
    </row>
    <row r="269" spans="1:31" hidden="1" outlineLevel="1" x14ac:dyDescent="0.25">
      <c r="A269" s="346" t="str">
        <f t="shared" si="54"/>
        <v>4.INC.</v>
      </c>
      <c r="B269" t="s">
        <v>481</v>
      </c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>
        <f>SUMIFS(
  tb_caixa[Saldo],
  tb_caixa[Empresa], $B296,
  tb_caixa[Dia], "&gt;="&amp;EDATE(P$1,1),
  tb_caixa[Dia], "&lt;"&amp;EOMONTH(P$1,1)+1
)
-P296</f>
        <v>553.13999999999942</v>
      </c>
      <c r="Q269" s="186">
        <f>SUMIFS(
  tb_caixa[Saldo],
  tb_caixa[Empresa], $B296,
  tb_caixa[Dia], "&gt;="&amp;EDATE(Q$1,1),
  tb_caixa[Dia], "&lt;"&amp;EOMONTH(Q$1,1)+1
)
-Q296</f>
        <v>32298.13</v>
      </c>
      <c r="R269" s="186">
        <f>SUMIFS(
  tb_caixa[Saldo],
  tb_caixa[Empresa], $B296,
  tb_caixa[Dia], "&gt;="&amp;EDATE(R$1,1),
  tb_caixa[Dia], "&lt;"&amp;EOMONTH(R$1,1)+1
)
-R296</f>
        <v>-21768.91</v>
      </c>
      <c r="S269" s="186">
        <f>SUMIFS(
  tb_caixa[Saldo],
  tb_caixa[Empresa], $B296,
  tb_caixa[Dia], "&gt;="&amp;EDATE(S$1,1),
  tb_caixa[Dia], "&lt;"&amp;EOMONTH(S$1,1)+1
)
-S296</f>
        <v>-874.31999999999971</v>
      </c>
      <c r="T269" s="186">
        <f>SUMIFS(
  tb_caixa[Saldo],
  tb_caixa[Empresa], $B296,
  tb_caixa[Dia], "&gt;="&amp;EDATE(T$1,1),
  tb_caixa[Dia], "&lt;"&amp;EOMONTH(T$1,1)+1
)
-T296</f>
        <v>-7116.6600000000035</v>
      </c>
      <c r="U269" s="186">
        <f>SUMIFS(
  tb_caixa[Saldo],
  tb_caixa[Empresa], $B296,
  tb_caixa[Dia], "&gt;="&amp;EDATE(U$1,1),
  tb_caixa[Dia], "&lt;"&amp;EOMONTH(U$1,1)+1
)
-U296</f>
        <v>19109</v>
      </c>
      <c r="V269" s="186">
        <f>SUMIFS(
  tb_caixa[Saldo],
  tb_caixa[Empresa], $B296,
  tb_caixa[Dia], "&gt;="&amp;EDATE(V$1,1),
  tb_caixa[Dia], "&lt;"&amp;EOMONTH(V$1,1)+1
)
-V296</f>
        <v>16578.120000000003</v>
      </c>
      <c r="W269" s="186">
        <f>SUMIFS(
  tb_caixa[Saldo],
  tb_caixa[Empresa], $B296,
  tb_caixa[Dia], "&gt;="&amp;EDATE(W$1,1),
  tb_caixa[Dia], "&lt;"&amp;EOMONTH(W$1,1)+1
)
-W296</f>
        <v>0</v>
      </c>
      <c r="X269" s="186">
        <f>SUMIFS(
  tb_caixa[Saldo],
  tb_caixa[Empresa], $B296,
  tb_caixa[Dia], "&gt;="&amp;EDATE(X$1,1),
  tb_caixa[Dia], "&lt;"&amp;EOMONTH(X$1,1)+1
)
-X296</f>
        <v>0</v>
      </c>
      <c r="Y269" s="186">
        <f>SUMIFS(
  tb_caixa[Saldo],
  tb_caixa[Empresa], $B296,
  tb_caixa[Dia], "&gt;="&amp;EDATE(Y$1,1),
  tb_caixa[Dia], "&lt;"&amp;EOMONTH(Y$1,1)+1
)
-Y296</f>
        <v>0</v>
      </c>
      <c r="Z269" s="186">
        <f>SUMIFS(
  tb_caixa[Saldo],
  tb_caixa[Empresa], $B296,
  tb_caixa[Dia], "&gt;="&amp;EDATE(Z$1,1),
  tb_caixa[Dia], "&lt;"&amp;EOMONTH(Z$1,1)+1
)
-Z296</f>
        <v>0</v>
      </c>
      <c r="AA269" s="186">
        <f>SUMIFS(
  tb_caixa[Saldo],
  tb_caixa[Empresa], $B296,
  tb_caixa[Dia], "&gt;="&amp;EDATE(AA$1,1),
  tb_caixa[Dia], "&lt;"&amp;EOMONTH(AA$1,1)+1
)
-AA296</f>
        <v>0</v>
      </c>
      <c r="AC269" s="178">
        <f t="shared" si="55"/>
        <v>22200.38</v>
      </c>
      <c r="AE269" s="178">
        <f t="shared" si="56"/>
        <v>38778.5</v>
      </c>
    </row>
    <row r="270" spans="1:31" hidden="1" outlineLevel="1" x14ac:dyDescent="0.25">
      <c r="A270" s="346" t="str">
        <f t="shared" si="54"/>
        <v>4.JRP.</v>
      </c>
      <c r="B270" t="s">
        <v>677</v>
      </c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>
        <f>SUMIFS(
  tb_caixa[Saldo],
  tb_caixa[Empresa], $B297,
  tb_caixa[Dia], "&gt;="&amp;EDATE(P$1,1),
  tb_caixa[Dia], "&lt;"&amp;EOMONTH(P$1,1)+1
)
-P297</f>
        <v>-138.00000000000003</v>
      </c>
      <c r="Q270" s="186">
        <f>SUMIFS(
  tb_caixa[Saldo],
  tb_caixa[Empresa], $B297,
  tb_caixa[Dia], "&gt;="&amp;EDATE(Q$1,1),
  tb_caixa[Dia], "&lt;"&amp;EOMONTH(Q$1,1)+1
)
-Q297</f>
        <v>421.69999999999993</v>
      </c>
      <c r="R270" s="186">
        <f>SUMIFS(
  tb_caixa[Saldo],
  tb_caixa[Empresa], $B297,
  tb_caixa[Dia], "&gt;="&amp;EDATE(R$1,1),
  tb_caixa[Dia], "&lt;"&amp;EOMONTH(R$1,1)+1
)
-R297</f>
        <v>-148.22999999999996</v>
      </c>
      <c r="S270" s="186">
        <f>SUMIFS(
  tb_caixa[Saldo],
  tb_caixa[Empresa], $B297,
  tb_caixa[Dia], "&gt;="&amp;EDATE(S$1,1),
  tb_caixa[Dia], "&lt;"&amp;EOMONTH(S$1,1)+1
)
-S297</f>
        <v>251.32</v>
      </c>
      <c r="T270" s="186">
        <f>SUMIFS(
  tb_caixa[Saldo],
  tb_caixa[Empresa], $B297,
  tb_caixa[Dia], "&gt;="&amp;EDATE(T$1,1),
  tb_caixa[Dia], "&lt;"&amp;EOMONTH(T$1,1)+1
)
-T297</f>
        <v>2886.88</v>
      </c>
      <c r="U270" s="186">
        <f>SUMIFS(
  tb_caixa[Saldo],
  tb_caixa[Empresa], $B297,
  tb_caixa[Dia], "&gt;="&amp;EDATE(U$1,1),
  tb_caixa[Dia], "&lt;"&amp;EOMONTH(U$1,1)+1
)
-U297</f>
        <v>66097.19</v>
      </c>
      <c r="V270" s="186">
        <f>SUMIFS(
  tb_caixa[Saldo],
  tb_caixa[Empresa], $B297,
  tb_caixa[Dia], "&gt;="&amp;EDATE(V$1,1),
  tb_caixa[Dia], "&lt;"&amp;EOMONTH(V$1,1)+1
)
-V297</f>
        <v>-69713.08</v>
      </c>
      <c r="W270" s="186">
        <f>SUMIFS(
  tb_caixa[Saldo],
  tb_caixa[Empresa], $B297,
  tb_caixa[Dia], "&gt;="&amp;EDATE(W$1,1),
  tb_caixa[Dia], "&lt;"&amp;EOMONTH(W$1,1)+1
)
-W297</f>
        <v>0</v>
      </c>
      <c r="X270" s="186">
        <f>SUMIFS(
  tb_caixa[Saldo],
  tb_caixa[Empresa], $B297,
  tb_caixa[Dia], "&gt;="&amp;EDATE(X$1,1),
  tb_caixa[Dia], "&lt;"&amp;EOMONTH(X$1,1)+1
)
-X297</f>
        <v>0</v>
      </c>
      <c r="Y270" s="186">
        <f>SUMIFS(
  tb_caixa[Saldo],
  tb_caixa[Empresa], $B297,
  tb_caixa[Dia], "&gt;="&amp;EDATE(Y$1,1),
  tb_caixa[Dia], "&lt;"&amp;EOMONTH(Y$1,1)+1
)
-Y297</f>
        <v>0</v>
      </c>
      <c r="Z270" s="186">
        <f>SUMIFS(
  tb_caixa[Saldo],
  tb_caixa[Empresa], $B297,
  tb_caixa[Dia], "&gt;="&amp;EDATE(Z$1,1),
  tb_caixa[Dia], "&lt;"&amp;EOMONTH(Z$1,1)+1
)
-Z297</f>
        <v>0</v>
      </c>
      <c r="AA270" s="186">
        <f>SUMIFS(
  tb_caixa[Saldo],
  tb_caixa[Empresa], $B297,
  tb_caixa[Dia], "&gt;="&amp;EDATE(AA$1,1),
  tb_caixa[Dia], "&lt;"&amp;EOMONTH(AA$1,1)+1
)
-AA297</f>
        <v>0</v>
      </c>
      <c r="AC270" s="178">
        <f t="shared" si="55"/>
        <v>69370.86</v>
      </c>
      <c r="AE270" s="178">
        <f t="shared" si="56"/>
        <v>-342.22000000000116</v>
      </c>
    </row>
    <row r="271" spans="1:31" hidden="1" outlineLevel="1" x14ac:dyDescent="0.25">
      <c r="A271" s="346" t="str">
        <f t="shared" si="54"/>
        <v>4.JSP.</v>
      </c>
      <c r="B271" t="s">
        <v>813</v>
      </c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>
        <f>SUMIFS(
  tb_caixa[Saldo],
  tb_caixa[Empresa], $B298,
  tb_caixa[Dia], "&gt;="&amp;EDATE(P$1,1),
  tb_caixa[Dia], "&lt;"&amp;EOMONTH(P$1,1)+1
)
-P298</f>
        <v>-143.36000000000001</v>
      </c>
      <c r="Q271" s="186">
        <f>SUMIFS(
  tb_caixa[Saldo],
  tb_caixa[Empresa], $B298,
  tb_caixa[Dia], "&gt;="&amp;EDATE(Q$1,1),
  tb_caixa[Dia], "&lt;"&amp;EOMONTH(Q$1,1)+1
)
-Q298</f>
        <v>-41.8</v>
      </c>
      <c r="R271" s="186">
        <f>SUMIFS(
  tb_caixa[Saldo],
  tb_caixa[Empresa], $B298,
  tb_caixa[Dia], "&gt;="&amp;EDATE(R$1,1),
  tb_caixa[Dia], "&lt;"&amp;EOMONTH(R$1,1)+1
)
-R298</f>
        <v>0</v>
      </c>
      <c r="S271" s="186">
        <f>SUMIFS(
  tb_caixa[Saldo],
  tb_caixa[Empresa], $B298,
  tb_caixa[Dia], "&gt;="&amp;EDATE(S$1,1),
  tb_caixa[Dia], "&lt;"&amp;EOMONTH(S$1,1)+1
)
-S298</f>
        <v>0</v>
      </c>
      <c r="T271" s="186">
        <f>SUMIFS(
  tb_caixa[Saldo],
  tb_caixa[Empresa], $B298,
  tb_caixa[Dia], "&gt;="&amp;EDATE(T$1,1),
  tb_caixa[Dia], "&lt;"&amp;EOMONTH(T$1,1)+1
)
-T298</f>
        <v>0</v>
      </c>
      <c r="U271" s="186">
        <f>SUMIFS(
  tb_caixa[Saldo],
  tb_caixa[Empresa], $B298,
  tb_caixa[Dia], "&gt;="&amp;EDATE(U$1,1),
  tb_caixa[Dia], "&lt;"&amp;EOMONTH(U$1,1)+1
)
-U298</f>
        <v>19496.11</v>
      </c>
      <c r="V271" s="186">
        <f>SUMIFS(
  tb_caixa[Saldo],
  tb_caixa[Empresa], $B298,
  tb_caixa[Dia], "&gt;="&amp;EDATE(V$1,1),
  tb_caixa[Dia], "&lt;"&amp;EOMONTH(V$1,1)+1
)
-V298</f>
        <v>-19496.11</v>
      </c>
      <c r="W271" s="186">
        <f>SUMIFS(
  tb_caixa[Saldo],
  tb_caixa[Empresa], $B298,
  tb_caixa[Dia], "&gt;="&amp;EDATE(W$1,1),
  tb_caixa[Dia], "&lt;"&amp;EOMONTH(W$1,1)+1
)
-W298</f>
        <v>0</v>
      </c>
      <c r="X271" s="186">
        <f>SUMIFS(
  tb_caixa[Saldo],
  tb_caixa[Empresa], $B298,
  tb_caixa[Dia], "&gt;="&amp;EDATE(X$1,1),
  tb_caixa[Dia], "&lt;"&amp;EOMONTH(X$1,1)+1
)
-X298</f>
        <v>0</v>
      </c>
      <c r="Y271" s="186">
        <f>SUMIFS(
  tb_caixa[Saldo],
  tb_caixa[Empresa], $B298,
  tb_caixa[Dia], "&gt;="&amp;EDATE(Y$1,1),
  tb_caixa[Dia], "&lt;"&amp;EOMONTH(Y$1,1)+1
)
-Y298</f>
        <v>0</v>
      </c>
      <c r="Z271" s="186">
        <f>SUMIFS(
  tb_caixa[Saldo],
  tb_caixa[Empresa], $B298,
  tb_caixa[Dia], "&gt;="&amp;EDATE(Z$1,1),
  tb_caixa[Dia], "&lt;"&amp;EOMONTH(Z$1,1)+1
)
-Z298</f>
        <v>0</v>
      </c>
      <c r="AA271" s="186">
        <f>SUMIFS(
  tb_caixa[Saldo],
  tb_caixa[Empresa], $B298,
  tb_caixa[Dia], "&gt;="&amp;EDATE(AA$1,1),
  tb_caixa[Dia], "&lt;"&amp;EOMONTH(AA$1,1)+1
)
-AA298</f>
        <v>0</v>
      </c>
      <c r="AC271" s="178">
        <f t="shared" si="55"/>
        <v>19310.95</v>
      </c>
      <c r="AE271" s="178">
        <f t="shared" si="56"/>
        <v>-185.15999999999985</v>
      </c>
    </row>
    <row r="272" spans="1:31" hidden="1" outlineLevel="1" x14ac:dyDescent="0.25">
      <c r="A272" s="346" t="str">
        <f t="shared" si="54"/>
        <v>4.LCG.</v>
      </c>
      <c r="B272" t="s">
        <v>482</v>
      </c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>
        <f>SUMIFS(
  tb_caixa[Saldo],
  tb_caixa[Empresa], $B299,
  tb_caixa[Dia], "&gt;="&amp;EDATE(P$1,1),
  tb_caixa[Dia], "&lt;"&amp;EOMONTH(P$1,1)+1
)
-P299</f>
        <v>-26018.950000000004</v>
      </c>
      <c r="Q272" s="186">
        <f>SUMIFS(
  tb_caixa[Saldo],
  tb_caixa[Empresa], $B299,
  tb_caixa[Dia], "&gt;="&amp;EDATE(Q$1,1),
  tb_caixa[Dia], "&lt;"&amp;EOMONTH(Q$1,1)+1
)
-Q299</f>
        <v>-1009.3499999999995</v>
      </c>
      <c r="R272" s="186">
        <f>SUMIFS(
  tb_caixa[Saldo],
  tb_caixa[Empresa], $B299,
  tb_caixa[Dia], "&gt;="&amp;EDATE(R$1,1),
  tb_caixa[Dia], "&lt;"&amp;EOMONTH(R$1,1)+1
)
-R299</f>
        <v>-651.46</v>
      </c>
      <c r="S272" s="186">
        <f>SUMIFS(
  tb_caixa[Saldo],
  tb_caixa[Empresa], $B299,
  tb_caixa[Dia], "&gt;="&amp;EDATE(S$1,1),
  tb_caixa[Dia], "&lt;"&amp;EOMONTH(S$1,1)+1
)
-S299</f>
        <v>-2511.1900000000005</v>
      </c>
      <c r="T272" s="186">
        <f>SUMIFS(
  tb_caixa[Saldo],
  tb_caixa[Empresa], $B299,
  tb_caixa[Dia], "&gt;="&amp;EDATE(T$1,1),
  tb_caixa[Dia], "&lt;"&amp;EOMONTH(T$1,1)+1
)
-T299</f>
        <v>-8233.7699999999986</v>
      </c>
      <c r="U272" s="186">
        <f>SUMIFS(
  tb_caixa[Saldo],
  tb_caixa[Empresa], $B299,
  tb_caixa[Dia], "&gt;="&amp;EDATE(U$1,1),
  tb_caixa[Dia], "&lt;"&amp;EOMONTH(U$1,1)+1
)
-U299</f>
        <v>15557.72</v>
      </c>
      <c r="V272" s="186">
        <f>SUMIFS(
  tb_caixa[Saldo],
  tb_caixa[Empresa], $B299,
  tb_caixa[Dia], "&gt;="&amp;EDATE(V$1,1),
  tb_caixa[Dia], "&lt;"&amp;EOMONTH(V$1,1)+1
)
-V299</f>
        <v>-3036.6000000000004</v>
      </c>
      <c r="W272" s="186">
        <f>SUMIFS(
  tb_caixa[Saldo],
  tb_caixa[Empresa], $B299,
  tb_caixa[Dia], "&gt;="&amp;EDATE(W$1,1),
  tb_caixa[Dia], "&lt;"&amp;EOMONTH(W$1,1)+1
)
-W299</f>
        <v>0</v>
      </c>
      <c r="X272" s="186">
        <f>SUMIFS(
  tb_caixa[Saldo],
  tb_caixa[Empresa], $B299,
  tb_caixa[Dia], "&gt;="&amp;EDATE(X$1,1),
  tb_caixa[Dia], "&lt;"&amp;EOMONTH(X$1,1)+1
)
-X299</f>
        <v>0</v>
      </c>
      <c r="Y272" s="186">
        <f>SUMIFS(
  tb_caixa[Saldo],
  tb_caixa[Empresa], $B299,
  tb_caixa[Dia], "&gt;="&amp;EDATE(Y$1,1),
  tb_caixa[Dia], "&lt;"&amp;EOMONTH(Y$1,1)+1
)
-Y299</f>
        <v>0</v>
      </c>
      <c r="Z272" s="186">
        <f>SUMIFS(
  tb_caixa[Saldo],
  tb_caixa[Empresa], $B299,
  tb_caixa[Dia], "&gt;="&amp;EDATE(Z$1,1),
  tb_caixa[Dia], "&lt;"&amp;EOMONTH(Z$1,1)+1
)
-Z299</f>
        <v>0</v>
      </c>
      <c r="AA272" s="186">
        <f>SUMIFS(
  tb_caixa[Saldo],
  tb_caixa[Empresa], $B299,
  tb_caixa[Dia], "&gt;="&amp;EDATE(AA$1,1),
  tb_caixa[Dia], "&lt;"&amp;EOMONTH(AA$1,1)+1
)
-AA299</f>
        <v>0</v>
      </c>
      <c r="AC272" s="178">
        <f t="shared" si="55"/>
        <v>-22867</v>
      </c>
      <c r="AE272" s="178">
        <f t="shared" si="56"/>
        <v>-25903.599999999999</v>
      </c>
    </row>
    <row r="273" spans="1:31" hidden="1" outlineLevel="1" x14ac:dyDescent="0.25">
      <c r="A273" s="346" t="str">
        <f t="shared" si="54"/>
        <v>4.LUC.</v>
      </c>
      <c r="B273" t="s">
        <v>10</v>
      </c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>
        <f>SUMIFS(
  tb_caixa[Saldo],
  tb_caixa[Empresa], $B300,
  tb_caixa[Dia], "&gt;="&amp;EDATE(P$1,1),
  tb_caixa[Dia], "&lt;"&amp;EOMONTH(P$1,1)+1
)
-P300</f>
        <v>63337.72</v>
      </c>
      <c r="Q273" s="186">
        <f>SUMIFS(
  tb_caixa[Saldo],
  tb_caixa[Empresa], $B300,
  tb_caixa[Dia], "&gt;="&amp;EDATE(Q$1,1),
  tb_caixa[Dia], "&lt;"&amp;EOMONTH(Q$1,1)+1
)
-Q300</f>
        <v>-124607.23999999999</v>
      </c>
      <c r="R273" s="186">
        <f>SUMIFS(
  tb_caixa[Saldo],
  tb_caixa[Empresa], $B300,
  tb_caixa[Dia], "&gt;="&amp;EDATE(R$1,1),
  tb_caixa[Dia], "&lt;"&amp;EOMONTH(R$1,1)+1
)
-R300</f>
        <v>3312.0999999999995</v>
      </c>
      <c r="S273" s="186">
        <f>SUMIFS(
  tb_caixa[Saldo],
  tb_caixa[Empresa], $B300,
  tb_caixa[Dia], "&gt;="&amp;EDATE(S$1,1),
  tb_caixa[Dia], "&lt;"&amp;EOMONTH(S$1,1)+1
)
-S300</f>
        <v>-11280.66</v>
      </c>
      <c r="T273" s="186">
        <f>SUMIFS(
  tb_caixa[Saldo],
  tb_caixa[Empresa], $B300,
  tb_caixa[Dia], "&gt;="&amp;EDATE(T$1,1),
  tb_caixa[Dia], "&lt;"&amp;EOMONTH(T$1,1)+1
)
-T300</f>
        <v>29461.620000000003</v>
      </c>
      <c r="U273" s="186">
        <f>SUMIFS(
  tb_caixa[Saldo],
  tb_caixa[Empresa], $B300,
  tb_caixa[Dia], "&gt;="&amp;EDATE(U$1,1),
  tb_caixa[Dia], "&lt;"&amp;EOMONTH(U$1,1)+1
)
-U300</f>
        <v>186595.62999999998</v>
      </c>
      <c r="V273" s="186">
        <f>SUMIFS(
  tb_caixa[Saldo],
  tb_caixa[Empresa], $B300,
  tb_caixa[Dia], "&gt;="&amp;EDATE(V$1,1),
  tb_caixa[Dia], "&lt;"&amp;EOMONTH(V$1,1)+1
)
-V300</f>
        <v>-215714.90999999997</v>
      </c>
      <c r="W273" s="186">
        <f>SUMIFS(
  tb_caixa[Saldo],
  tb_caixa[Empresa], $B300,
  tb_caixa[Dia], "&gt;="&amp;EDATE(W$1,1),
  tb_caixa[Dia], "&lt;"&amp;EOMONTH(W$1,1)+1
)
-W300</f>
        <v>0</v>
      </c>
      <c r="X273" s="186">
        <f>SUMIFS(
  tb_caixa[Saldo],
  tb_caixa[Empresa], $B300,
  tb_caixa[Dia], "&gt;="&amp;EDATE(X$1,1),
  tb_caixa[Dia], "&lt;"&amp;EOMONTH(X$1,1)+1
)
-X300</f>
        <v>0</v>
      </c>
      <c r="Y273" s="186">
        <f>SUMIFS(
  tb_caixa[Saldo],
  tb_caixa[Empresa], $B300,
  tb_caixa[Dia], "&gt;="&amp;EDATE(Y$1,1),
  tb_caixa[Dia], "&lt;"&amp;EOMONTH(Y$1,1)+1
)
-Y300</f>
        <v>0</v>
      </c>
      <c r="Z273" s="186">
        <f>SUMIFS(
  tb_caixa[Saldo],
  tb_caixa[Empresa], $B300,
  tb_caixa[Dia], "&gt;="&amp;EDATE(Z$1,1),
  tb_caixa[Dia], "&lt;"&amp;EOMONTH(Z$1,1)+1
)
-Z300</f>
        <v>0</v>
      </c>
      <c r="AA273" s="186">
        <f>SUMIFS(
  tb_caixa[Saldo],
  tb_caixa[Empresa], $B300,
  tb_caixa[Dia], "&gt;="&amp;EDATE(AA$1,1),
  tb_caixa[Dia], "&lt;"&amp;EOMONTH(AA$1,1)+1
)
-AA300</f>
        <v>0</v>
      </c>
      <c r="AC273" s="178">
        <f t="shared" si="55"/>
        <v>146819.16999999998</v>
      </c>
      <c r="AE273" s="178">
        <f t="shared" si="56"/>
        <v>-68895.739999999991</v>
      </c>
    </row>
    <row r="274" spans="1:31" hidden="1" outlineLevel="1" x14ac:dyDescent="0.25">
      <c r="A274" s="346" t="str">
        <f t="shared" si="54"/>
        <v>4.LUG.</v>
      </c>
      <c r="B274" t="s">
        <v>889</v>
      </c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>
        <f>SUMIFS(
  tb_caixa[Saldo],
  tb_caixa[Empresa], $B301,
  tb_caixa[Dia], "&gt;="&amp;EDATE(P$1,1),
  tb_caixa[Dia], "&lt;"&amp;EOMONTH(P$1,1)+1
)
-P301</f>
        <v>293.73</v>
      </c>
      <c r="Q274" s="186">
        <f>SUMIFS(
  tb_caixa[Saldo],
  tb_caixa[Empresa], $B301,
  tb_caixa[Dia], "&gt;="&amp;EDATE(Q$1,1),
  tb_caixa[Dia], "&lt;"&amp;EOMONTH(Q$1,1)+1
)
-Q301</f>
        <v>673.21</v>
      </c>
      <c r="R274" s="186">
        <f>SUMIFS(
  tb_caixa[Saldo],
  tb_caixa[Empresa], $B301,
  tb_caixa[Dia], "&gt;="&amp;EDATE(R$1,1),
  tb_caixa[Dia], "&lt;"&amp;EOMONTH(R$1,1)+1
)
-R301</f>
        <v>-1507.88</v>
      </c>
      <c r="S274" s="186">
        <f>SUMIFS(
  tb_caixa[Saldo],
  tb_caixa[Empresa], $B301,
  tb_caixa[Dia], "&gt;="&amp;EDATE(S$1,1),
  tb_caixa[Dia], "&lt;"&amp;EOMONTH(S$1,1)+1
)
-S301</f>
        <v>229.76</v>
      </c>
      <c r="T274" s="186">
        <f>SUMIFS(
  tb_caixa[Saldo],
  tb_caixa[Empresa], $B301,
  tb_caixa[Dia], "&gt;="&amp;EDATE(T$1,1),
  tb_caixa[Dia], "&lt;"&amp;EOMONTH(T$1,1)+1
)
-T301</f>
        <v>532.26</v>
      </c>
      <c r="U274" s="186">
        <f>SUMIFS(
  tb_caixa[Saldo],
  tb_caixa[Empresa], $B301,
  tb_caixa[Dia], "&gt;="&amp;EDATE(U$1,1),
  tb_caixa[Dia], "&lt;"&amp;EOMONTH(U$1,1)+1
)
-U301</f>
        <v>2231.29</v>
      </c>
      <c r="V274" s="186">
        <f>SUMIFS(
  tb_caixa[Saldo],
  tb_caixa[Empresa], $B301,
  tb_caixa[Dia], "&gt;="&amp;EDATE(V$1,1),
  tb_caixa[Dia], "&lt;"&amp;EOMONTH(V$1,1)+1
)
-V301</f>
        <v>-3219.67</v>
      </c>
      <c r="W274" s="186">
        <f>SUMIFS(
  tb_caixa[Saldo],
  tb_caixa[Empresa], $B301,
  tb_caixa[Dia], "&gt;="&amp;EDATE(W$1,1),
  tb_caixa[Dia], "&lt;"&amp;EOMONTH(W$1,1)+1
)
-W301</f>
        <v>0</v>
      </c>
      <c r="X274" s="186">
        <f>SUMIFS(
  tb_caixa[Saldo],
  tb_caixa[Empresa], $B301,
  tb_caixa[Dia], "&gt;="&amp;EDATE(X$1,1),
  tb_caixa[Dia], "&lt;"&amp;EOMONTH(X$1,1)+1
)
-X301</f>
        <v>0</v>
      </c>
      <c r="Y274" s="186">
        <f>SUMIFS(
  tb_caixa[Saldo],
  tb_caixa[Empresa], $B301,
  tb_caixa[Dia], "&gt;="&amp;EDATE(Y$1,1),
  tb_caixa[Dia], "&lt;"&amp;EOMONTH(Y$1,1)+1
)
-Y301</f>
        <v>0</v>
      </c>
      <c r="Z274" s="186">
        <f>SUMIFS(
  tb_caixa[Saldo],
  tb_caixa[Empresa], $B301,
  tb_caixa[Dia], "&gt;="&amp;EDATE(Z$1,1),
  tb_caixa[Dia], "&lt;"&amp;EOMONTH(Z$1,1)+1
)
-Z301</f>
        <v>0</v>
      </c>
      <c r="AA274" s="186">
        <f>SUMIFS(
  tb_caixa[Saldo],
  tb_caixa[Empresa], $B301,
  tb_caixa[Dia], "&gt;="&amp;EDATE(AA$1,1),
  tb_caixa[Dia], "&lt;"&amp;EOMONTH(AA$1,1)+1
)
-AA301</f>
        <v>0</v>
      </c>
      <c r="AC274" s="178">
        <f t="shared" si="55"/>
        <v>2452.37</v>
      </c>
      <c r="AE274" s="178">
        <f t="shared" si="56"/>
        <v>-767.30000000000018</v>
      </c>
    </row>
    <row r="275" spans="1:31" hidden="1" outlineLevel="1" x14ac:dyDescent="0.25">
      <c r="A275" s="346" t="str">
        <f t="shared" si="54"/>
        <v>4.POM.</v>
      </c>
      <c r="B275" t="s">
        <v>11</v>
      </c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>
        <f>SUMIFS(
  tb_caixa[Saldo],
  tb_caixa[Empresa], $B302,
  tb_caixa[Dia], "&gt;="&amp;EDATE(P$1,1),
  tb_caixa[Dia], "&lt;"&amp;EOMONTH(P$1,1)+1
)
-P302</f>
        <v>41.930000000000064</v>
      </c>
      <c r="Q275" s="186">
        <f>SUMIFS(
  tb_caixa[Saldo],
  tb_caixa[Empresa], $B302,
  tb_caixa[Dia], "&gt;="&amp;EDATE(Q$1,1),
  tb_caixa[Dia], "&lt;"&amp;EOMONTH(Q$1,1)+1
)
-Q302</f>
        <v>68255.06</v>
      </c>
      <c r="R275" s="186">
        <f>SUMIFS(
  tb_caixa[Saldo],
  tb_caixa[Empresa], $B302,
  tb_caixa[Dia], "&gt;="&amp;EDATE(R$1,1),
  tb_caixa[Dia], "&lt;"&amp;EOMONTH(R$1,1)+1
)
-R302</f>
        <v>133420.24999999997</v>
      </c>
      <c r="S275" s="186">
        <f>SUMIFS(
  tb_caixa[Saldo],
  tb_caixa[Empresa], $B302,
  tb_caixa[Dia], "&gt;="&amp;EDATE(S$1,1),
  tb_caixa[Dia], "&lt;"&amp;EOMONTH(S$1,1)+1
)
-S302</f>
        <v>-194101.82999999996</v>
      </c>
      <c r="T275" s="186">
        <f>SUMIFS(
  tb_caixa[Saldo],
  tb_caixa[Empresa], $B302,
  tb_caixa[Dia], "&gt;="&amp;EDATE(T$1,1),
  tb_caixa[Dia], "&lt;"&amp;EOMONTH(T$1,1)+1
)
-T302</f>
        <v>887425.2</v>
      </c>
      <c r="U275" s="186">
        <f>SUMIFS(
  tb_caixa[Saldo],
  tb_caixa[Empresa], $B302,
  tb_caixa[Dia], "&gt;="&amp;EDATE(U$1,1),
  tb_caixa[Dia], "&lt;"&amp;EOMONTH(U$1,1)+1
)
-U302</f>
        <v>-597445.57999999996</v>
      </c>
      <c r="V275" s="186">
        <f>SUMIFS(
  tb_caixa[Saldo],
  tb_caixa[Empresa], $B302,
  tb_caixa[Dia], "&gt;="&amp;EDATE(V$1,1),
  tb_caixa[Dia], "&lt;"&amp;EOMONTH(V$1,1)+1
)
-V302</f>
        <v>-298411.48</v>
      </c>
      <c r="W275" s="186">
        <f>SUMIFS(
  tb_caixa[Saldo],
  tb_caixa[Empresa], $B302,
  tb_caixa[Dia], "&gt;="&amp;EDATE(W$1,1),
  tb_caixa[Dia], "&lt;"&amp;EOMONTH(W$1,1)+1
)
-W302</f>
        <v>0</v>
      </c>
      <c r="X275" s="186">
        <f>SUMIFS(
  tb_caixa[Saldo],
  tb_caixa[Empresa], $B302,
  tb_caixa[Dia], "&gt;="&amp;EDATE(X$1,1),
  tb_caixa[Dia], "&lt;"&amp;EOMONTH(X$1,1)+1
)
-X302</f>
        <v>0</v>
      </c>
      <c r="Y275" s="186">
        <f>SUMIFS(
  tb_caixa[Saldo],
  tb_caixa[Empresa], $B302,
  tb_caixa[Dia], "&gt;="&amp;EDATE(Y$1,1),
  tb_caixa[Dia], "&lt;"&amp;EOMONTH(Y$1,1)+1
)
-Y302</f>
        <v>0</v>
      </c>
      <c r="Z275" s="186">
        <f>SUMIFS(
  tb_caixa[Saldo],
  tb_caixa[Empresa], $B302,
  tb_caixa[Dia], "&gt;="&amp;EDATE(Z$1,1),
  tb_caixa[Dia], "&lt;"&amp;EOMONTH(Z$1,1)+1
)
-Z302</f>
        <v>0</v>
      </c>
      <c r="AA275" s="186">
        <f>SUMIFS(
  tb_caixa[Saldo],
  tb_caixa[Empresa], $B302,
  tb_caixa[Dia], "&gt;="&amp;EDATE(AA$1,1),
  tb_caixa[Dia], "&lt;"&amp;EOMONTH(AA$1,1)+1
)
-AA302</f>
        <v>0</v>
      </c>
      <c r="AC275" s="178">
        <f t="shared" si="55"/>
        <v>297595.03000000003</v>
      </c>
      <c r="AE275" s="178">
        <f t="shared" si="56"/>
        <v>-816.44999999995343</v>
      </c>
    </row>
    <row r="276" spans="1:31" hidden="1" outlineLevel="1" x14ac:dyDescent="0.25">
      <c r="A276" s="346" t="str">
        <f t="shared" si="54"/>
        <v>4.SAU.</v>
      </c>
      <c r="B276" t="s">
        <v>465</v>
      </c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>
        <f>SUMIFS(
  tb_caixa[Saldo],
  tb_caixa[Empresa], $B303,
  tb_caixa[Dia], "&gt;="&amp;EDATE(P$1,1),
  tb_caixa[Dia], "&lt;"&amp;EOMONTH(P$1,1)+1
)
-P303</f>
        <v>-147643.87</v>
      </c>
      <c r="Q276" s="186">
        <f>SUMIFS(
  tb_caixa[Saldo],
  tb_caixa[Empresa], $B303,
  tb_caixa[Dia], "&gt;="&amp;EDATE(Q$1,1),
  tb_caixa[Dia], "&lt;"&amp;EOMONTH(Q$1,1)+1
)
-Q303</f>
        <v>-43668.22</v>
      </c>
      <c r="R276" s="186">
        <f>SUMIFS(
  tb_caixa[Saldo],
  tb_caixa[Empresa], $B303,
  tb_caixa[Dia], "&gt;="&amp;EDATE(R$1,1),
  tb_caixa[Dia], "&lt;"&amp;EOMONTH(R$1,1)+1
)
-R303</f>
        <v>6764.3499999999995</v>
      </c>
      <c r="S276" s="186">
        <f>SUMIFS(
  tb_caixa[Saldo],
  tb_caixa[Empresa], $B303,
  tb_caixa[Dia], "&gt;="&amp;EDATE(S$1,1),
  tb_caixa[Dia], "&lt;"&amp;EOMONTH(S$1,1)+1
)
-S303</f>
        <v>-7222.6699999999992</v>
      </c>
      <c r="T276" s="186">
        <f>SUMIFS(
  tb_caixa[Saldo],
  tb_caixa[Empresa], $B303,
  tb_caixa[Dia], "&gt;="&amp;EDATE(T$1,1),
  tb_caixa[Dia], "&lt;"&amp;EOMONTH(T$1,1)+1
)
-T303</f>
        <v>208512.48</v>
      </c>
      <c r="U276" s="186">
        <f>SUMIFS(
  tb_caixa[Saldo],
  tb_caixa[Empresa], $B303,
  tb_caixa[Dia], "&gt;="&amp;EDATE(U$1,1),
  tb_caixa[Dia], "&lt;"&amp;EOMONTH(U$1,1)+1
)
-U303</f>
        <v>175869.34000000003</v>
      </c>
      <c r="V276" s="186">
        <f>SUMIFS(
  tb_caixa[Saldo],
  tb_caixa[Empresa], $B303,
  tb_caixa[Dia], "&gt;="&amp;EDATE(V$1,1),
  tb_caixa[Dia], "&lt;"&amp;EOMONTH(V$1,1)+1
)
-V303</f>
        <v>-386432.78</v>
      </c>
      <c r="W276" s="186">
        <f>SUMIFS(
  tb_caixa[Saldo],
  tb_caixa[Empresa], $B303,
  tb_caixa[Dia], "&gt;="&amp;EDATE(W$1,1),
  tb_caixa[Dia], "&lt;"&amp;EOMONTH(W$1,1)+1
)
-W303</f>
        <v>0</v>
      </c>
      <c r="X276" s="186">
        <f>SUMIFS(
  tb_caixa[Saldo],
  tb_caixa[Empresa], $B303,
  tb_caixa[Dia], "&gt;="&amp;EDATE(X$1,1),
  tb_caixa[Dia], "&lt;"&amp;EOMONTH(X$1,1)+1
)
-X303</f>
        <v>0</v>
      </c>
      <c r="Y276" s="186">
        <f>SUMIFS(
  tb_caixa[Saldo],
  tb_caixa[Empresa], $B303,
  tb_caixa[Dia], "&gt;="&amp;EDATE(Y$1,1),
  tb_caixa[Dia], "&lt;"&amp;EOMONTH(Y$1,1)+1
)
-Y303</f>
        <v>0</v>
      </c>
      <c r="Z276" s="186">
        <f>SUMIFS(
  tb_caixa[Saldo],
  tb_caixa[Empresa], $B303,
  tb_caixa[Dia], "&gt;="&amp;EDATE(Z$1,1),
  tb_caixa[Dia], "&lt;"&amp;EOMONTH(Z$1,1)+1
)
-Z303</f>
        <v>0</v>
      </c>
      <c r="AA276" s="186">
        <f>SUMIFS(
  tb_caixa[Saldo],
  tb_caixa[Empresa], $B303,
  tb_caixa[Dia], "&gt;="&amp;EDATE(AA$1,1),
  tb_caixa[Dia], "&lt;"&amp;EOMONTH(AA$1,1)+1
)
-AA303</f>
        <v>0</v>
      </c>
      <c r="AC276" s="178">
        <f t="shared" si="55"/>
        <v>192611.41000000003</v>
      </c>
      <c r="AE276" s="178">
        <f t="shared" si="56"/>
        <v>-193821.37</v>
      </c>
    </row>
    <row r="277" spans="1:31" hidden="1" outlineLevel="1" x14ac:dyDescent="0.25">
      <c r="A277" s="346" t="str">
        <f t="shared" si="54"/>
        <v>4.SBB.</v>
      </c>
      <c r="B277" t="s">
        <v>678</v>
      </c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>
        <f>SUMIFS(
  tb_caixa[Saldo],
  tb_caixa[Empresa], $B304,
  tb_caixa[Dia], "&gt;="&amp;EDATE(P$1,1),
  tb_caixa[Dia], "&lt;"&amp;EOMONTH(P$1,1)+1
)
-P304</f>
        <v>-5005.28</v>
      </c>
      <c r="Q277" s="186">
        <f>SUMIFS(
  tb_caixa[Saldo],
  tb_caixa[Empresa], $B304,
  tb_caixa[Dia], "&gt;="&amp;EDATE(Q$1,1),
  tb_caixa[Dia], "&lt;"&amp;EOMONTH(Q$1,1)+1
)
-Q304</f>
        <v>-101.18</v>
      </c>
      <c r="R277" s="186">
        <f>SUMIFS(
  tb_caixa[Saldo],
  tb_caixa[Empresa], $B304,
  tb_caixa[Dia], "&gt;="&amp;EDATE(R$1,1),
  tb_caixa[Dia], "&lt;"&amp;EOMONTH(R$1,1)+1
)
-R304</f>
        <v>998.81</v>
      </c>
      <c r="S277" s="186">
        <f>SUMIFS(
  tb_caixa[Saldo],
  tb_caixa[Empresa], $B304,
  tb_caixa[Dia], "&gt;="&amp;EDATE(S$1,1),
  tb_caixa[Dia], "&lt;"&amp;EOMONTH(S$1,1)+1
)
-S304</f>
        <v>-987.06999999999994</v>
      </c>
      <c r="T277" s="186">
        <f>SUMIFS(
  tb_caixa[Saldo],
  tb_caixa[Empresa], $B304,
  tb_caixa[Dia], "&gt;="&amp;EDATE(T$1,1),
  tb_caixa[Dia], "&lt;"&amp;EOMONTH(T$1,1)+1
)
-T304</f>
        <v>1187.9100000000001</v>
      </c>
      <c r="U277" s="186">
        <f>SUMIFS(
  tb_caixa[Saldo],
  tb_caixa[Empresa], $B304,
  tb_caixa[Dia], "&gt;="&amp;EDATE(U$1,1),
  tb_caixa[Dia], "&lt;"&amp;EOMONTH(U$1,1)+1
)
-U304</f>
        <v>7063.0599999999995</v>
      </c>
      <c r="V277" s="186">
        <f>SUMIFS(
  tb_caixa[Saldo],
  tb_caixa[Empresa], $B304,
  tb_caixa[Dia], "&gt;="&amp;EDATE(V$1,1),
  tb_caixa[Dia], "&lt;"&amp;EOMONTH(V$1,1)+1
)
-V304</f>
        <v>-8510</v>
      </c>
      <c r="W277" s="186">
        <f>SUMIFS(
  tb_caixa[Saldo],
  tb_caixa[Empresa], $B304,
  tb_caixa[Dia], "&gt;="&amp;EDATE(W$1,1),
  tb_caixa[Dia], "&lt;"&amp;EOMONTH(W$1,1)+1
)
-W304</f>
        <v>0</v>
      </c>
      <c r="X277" s="186">
        <f>SUMIFS(
  tb_caixa[Saldo],
  tb_caixa[Empresa], $B304,
  tb_caixa[Dia], "&gt;="&amp;EDATE(X$1,1),
  tb_caixa[Dia], "&lt;"&amp;EOMONTH(X$1,1)+1
)
-X304</f>
        <v>0</v>
      </c>
      <c r="Y277" s="186">
        <f>SUMIFS(
  tb_caixa[Saldo],
  tb_caixa[Empresa], $B304,
  tb_caixa[Dia], "&gt;="&amp;EDATE(Y$1,1),
  tb_caixa[Dia], "&lt;"&amp;EOMONTH(Y$1,1)+1
)
-Y304</f>
        <v>0</v>
      </c>
      <c r="Z277" s="186">
        <f>SUMIFS(
  tb_caixa[Saldo],
  tb_caixa[Empresa], $B304,
  tb_caixa[Dia], "&gt;="&amp;EDATE(Z$1,1),
  tb_caixa[Dia], "&lt;"&amp;EOMONTH(Z$1,1)+1
)
-Z304</f>
        <v>0</v>
      </c>
      <c r="AA277" s="186">
        <f>SUMIFS(
  tb_caixa[Saldo],
  tb_caixa[Empresa], $B304,
  tb_caixa[Dia], "&gt;="&amp;EDATE(AA$1,1),
  tb_caixa[Dia], "&lt;"&amp;EOMONTH(AA$1,1)+1
)
-AA304</f>
        <v>0</v>
      </c>
      <c r="AC277" s="178">
        <f t="shared" si="55"/>
        <v>3156.25</v>
      </c>
      <c r="AE277" s="178">
        <f t="shared" si="56"/>
        <v>-5353.75</v>
      </c>
    </row>
    <row r="278" spans="1:31" hidden="1" outlineLevel="1" x14ac:dyDescent="0.25">
      <c r="A278" s="346" t="str">
        <f t="shared" si="54"/>
        <v>4.SN2.</v>
      </c>
      <c r="B278" t="s">
        <v>12</v>
      </c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>
        <f>SUMIFS(
  tb_caixa[Saldo],
  tb_caixa[Empresa], $B305,
  tb_caixa[Dia], "&gt;="&amp;EDATE(P$1,1),
  tb_caixa[Dia], "&lt;"&amp;EOMONTH(P$1,1)+1
)
-P305</f>
        <v>-1384097.96</v>
      </c>
      <c r="Q278" s="186">
        <f>SUMIFS(
  tb_caixa[Saldo],
  tb_caixa[Empresa], $B305,
  tb_caixa[Dia], "&gt;="&amp;EDATE(Q$1,1),
  tb_caixa[Dia], "&lt;"&amp;EOMONTH(Q$1,1)+1
)
-Q305</f>
        <v>-68473.510000000009</v>
      </c>
      <c r="R278" s="186">
        <f>SUMIFS(
  tb_caixa[Saldo],
  tb_caixa[Empresa], $B305,
  tb_caixa[Dia], "&gt;="&amp;EDATE(R$1,1),
  tb_caixa[Dia], "&lt;"&amp;EOMONTH(R$1,1)+1
)
-R305</f>
        <v>1480032.7599999998</v>
      </c>
      <c r="S278" s="186">
        <f>SUMIFS(
  tb_caixa[Saldo],
  tb_caixa[Empresa], $B305,
  tb_caixa[Dia], "&gt;="&amp;EDATE(S$1,1),
  tb_caixa[Dia], "&lt;"&amp;EOMONTH(S$1,1)+1
)
-S305</f>
        <v>-1488953.21</v>
      </c>
      <c r="T278" s="186">
        <f>SUMIFS(
  tb_caixa[Saldo],
  tb_caixa[Empresa], $B305,
  tb_caixa[Dia], "&gt;="&amp;EDATE(T$1,1),
  tb_caixa[Dia], "&lt;"&amp;EOMONTH(T$1,1)+1
)
-T305</f>
        <v>22256.510000000002</v>
      </c>
      <c r="U278" s="186">
        <f>SUMIFS(
  tb_caixa[Saldo],
  tb_caixa[Empresa], $B305,
  tb_caixa[Dia], "&gt;="&amp;EDATE(U$1,1),
  tb_caixa[Dia], "&lt;"&amp;EOMONTH(U$1,1)+1
)
-U305</f>
        <v>54733.51</v>
      </c>
      <c r="V278" s="186">
        <f>SUMIFS(
  tb_caixa[Saldo],
  tb_caixa[Empresa], $B305,
  tb_caixa[Dia], "&gt;="&amp;EDATE(V$1,1),
  tb_caixa[Dia], "&lt;"&amp;EOMONTH(V$1,1)+1
)
-V305</f>
        <v>-70542.19</v>
      </c>
      <c r="W278" s="186">
        <f>SUMIFS(
  tb_caixa[Saldo],
  tb_caixa[Empresa], $B305,
  tb_caixa[Dia], "&gt;="&amp;EDATE(W$1,1),
  tb_caixa[Dia], "&lt;"&amp;EOMONTH(W$1,1)+1
)
-W305</f>
        <v>0</v>
      </c>
      <c r="X278" s="186">
        <f>SUMIFS(
  tb_caixa[Saldo],
  tb_caixa[Empresa], $B305,
  tb_caixa[Dia], "&gt;="&amp;EDATE(X$1,1),
  tb_caixa[Dia], "&lt;"&amp;EOMONTH(X$1,1)+1
)
-X305</f>
        <v>0</v>
      </c>
      <c r="Y278" s="186">
        <f>SUMIFS(
  tb_caixa[Saldo],
  tb_caixa[Empresa], $B305,
  tb_caixa[Dia], "&gt;="&amp;EDATE(Y$1,1),
  tb_caixa[Dia], "&lt;"&amp;EOMONTH(Y$1,1)+1
)
-Y305</f>
        <v>0</v>
      </c>
      <c r="Z278" s="186">
        <f>SUMIFS(
  tb_caixa[Saldo],
  tb_caixa[Empresa], $B305,
  tb_caixa[Dia], "&gt;="&amp;EDATE(Z$1,1),
  tb_caixa[Dia], "&lt;"&amp;EOMONTH(Z$1,1)+1
)
-Z305</f>
        <v>0</v>
      </c>
      <c r="AA278" s="186">
        <f>SUMIFS(
  tb_caixa[Saldo],
  tb_caixa[Empresa], $B305,
  tb_caixa[Dia], "&gt;="&amp;EDATE(AA$1,1),
  tb_caixa[Dia], "&lt;"&amp;EOMONTH(AA$1,1)+1
)
-AA305</f>
        <v>0</v>
      </c>
      <c r="AC278" s="178">
        <f t="shared" si="55"/>
        <v>-1384501.9000000001</v>
      </c>
      <c r="AE278" s="178">
        <f t="shared" si="56"/>
        <v>-1455044.09</v>
      </c>
    </row>
    <row r="279" spans="1:31" hidden="1" outlineLevel="1" x14ac:dyDescent="0.25">
      <c r="A279" s="346" t="str">
        <f t="shared" si="54"/>
        <v>4.SN4.</v>
      </c>
      <c r="B279" t="s">
        <v>13</v>
      </c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>
        <f>SUMIFS(
  tb_caixa[Saldo],
  tb_caixa[Empresa], $B306,
  tb_caixa[Dia], "&gt;="&amp;EDATE(P$1,1),
  tb_caixa[Dia], "&lt;"&amp;EOMONTH(P$1,1)+1
)
-P306</f>
        <v>3086.91</v>
      </c>
      <c r="Q279" s="186">
        <f>SUMIFS(
  tb_caixa[Saldo],
  tb_caixa[Empresa], $B306,
  tb_caixa[Dia], "&gt;="&amp;EDATE(Q$1,1),
  tb_caixa[Dia], "&lt;"&amp;EOMONTH(Q$1,1)+1
)
-Q306</f>
        <v>-5188.6200000000008</v>
      </c>
      <c r="R279" s="186">
        <f>SUMIFS(
  tb_caixa[Saldo],
  tb_caixa[Empresa], $B306,
  tb_caixa[Dia], "&gt;="&amp;EDATE(R$1,1),
  tb_caixa[Dia], "&lt;"&amp;EOMONTH(R$1,1)+1
)
-R306</f>
        <v>1001841.42</v>
      </c>
      <c r="S279" s="186">
        <f>SUMIFS(
  tb_caixa[Saldo],
  tb_caixa[Empresa], $B306,
  tb_caixa[Dia], "&gt;="&amp;EDATE(S$1,1),
  tb_caixa[Dia], "&lt;"&amp;EOMONTH(S$1,1)+1
)
-S306</f>
        <v>-1004689.5900000001</v>
      </c>
      <c r="T279" s="186">
        <f>SUMIFS(
  tb_caixa[Saldo],
  tb_caixa[Empresa], $B306,
  tb_caixa[Dia], "&gt;="&amp;EDATE(T$1,1),
  tb_caixa[Dia], "&lt;"&amp;EOMONTH(T$1,1)+1
)
-T306</f>
        <v>438733.03</v>
      </c>
      <c r="U279" s="186">
        <f>SUMIFS(
  tb_caixa[Saldo],
  tb_caixa[Empresa], $B306,
  tb_caixa[Dia], "&gt;="&amp;EDATE(U$1,1),
  tb_caixa[Dia], "&lt;"&amp;EOMONTH(U$1,1)+1
)
-U306</f>
        <v>-250229.28</v>
      </c>
      <c r="V279" s="186">
        <f>SUMIFS(
  tb_caixa[Saldo],
  tb_caixa[Empresa], $B306,
  tb_caixa[Dia], "&gt;="&amp;EDATE(V$1,1),
  tb_caixa[Dia], "&lt;"&amp;EOMONTH(V$1,1)+1
)
-V306</f>
        <v>-190249.72</v>
      </c>
      <c r="W279" s="186">
        <f>SUMIFS(
  tb_caixa[Saldo],
  tb_caixa[Empresa], $B306,
  tb_caixa[Dia], "&gt;="&amp;EDATE(W$1,1),
  tb_caixa[Dia], "&lt;"&amp;EOMONTH(W$1,1)+1
)
-W306</f>
        <v>0</v>
      </c>
      <c r="X279" s="186">
        <f>SUMIFS(
  tb_caixa[Saldo],
  tb_caixa[Empresa], $B306,
  tb_caixa[Dia], "&gt;="&amp;EDATE(X$1,1),
  tb_caixa[Dia], "&lt;"&amp;EOMONTH(X$1,1)+1
)
-X306</f>
        <v>0</v>
      </c>
      <c r="Y279" s="186">
        <f>SUMIFS(
  tb_caixa[Saldo],
  tb_caixa[Empresa], $B306,
  tb_caixa[Dia], "&gt;="&amp;EDATE(Y$1,1),
  tb_caixa[Dia], "&lt;"&amp;EOMONTH(Y$1,1)+1
)
-Y306</f>
        <v>0</v>
      </c>
      <c r="Z279" s="186">
        <f>SUMIFS(
  tb_caixa[Saldo],
  tb_caixa[Empresa], $B306,
  tb_caixa[Dia], "&gt;="&amp;EDATE(Z$1,1),
  tb_caixa[Dia], "&lt;"&amp;EOMONTH(Z$1,1)+1
)
-Z306</f>
        <v>0</v>
      </c>
      <c r="AA279" s="186">
        <f>SUMIFS(
  tb_caixa[Saldo],
  tb_caixa[Empresa], $B306,
  tb_caixa[Dia], "&gt;="&amp;EDATE(AA$1,1),
  tb_caixa[Dia], "&lt;"&amp;EOMONTH(AA$1,1)+1
)
-AA306</f>
        <v>0</v>
      </c>
      <c r="AC279" s="178">
        <f t="shared" si="55"/>
        <v>183553.87000000002</v>
      </c>
      <c r="AE279" s="178">
        <f t="shared" si="56"/>
        <v>-6695.8499999999767</v>
      </c>
    </row>
    <row r="280" spans="1:31" hidden="1" outlineLevel="1" x14ac:dyDescent="0.25">
      <c r="A280" s="346" t="str">
        <f t="shared" si="54"/>
        <v>4.SOC.</v>
      </c>
      <c r="B280" t="s">
        <v>909</v>
      </c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>
        <f>SUMIFS(
  tb_caixa[Saldo],
  tb_caixa[Empresa], $B307,
  tb_caixa[Dia], "&gt;="&amp;EDATE(P$1,1),
  tb_caixa[Dia], "&lt;"&amp;EOMONTH(P$1,1)+1
)
-P307</f>
        <v>-155.43</v>
      </c>
      <c r="Q280" s="186">
        <f>SUMIFS(
  tb_caixa[Saldo],
  tb_caixa[Empresa], $B307,
  tb_caixa[Dia], "&gt;="&amp;EDATE(Q$1,1),
  tb_caixa[Dia], "&lt;"&amp;EOMONTH(Q$1,1)+1
)
-Q307</f>
        <v>-63.05</v>
      </c>
      <c r="R280" s="186">
        <f>SUMIFS(
  tb_caixa[Saldo],
  tb_caixa[Empresa], $B307,
  tb_caixa[Dia], "&gt;="&amp;EDATE(R$1,1),
  tb_caixa[Dia], "&lt;"&amp;EOMONTH(R$1,1)+1
)
-R307</f>
        <v>1865.08</v>
      </c>
      <c r="S280" s="186">
        <f>SUMIFS(
  tb_caixa[Saldo],
  tb_caixa[Empresa], $B307,
  tb_caixa[Dia], "&gt;="&amp;EDATE(S$1,1),
  tb_caixa[Dia], "&lt;"&amp;EOMONTH(S$1,1)+1
)
-S307</f>
        <v>-916.18999999999994</v>
      </c>
      <c r="T280" s="186">
        <f>SUMIFS(
  tb_caixa[Saldo],
  tb_caixa[Empresa], $B307,
  tb_caixa[Dia], "&gt;="&amp;EDATE(T$1,1),
  tb_caixa[Dia], "&lt;"&amp;EOMONTH(T$1,1)+1
)
-T307</f>
        <v>-630.23</v>
      </c>
      <c r="U280" s="186">
        <f>SUMIFS(
  tb_caixa[Saldo],
  tb_caixa[Empresa], $B307,
  tb_caixa[Dia], "&gt;="&amp;EDATE(U$1,1),
  tb_caixa[Dia], "&lt;"&amp;EOMONTH(U$1,1)+1
)
-U307</f>
        <v>18372.849999999999</v>
      </c>
      <c r="V280" s="186">
        <f>SUMIFS(
  tb_caixa[Saldo],
  tb_caixa[Empresa], $B307,
  tb_caixa[Dia], "&gt;="&amp;EDATE(V$1,1),
  tb_caixa[Dia], "&lt;"&amp;EOMONTH(V$1,1)+1
)
-V307</f>
        <v>-18691.509999999998</v>
      </c>
      <c r="W280" s="186">
        <f>SUMIFS(
  tb_caixa[Saldo],
  tb_caixa[Empresa], $B307,
  tb_caixa[Dia], "&gt;="&amp;EDATE(W$1,1),
  tb_caixa[Dia], "&lt;"&amp;EOMONTH(W$1,1)+1
)
-W307</f>
        <v>0</v>
      </c>
      <c r="X280" s="186">
        <f>SUMIFS(
  tb_caixa[Saldo],
  tb_caixa[Empresa], $B307,
  tb_caixa[Dia], "&gt;="&amp;EDATE(X$1,1),
  tb_caixa[Dia], "&lt;"&amp;EOMONTH(X$1,1)+1
)
-X307</f>
        <v>0</v>
      </c>
      <c r="Y280" s="186">
        <f>SUMIFS(
  tb_caixa[Saldo],
  tb_caixa[Empresa], $B307,
  tb_caixa[Dia], "&gt;="&amp;EDATE(Y$1,1),
  tb_caixa[Dia], "&lt;"&amp;EOMONTH(Y$1,1)+1
)
-Y307</f>
        <v>0</v>
      </c>
      <c r="Z280" s="186">
        <f>SUMIFS(
  tb_caixa[Saldo],
  tb_caixa[Empresa], $B307,
  tb_caixa[Dia], "&gt;="&amp;EDATE(Z$1,1),
  tb_caixa[Dia], "&lt;"&amp;EOMONTH(Z$1,1)+1
)
-Z307</f>
        <v>0</v>
      </c>
      <c r="AA280" s="186">
        <f>SUMIFS(
  tb_caixa[Saldo],
  tb_caixa[Empresa], $B307,
  tb_caixa[Dia], "&gt;="&amp;EDATE(AA$1,1),
  tb_caixa[Dia], "&lt;"&amp;EOMONTH(AA$1,1)+1
)
-AA307</f>
        <v>0</v>
      </c>
      <c r="AC280" s="178">
        <f t="shared" si="55"/>
        <v>18473.03</v>
      </c>
      <c r="AE280" s="178">
        <f t="shared" si="56"/>
        <v>-218.47999999999956</v>
      </c>
    </row>
    <row r="281" spans="1:31" hidden="1" outlineLevel="1" x14ac:dyDescent="0.25">
      <c r="A281" s="346" t="str">
        <f t="shared" ref="A281" si="57">"4."&amp;B281&amp;"."</f>
        <v>4.USL.</v>
      </c>
      <c r="B281" t="s">
        <v>760</v>
      </c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>
        <f>SUMIFS(
  tb_caixa[Saldo],
  tb_caixa[Empresa], $B308,
  tb_caixa[Dia], "&gt;="&amp;EDATE(P$1,1),
  tb_caixa[Dia], "&lt;"&amp;EOMONTH(P$1,1)+1
)
-P308</f>
        <v>-33734.229999999996</v>
      </c>
      <c r="Q281" s="186">
        <f>SUMIFS(
  tb_caixa[Saldo],
  tb_caixa[Empresa], $B308,
  tb_caixa[Dia], "&gt;="&amp;EDATE(Q$1,1),
  tb_caixa[Dia], "&lt;"&amp;EOMONTH(Q$1,1)+1
)
-Q308</f>
        <v>5955.3899999999994</v>
      </c>
      <c r="R281" s="186">
        <f>SUMIFS(
  tb_caixa[Saldo],
  tb_caixa[Empresa], $B308,
  tb_caixa[Dia], "&gt;="&amp;EDATE(R$1,1),
  tb_caixa[Dia], "&lt;"&amp;EOMONTH(R$1,1)+1
)
-R308</f>
        <v>-8347.86</v>
      </c>
      <c r="S281" s="186">
        <f>SUMIFS(
  tb_caixa[Saldo],
  tb_caixa[Empresa], $B308,
  tb_caixa[Dia], "&gt;="&amp;EDATE(S$1,1),
  tb_caixa[Dia], "&lt;"&amp;EOMONTH(S$1,1)+1
)
-S308</f>
        <v>21823.64</v>
      </c>
      <c r="T281" s="186">
        <f>SUMIFS(
  tb_caixa[Saldo],
  tb_caixa[Empresa], $B308,
  tb_caixa[Dia], "&gt;="&amp;EDATE(T$1,1),
  tb_caixa[Dia], "&lt;"&amp;EOMONTH(T$1,1)+1
)
-T308</f>
        <v>22475.410000000003</v>
      </c>
      <c r="U281" s="186">
        <f>SUMIFS(
  tb_caixa[Saldo],
  tb_caixa[Empresa], $B308,
  tb_caixa[Dia], "&gt;="&amp;EDATE(U$1,1),
  tb_caixa[Dia], "&lt;"&amp;EOMONTH(U$1,1)+1
)
-U308</f>
        <v>23787.22</v>
      </c>
      <c r="V281" s="186">
        <f>SUMIFS(
  tb_caixa[Saldo],
  tb_caixa[Empresa], $B308,
  tb_caixa[Dia], "&gt;="&amp;EDATE(V$1,1),
  tb_caixa[Dia], "&lt;"&amp;EOMONTH(V$1,1)+1
)
-V308</f>
        <v>-75616.160000000003</v>
      </c>
      <c r="W281" s="186">
        <f>SUMIFS(
  tb_caixa[Saldo],
  tb_caixa[Empresa], $B308,
  tb_caixa[Dia], "&gt;="&amp;EDATE(W$1,1),
  tb_caixa[Dia], "&lt;"&amp;EOMONTH(W$1,1)+1
)
-W308</f>
        <v>0</v>
      </c>
      <c r="X281" s="186">
        <f>SUMIFS(
  tb_caixa[Saldo],
  tb_caixa[Empresa], $B308,
  tb_caixa[Dia], "&gt;="&amp;EDATE(X$1,1),
  tb_caixa[Dia], "&lt;"&amp;EOMONTH(X$1,1)+1
)
-X308</f>
        <v>0</v>
      </c>
      <c r="Y281" s="186">
        <f>SUMIFS(
  tb_caixa[Saldo],
  tb_caixa[Empresa], $B308,
  tb_caixa[Dia], "&gt;="&amp;EDATE(Y$1,1),
  tb_caixa[Dia], "&lt;"&amp;EOMONTH(Y$1,1)+1
)
-Y308</f>
        <v>0</v>
      </c>
      <c r="Z281" s="186">
        <f>SUMIFS(
  tb_caixa[Saldo],
  tb_caixa[Empresa], $B308,
  tb_caixa[Dia], "&gt;="&amp;EDATE(Z$1,1),
  tb_caixa[Dia], "&lt;"&amp;EOMONTH(Z$1,1)+1
)
-Z308</f>
        <v>0</v>
      </c>
      <c r="AA281" s="186">
        <f>SUMIFS(
  tb_caixa[Saldo],
  tb_caixa[Empresa], $B308,
  tb_caixa[Dia], "&gt;="&amp;EDATE(AA$1,1),
  tb_caixa[Dia], "&lt;"&amp;EOMONTH(AA$1,1)+1
)
-AA308</f>
        <v>0</v>
      </c>
      <c r="AC281" s="178">
        <f t="shared" ref="AC281" si="58">SUM(D281:U281)</f>
        <v>31959.570000000007</v>
      </c>
      <c r="AE281" s="178">
        <f t="shared" ref="AE281" si="59">SUM(D281:AA281)</f>
        <v>-43656.59</v>
      </c>
    </row>
    <row r="282" spans="1:31" hidden="1" outlineLevel="1" x14ac:dyDescent="0.25">
      <c r="A282" s="346" t="str">
        <f t="shared" si="54"/>
        <v>4.VII.</v>
      </c>
      <c r="B282" t="s">
        <v>1271</v>
      </c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>
        <f>SUMIFS(
  tb_caixa[Saldo],
  tb_caixa[Empresa], $B309,
  tb_caixa[Dia], "&gt;="&amp;EDATE(P$1,1),
  tb_caixa[Dia], "&lt;"&amp;EOMONTH(P$1,1)+1
)
-P309</f>
        <v>0</v>
      </c>
      <c r="Q282" s="186">
        <f>SUMIFS(
  tb_caixa[Saldo],
  tb_caixa[Empresa], $B309,
  tb_caixa[Dia], "&gt;="&amp;EDATE(Q$1,1),
  tb_caixa[Dia], "&lt;"&amp;EOMONTH(Q$1,1)+1
)
-Q309</f>
        <v>0</v>
      </c>
      <c r="R282" s="186">
        <f>SUMIFS(
  tb_caixa[Saldo],
  tb_caixa[Empresa], $B309,
  tb_caixa[Dia], "&gt;="&amp;EDATE(R$1,1),
  tb_caixa[Dia], "&lt;"&amp;EOMONTH(R$1,1)+1
)
-R309</f>
        <v>0</v>
      </c>
      <c r="S282" s="186">
        <f>SUMIFS(
  tb_caixa[Saldo],
  tb_caixa[Empresa], $B309,
  tb_caixa[Dia], "&gt;="&amp;EDATE(S$1,1),
  tb_caixa[Dia], "&lt;"&amp;EOMONTH(S$1,1)+1
)
-S309</f>
        <v>0</v>
      </c>
      <c r="T282" s="186">
        <f>SUMIFS(
  tb_caixa[Saldo],
  tb_caixa[Empresa], $B309,
  tb_caixa[Dia], "&gt;="&amp;EDATE(T$1,1),
  tb_caixa[Dia], "&lt;"&amp;EOMONTH(T$1,1)+1
)
-T309</f>
        <v>0</v>
      </c>
      <c r="U282" s="186">
        <f>SUMIFS(
  tb_caixa[Saldo],
  tb_caixa[Empresa], $B309,
  tb_caixa[Dia], "&gt;="&amp;EDATE(U$1,1),
  tb_caixa[Dia], "&lt;"&amp;EOMONTH(U$1,1)+1
)
-U309</f>
        <v>0</v>
      </c>
      <c r="V282" s="186">
        <f>SUMIFS(
  tb_caixa[Saldo],
  tb_caixa[Empresa], $B309,
  tb_caixa[Dia], "&gt;="&amp;EDATE(V$1,1),
  tb_caixa[Dia], "&lt;"&amp;EOMONTH(V$1,1)+1
)
-V309</f>
        <v>0</v>
      </c>
      <c r="W282" s="186">
        <f>SUMIFS(
  tb_caixa[Saldo],
  tb_caixa[Empresa], $B309,
  tb_caixa[Dia], "&gt;="&amp;EDATE(W$1,1),
  tb_caixa[Dia], "&lt;"&amp;EOMONTH(W$1,1)+1
)
-W309</f>
        <v>0</v>
      </c>
      <c r="X282" s="186">
        <f>SUMIFS(
  tb_caixa[Saldo],
  tb_caixa[Empresa], $B309,
  tb_caixa[Dia], "&gt;="&amp;EDATE(X$1,1),
  tb_caixa[Dia], "&lt;"&amp;EOMONTH(X$1,1)+1
)
-X309</f>
        <v>0</v>
      </c>
      <c r="Y282" s="186">
        <f>SUMIFS(
  tb_caixa[Saldo],
  tb_caixa[Empresa], $B309,
  tb_caixa[Dia], "&gt;="&amp;EDATE(Y$1,1),
  tb_caixa[Dia], "&lt;"&amp;EOMONTH(Y$1,1)+1
)
-Y309</f>
        <v>0</v>
      </c>
      <c r="Z282" s="186">
        <f>SUMIFS(
  tb_caixa[Saldo],
  tb_caixa[Empresa], $B309,
  tb_caixa[Dia], "&gt;="&amp;EDATE(Z$1,1),
  tb_caixa[Dia], "&lt;"&amp;EOMONTH(Z$1,1)+1
)
-Z309</f>
        <v>0</v>
      </c>
      <c r="AA282" s="186">
        <f>SUMIFS(
  tb_caixa[Saldo],
  tb_caixa[Empresa], $B309,
  tb_caixa[Dia], "&gt;="&amp;EDATE(AA$1,1),
  tb_caixa[Dia], "&lt;"&amp;EOMONTH(AA$1,1)+1
)
-AA309</f>
        <v>0</v>
      </c>
      <c r="AC282" s="178">
        <f t="shared" si="55"/>
        <v>0</v>
      </c>
      <c r="AE282" s="178">
        <f t="shared" si="56"/>
        <v>0</v>
      </c>
    </row>
    <row r="283" spans="1:31" ht="15.75" hidden="1" outlineLevel="1" thickBot="1" x14ac:dyDescent="0.3">
      <c r="A283" s="346" t="str">
        <f t="shared" si="54"/>
        <v>4.VRT.</v>
      </c>
      <c r="B283" t="s">
        <v>1122</v>
      </c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>
        <f>SUMIFS(
  tb_caixa[Saldo],
  tb_caixa[Empresa], $B310,
  tb_caixa[Dia], "&gt;="&amp;EDATE(P$1,1),
  tb_caixa[Dia], "&lt;"&amp;EOMONTH(P$1,1)+1
)
-P310</f>
        <v>14636.37</v>
      </c>
      <c r="Q283" s="186">
        <f>SUMIFS(
  tb_caixa[Saldo],
  tb_caixa[Empresa], $B310,
  tb_caixa[Dia], "&gt;="&amp;EDATE(Q$1,1),
  tb_caixa[Dia], "&lt;"&amp;EOMONTH(Q$1,1)+1
)
-Q310</f>
        <v>-40498.379999999997</v>
      </c>
      <c r="R283" s="186">
        <f>SUMIFS(
  tb_caixa[Saldo],
  tb_caixa[Empresa], $B310,
  tb_caixa[Dia], "&gt;="&amp;EDATE(R$1,1),
  tb_caixa[Dia], "&lt;"&amp;EOMONTH(R$1,1)+1
)
-R310</f>
        <v>4480.82</v>
      </c>
      <c r="S283" s="186">
        <f>SUMIFS(
  tb_caixa[Saldo],
  tb_caixa[Empresa], $B310,
  tb_caixa[Dia], "&gt;="&amp;EDATE(S$1,1),
  tb_caixa[Dia], "&lt;"&amp;EOMONTH(S$1,1)+1
)
-S310</f>
        <v>-5395.9400000000023</v>
      </c>
      <c r="T283" s="186">
        <f>SUMIFS(
  tb_caixa[Saldo],
  tb_caixa[Empresa], $B310,
  tb_caixa[Dia], "&gt;="&amp;EDATE(T$1,1),
  tb_caixa[Dia], "&lt;"&amp;EOMONTH(T$1,1)+1
)
-T310</f>
        <v>831.27000000000407</v>
      </c>
      <c r="U283" s="186">
        <f>SUMIFS(
  tb_caixa[Saldo],
  tb_caixa[Empresa], $B310,
  tb_caixa[Dia], "&gt;="&amp;EDATE(U$1,1),
  tb_caixa[Dia], "&lt;"&amp;EOMONTH(U$1,1)+1
)
-U310</f>
        <v>40637.589999999997</v>
      </c>
      <c r="V283" s="186">
        <f>SUMIFS(
  tb_caixa[Saldo],
  tb_caixa[Empresa], $B310,
  tb_caixa[Dia], "&gt;="&amp;EDATE(V$1,1),
  tb_caixa[Dia], "&lt;"&amp;EOMONTH(V$1,1)+1
)
-V310</f>
        <v>-785.2</v>
      </c>
      <c r="W283" s="186">
        <f>SUMIFS(
  tb_caixa[Saldo],
  tb_caixa[Empresa], $B310,
  tb_caixa[Dia], "&gt;="&amp;EDATE(W$1,1),
  tb_caixa[Dia], "&lt;"&amp;EOMONTH(W$1,1)+1
)
-W310</f>
        <v>0</v>
      </c>
      <c r="X283" s="186">
        <f>SUMIFS(
  tb_caixa[Saldo],
  tb_caixa[Empresa], $B310,
  tb_caixa[Dia], "&gt;="&amp;EDATE(X$1,1),
  tb_caixa[Dia], "&lt;"&amp;EOMONTH(X$1,1)+1
)
-X310</f>
        <v>0</v>
      </c>
      <c r="Y283" s="186">
        <f>SUMIFS(
  tb_caixa[Saldo],
  tb_caixa[Empresa], $B310,
  tb_caixa[Dia], "&gt;="&amp;EDATE(Y$1,1),
  tb_caixa[Dia], "&lt;"&amp;EOMONTH(Y$1,1)+1
)
-Y310</f>
        <v>0</v>
      </c>
      <c r="Z283" s="186">
        <f>SUMIFS(
  tb_caixa[Saldo],
  tb_caixa[Empresa], $B310,
  tb_caixa[Dia], "&gt;="&amp;EDATE(Z$1,1),
  tb_caixa[Dia], "&lt;"&amp;EOMONTH(Z$1,1)+1
)
-Z310</f>
        <v>0</v>
      </c>
      <c r="AA283" s="186">
        <f>SUMIFS(
  tb_caixa[Saldo],
  tb_caixa[Empresa], $B310,
  tb_caixa[Dia], "&gt;="&amp;EDATE(AA$1,1),
  tb_caixa[Dia], "&lt;"&amp;EOMONTH(AA$1,1)+1
)
-AA310</f>
        <v>0</v>
      </c>
      <c r="AC283" s="339">
        <f t="shared" si="55"/>
        <v>14691.730000000003</v>
      </c>
      <c r="AE283" s="339">
        <f t="shared" si="56"/>
        <v>13906.530000000002</v>
      </c>
    </row>
    <row r="284" spans="1:31" hidden="1" outlineLevel="1" x14ac:dyDescent="0.25">
      <c r="A284" s="344" t="s">
        <v>918</v>
      </c>
      <c r="B284" s="340" t="s">
        <v>663</v>
      </c>
      <c r="C284" s="337"/>
      <c r="D284" s="341"/>
      <c r="E284" s="341"/>
      <c r="F284" s="341"/>
      <c r="G284" s="341"/>
      <c r="H284" s="341"/>
      <c r="I284" s="341"/>
      <c r="J284" s="341"/>
      <c r="K284" s="341"/>
      <c r="L284" s="341"/>
      <c r="M284" s="341"/>
      <c r="N284" s="341"/>
      <c r="O284" s="341"/>
      <c r="P284" s="341">
        <f t="shared" ref="P284:AA284" si="60">SUM(P285:P310)</f>
        <v>3055977.65</v>
      </c>
      <c r="Q284" s="341">
        <f t="shared" si="60"/>
        <v>1519695.7599999998</v>
      </c>
      <c r="R284" s="341">
        <f t="shared" si="60"/>
        <v>1305811.9099999999</v>
      </c>
      <c r="S284" s="341">
        <f t="shared" si="60"/>
        <v>2906487.54</v>
      </c>
      <c r="T284" s="341">
        <f t="shared" si="60"/>
        <v>284802.62999999989</v>
      </c>
      <c r="U284" s="341">
        <f t="shared" si="60"/>
        <v>5972197.5200000005</v>
      </c>
      <c r="V284" s="341">
        <f t="shared" si="60"/>
        <v>2484752.4500000002</v>
      </c>
      <c r="W284" s="341">
        <f t="shared" si="60"/>
        <v>0</v>
      </c>
      <c r="X284" s="341">
        <f t="shared" si="60"/>
        <v>0</v>
      </c>
      <c r="Y284" s="341">
        <f t="shared" si="60"/>
        <v>0</v>
      </c>
      <c r="Z284" s="341">
        <f t="shared" si="60"/>
        <v>0</v>
      </c>
      <c r="AA284" s="341">
        <f t="shared" si="60"/>
        <v>0</v>
      </c>
    </row>
    <row r="285" spans="1:31" hidden="1" outlineLevel="2" x14ac:dyDescent="0.25">
      <c r="A285" s="347" t="str">
        <f>"4.1."&amp;B285&amp;"."</f>
        <v>4.1.AMP.</v>
      </c>
      <c r="B285" s="342" t="s">
        <v>7</v>
      </c>
      <c r="C285" s="342"/>
      <c r="D285" s="343"/>
      <c r="E285" s="343"/>
      <c r="F285" s="343"/>
      <c r="G285" s="343"/>
      <c r="H285" s="343"/>
      <c r="I285" s="343"/>
      <c r="J285" s="343"/>
      <c r="K285" s="343"/>
      <c r="L285" s="343"/>
      <c r="M285" s="343"/>
      <c r="N285" s="343"/>
      <c r="O285" s="343"/>
      <c r="P285" s="343">
        <f>SUMIFS(
  tb_caixa[Saldo],
  tb_caixa[Empresa], $B285,
  tb_caixa[Dia], "&gt;="&amp;P$1,
  tb_caixa[Dia], "&lt;"&amp;EOMONTH(P$1,0)+1
)</f>
        <v>1016141.64</v>
      </c>
      <c r="Q285" s="343">
        <f>SUMIFS(
  tb_caixa[Saldo],
  tb_caixa[Empresa], $B285,
  tb_caixa[Dia], "&gt;="&amp;Q$1,
  tb_caixa[Dia], "&lt;"&amp;EOMONTH(Q$1,0)+1
)</f>
        <v>89921.279999999984</v>
      </c>
      <c r="R285" s="343">
        <f>SUMIFS(
  tb_caixa[Saldo],
  tb_caixa[Empresa], $B285,
  tb_caixa[Dia], "&gt;="&amp;R$1,
  tb_caixa[Dia], "&lt;"&amp;EOMONTH(R$1,0)+1
)</f>
        <v>509635.91000000003</v>
      </c>
      <c r="S285" s="343">
        <f>SUMIFS(
  tb_caixa[Saldo],
  tb_caixa[Empresa], $B285,
  tb_caixa[Dia], "&gt;="&amp;S$1,
  tb_caixa[Dia], "&lt;"&amp;EOMONTH(S$1,0)+1
)</f>
        <v>61806.85</v>
      </c>
      <c r="T285" s="343">
        <f>SUMIFS(
  tb_caixa[Saldo],
  tb_caixa[Empresa], $B285,
  tb_caixa[Dia], "&gt;="&amp;T$1,
  tb_caixa[Dia], "&lt;"&amp;EOMONTH(T$1,0)+1
)</f>
        <v>-123348.25000000001</v>
      </c>
      <c r="U285" s="343">
        <f>SUMIFS(
  tb_caixa[Saldo],
  tb_caixa[Empresa], $B285,
  tb_caixa[Dia], "&gt;="&amp;U$1,
  tb_caixa[Dia], "&lt;"&amp;EOMONTH(U$1,0)+1
)</f>
        <v>199234.8</v>
      </c>
      <c r="V285" s="343">
        <f>SUMIFS(
  tb_caixa[Saldo],
  tb_caixa[Empresa], $B285,
  tb_caixa[Dia], "&gt;="&amp;V$1,
  tb_caixa[Dia], "&lt;"&amp;EOMONTH(V$1,0)+1
)</f>
        <v>938198.67</v>
      </c>
      <c r="W285" s="343">
        <f>SUMIFS(
  tb_caixa[Saldo],
  tb_caixa[Empresa], $B285,
  tb_caixa[Dia], "&gt;="&amp;W$1,
  tb_caixa[Dia], "&lt;"&amp;EOMONTH(W$1,0)+1
)</f>
        <v>0</v>
      </c>
      <c r="X285" s="343">
        <f>SUMIFS(
  tb_caixa[Saldo],
  tb_caixa[Empresa], $B285,
  tb_caixa[Dia], "&gt;="&amp;X$1,
  tb_caixa[Dia], "&lt;"&amp;EOMONTH(X$1,0)+1
)</f>
        <v>0</v>
      </c>
      <c r="Y285" s="343">
        <f>SUMIFS(
  tb_caixa[Saldo],
  tb_caixa[Empresa], $B285,
  tb_caixa[Dia], "&gt;="&amp;Y$1,
  tb_caixa[Dia], "&lt;"&amp;EOMONTH(Y$1,0)+1
)</f>
        <v>0</v>
      </c>
      <c r="Z285" s="343">
        <f>SUMIFS(
  tb_caixa[Saldo],
  tb_caixa[Empresa], $B285,
  tb_caixa[Dia], "&gt;="&amp;Z$1,
  tb_caixa[Dia], "&lt;"&amp;EOMONTH(Z$1,0)+1
)</f>
        <v>0</v>
      </c>
      <c r="AA285" s="343">
        <f>SUMIFS(
  tb_caixa[Saldo],
  tb_caixa[Empresa], $B285,
  tb_caixa[Dia], "&gt;="&amp;AA$1,
  tb_caixa[Dia], "&lt;"&amp;EOMONTH(AA$1,0)+1
)</f>
        <v>0</v>
      </c>
    </row>
    <row r="286" spans="1:31" hidden="1" outlineLevel="2" x14ac:dyDescent="0.25">
      <c r="A286" s="347" t="str">
        <f t="shared" ref="A286:A310" si="61">"4.1."&amp;B286&amp;"."</f>
        <v>4.1.AVR.</v>
      </c>
      <c r="B286" s="342" t="s">
        <v>670</v>
      </c>
      <c r="C286" s="342"/>
      <c r="D286" s="343"/>
      <c r="E286" s="343"/>
      <c r="F286" s="343"/>
      <c r="G286" s="343"/>
      <c r="H286" s="343"/>
      <c r="I286" s="343"/>
      <c r="J286" s="343"/>
      <c r="K286" s="343"/>
      <c r="L286" s="343"/>
      <c r="M286" s="343"/>
      <c r="N286" s="343"/>
      <c r="O286" s="343"/>
      <c r="P286" s="343">
        <f>SUMIFS(
  tb_caixa[Saldo],
  tb_caixa[Empresa], $B286,
  tb_caixa[Dia], "&gt;="&amp;P$1,
  tb_caixa[Dia], "&lt;"&amp;EOMONTH(P$1,0)+1
)</f>
        <v>6129.52</v>
      </c>
      <c r="Q286" s="343">
        <f>SUMIFS(
  tb_caixa[Saldo],
  tb_caixa[Empresa], $B286,
  tb_caixa[Dia], "&gt;="&amp;Q$1,
  tb_caixa[Dia], "&lt;"&amp;EOMONTH(Q$1,0)+1
)</f>
        <v>4636.58</v>
      </c>
      <c r="R286" s="343">
        <f>SUMIFS(
  tb_caixa[Saldo],
  tb_caixa[Empresa], $B286,
  tb_caixa[Dia], "&gt;="&amp;R$1,
  tb_caixa[Dia], "&lt;"&amp;EOMONTH(R$1,0)+1
)</f>
        <v>0</v>
      </c>
      <c r="S286" s="343">
        <f>SUMIFS(
  tb_caixa[Saldo],
  tb_caixa[Empresa], $B286,
  tb_caixa[Dia], "&gt;="&amp;S$1,
  tb_caixa[Dia], "&lt;"&amp;EOMONTH(S$1,0)+1
)</f>
        <v>74.87</v>
      </c>
      <c r="T286" s="343">
        <f>SUMIFS(
  tb_caixa[Saldo],
  tb_caixa[Empresa], $B286,
  tb_caixa[Dia], "&gt;="&amp;T$1,
  tb_caixa[Dia], "&lt;"&amp;EOMONTH(T$1,0)+1
)</f>
        <v>543.9</v>
      </c>
      <c r="U286" s="343">
        <f>SUMIFS(
  tb_caixa[Saldo],
  tb_caixa[Empresa], $B286,
  tb_caixa[Dia], "&gt;="&amp;U$1,
  tb_caixa[Dia], "&lt;"&amp;EOMONTH(U$1,0)+1
)</f>
        <v>442.16</v>
      </c>
      <c r="V286" s="343">
        <f>SUMIFS(
  tb_caixa[Saldo],
  tb_caixa[Empresa], $B286,
  tb_caixa[Dia], "&gt;="&amp;V$1,
  tb_caixa[Dia], "&lt;"&amp;EOMONTH(V$1,0)+1
)</f>
        <v>0</v>
      </c>
      <c r="W286" s="343">
        <f>SUMIFS(
  tb_caixa[Saldo],
  tb_caixa[Empresa], $B286,
  tb_caixa[Dia], "&gt;="&amp;W$1,
  tb_caixa[Dia], "&lt;"&amp;EOMONTH(W$1,0)+1
)</f>
        <v>0</v>
      </c>
      <c r="X286" s="343">
        <f>SUMIFS(
  tb_caixa[Saldo],
  tb_caixa[Empresa], $B286,
  tb_caixa[Dia], "&gt;="&amp;X$1,
  tb_caixa[Dia], "&lt;"&amp;EOMONTH(X$1,0)+1
)</f>
        <v>0</v>
      </c>
      <c r="Y286" s="343">
        <f>SUMIFS(
  tb_caixa[Saldo],
  tb_caixa[Empresa], $B286,
  tb_caixa[Dia], "&gt;="&amp;Y$1,
  tb_caixa[Dia], "&lt;"&amp;EOMONTH(Y$1,0)+1
)</f>
        <v>0</v>
      </c>
      <c r="Z286" s="343">
        <f>SUMIFS(
  tb_caixa[Saldo],
  tb_caixa[Empresa], $B286,
  tb_caixa[Dia], "&gt;="&amp;Z$1,
  tb_caixa[Dia], "&lt;"&amp;EOMONTH(Z$1,0)+1
)</f>
        <v>0</v>
      </c>
      <c r="AA286" s="343">
        <f>SUMIFS(
  tb_caixa[Saldo],
  tb_caixa[Empresa], $B286,
  tb_caixa[Dia], "&gt;="&amp;AA$1,
  tb_caixa[Dia], "&lt;"&amp;EOMONTH(AA$1,0)+1
)</f>
        <v>0</v>
      </c>
    </row>
    <row r="287" spans="1:31" hidden="1" outlineLevel="2" x14ac:dyDescent="0.25">
      <c r="A287" s="347" t="str">
        <f t="shared" si="61"/>
        <v>4.1.AVS.</v>
      </c>
      <c r="B287" s="342" t="s">
        <v>8</v>
      </c>
      <c r="C287" s="342"/>
      <c r="D287" s="343"/>
      <c r="E287" s="343"/>
      <c r="F287" s="343"/>
      <c r="G287" s="343"/>
      <c r="H287" s="343"/>
      <c r="I287" s="343"/>
      <c r="J287" s="343"/>
      <c r="K287" s="343"/>
      <c r="L287" s="343"/>
      <c r="M287" s="343"/>
      <c r="N287" s="343"/>
      <c r="O287" s="343"/>
      <c r="P287" s="343">
        <f>SUMIFS(
  tb_caixa[Saldo],
  tb_caixa[Empresa], $B287,
  tb_caixa[Dia], "&gt;="&amp;P$1,
  tb_caixa[Dia], "&lt;"&amp;EOMONTH(P$1,0)+1
)</f>
        <v>-32988.449999999997</v>
      </c>
      <c r="Q287" s="343">
        <f>SUMIFS(
  tb_caixa[Saldo],
  tb_caixa[Empresa], $B287,
  tb_caixa[Dia], "&gt;="&amp;Q$1,
  tb_caixa[Dia], "&lt;"&amp;EOMONTH(Q$1,0)+1
)</f>
        <v>-54442.750000000007</v>
      </c>
      <c r="R287" s="343">
        <f>SUMIFS(
  tb_caixa[Saldo],
  tb_caixa[Empresa], $B287,
  tb_caixa[Dia], "&gt;="&amp;R$1,
  tb_caixa[Dia], "&lt;"&amp;EOMONTH(R$1,0)+1
)</f>
        <v>671.95000000000437</v>
      </c>
      <c r="S287" s="343">
        <f>SUMIFS(
  tb_caixa[Saldo],
  tb_caixa[Empresa], $B287,
  tb_caixa[Dia], "&gt;="&amp;S$1,
  tb_caixa[Dia], "&lt;"&amp;EOMONTH(S$1,0)+1
)</f>
        <v>21770.19</v>
      </c>
      <c r="T287" s="343">
        <f>SUMIFS(
  tb_caixa[Saldo],
  tb_caixa[Empresa], $B287,
  tb_caixa[Dia], "&gt;="&amp;T$1,
  tb_caixa[Dia], "&lt;"&amp;EOMONTH(T$1,0)+1
)</f>
        <v>-62085.130000000005</v>
      </c>
      <c r="U287" s="343">
        <f>SUMIFS(
  tb_caixa[Saldo],
  tb_caixa[Empresa], $B287,
  tb_caixa[Dia], "&gt;="&amp;U$1,
  tb_caixa[Dia], "&lt;"&amp;EOMONTH(U$1,0)+1
)</f>
        <v>63206.74</v>
      </c>
      <c r="V287" s="343">
        <f>SUMIFS(
  tb_caixa[Saldo],
  tb_caixa[Empresa], $B287,
  tb_caixa[Dia], "&gt;="&amp;V$1,
  tb_caixa[Dia], "&lt;"&amp;EOMONTH(V$1,0)+1
)</f>
        <v>58441.34</v>
      </c>
      <c r="W287" s="343">
        <f>SUMIFS(
  tb_caixa[Saldo],
  tb_caixa[Empresa], $B287,
  tb_caixa[Dia], "&gt;="&amp;W$1,
  tb_caixa[Dia], "&lt;"&amp;EOMONTH(W$1,0)+1
)</f>
        <v>0</v>
      </c>
      <c r="X287" s="343">
        <f>SUMIFS(
  tb_caixa[Saldo],
  tb_caixa[Empresa], $B287,
  tb_caixa[Dia], "&gt;="&amp;X$1,
  tb_caixa[Dia], "&lt;"&amp;EOMONTH(X$1,0)+1
)</f>
        <v>0</v>
      </c>
      <c r="Y287" s="343">
        <f>SUMIFS(
  tb_caixa[Saldo],
  tb_caixa[Empresa], $B287,
  tb_caixa[Dia], "&gt;="&amp;Y$1,
  tb_caixa[Dia], "&lt;"&amp;EOMONTH(Y$1,0)+1
)</f>
        <v>0</v>
      </c>
      <c r="Z287" s="343">
        <f>SUMIFS(
  tb_caixa[Saldo],
  tb_caixa[Empresa], $B287,
  tb_caixa[Dia], "&gt;="&amp;Z$1,
  tb_caixa[Dia], "&lt;"&amp;EOMONTH(Z$1,0)+1
)</f>
        <v>0</v>
      </c>
      <c r="AA287" s="343">
        <f>SUMIFS(
  tb_caixa[Saldo],
  tb_caixa[Empresa], $B287,
  tb_caixa[Dia], "&gt;="&amp;AA$1,
  tb_caixa[Dia], "&lt;"&amp;EOMONTH(AA$1,0)+1
)</f>
        <v>0</v>
      </c>
    </row>
    <row r="288" spans="1:31" hidden="1" outlineLevel="2" x14ac:dyDescent="0.25">
      <c r="A288" s="347" t="str">
        <f t="shared" si="61"/>
        <v>4.1.BUT.</v>
      </c>
      <c r="B288" s="342" t="s">
        <v>671</v>
      </c>
      <c r="C288" s="342"/>
      <c r="D288" s="343"/>
      <c r="E288" s="343"/>
      <c r="F288" s="343"/>
      <c r="G288" s="343"/>
      <c r="H288" s="343"/>
      <c r="I288" s="343"/>
      <c r="J288" s="343"/>
      <c r="K288" s="343"/>
      <c r="L288" s="343"/>
      <c r="M288" s="343"/>
      <c r="N288" s="343"/>
      <c r="O288" s="343"/>
      <c r="P288" s="343">
        <f>SUMIFS(
  tb_caixa[Saldo],
  tb_caixa[Empresa], $B288,
  tb_caixa[Dia], "&gt;="&amp;P$1,
  tb_caixa[Dia], "&lt;"&amp;EOMONTH(P$1,0)+1
)</f>
        <v>-112827.28</v>
      </c>
      <c r="Q288" s="343">
        <f>SUMIFS(
  tb_caixa[Saldo],
  tb_caixa[Empresa], $B288,
  tb_caixa[Dia], "&gt;="&amp;Q$1,
  tb_caixa[Dia], "&lt;"&amp;EOMONTH(Q$1,0)+1
)</f>
        <v>-95049.82</v>
      </c>
      <c r="R288" s="343">
        <f>SUMIFS(
  tb_caixa[Saldo],
  tb_caixa[Empresa], $B288,
  tb_caixa[Dia], "&gt;="&amp;R$1,
  tb_caixa[Dia], "&lt;"&amp;EOMONTH(R$1,0)+1
)</f>
        <v>-97898.22</v>
      </c>
      <c r="S288" s="343">
        <f>SUMIFS(
  tb_caixa[Saldo],
  tb_caixa[Empresa], $B288,
  tb_caixa[Dia], "&gt;="&amp;S$1,
  tb_caixa[Dia], "&lt;"&amp;EOMONTH(S$1,0)+1
)</f>
        <v>-96141.58</v>
      </c>
      <c r="T288" s="343">
        <f>SUMIFS(
  tb_caixa[Saldo],
  tb_caixa[Empresa], $B288,
  tb_caixa[Dia], "&gt;="&amp;T$1,
  tb_caixa[Dia], "&lt;"&amp;EOMONTH(T$1,0)+1
)</f>
        <v>-114791.79</v>
      </c>
      <c r="U288" s="343">
        <f>SUMIFS(
  tb_caixa[Saldo],
  tb_caixa[Empresa], $B288,
  tb_caixa[Dia], "&gt;="&amp;U$1,
  tb_caixa[Dia], "&lt;"&amp;EOMONTH(U$1,0)+1
)</f>
        <v>6104.32</v>
      </c>
      <c r="V288" s="343">
        <f>SUMIFS(
  tb_caixa[Saldo],
  tb_caixa[Empresa], $B288,
  tb_caixa[Dia], "&gt;="&amp;V$1,
  tb_caixa[Dia], "&lt;"&amp;EOMONTH(V$1,0)+1
)</f>
        <v>-587.80999999999995</v>
      </c>
      <c r="W288" s="343">
        <f>SUMIFS(
  tb_caixa[Saldo],
  tb_caixa[Empresa], $B288,
  tb_caixa[Dia], "&gt;="&amp;W$1,
  tb_caixa[Dia], "&lt;"&amp;EOMONTH(W$1,0)+1
)</f>
        <v>0</v>
      </c>
      <c r="X288" s="343">
        <f>SUMIFS(
  tb_caixa[Saldo],
  tb_caixa[Empresa], $B288,
  tb_caixa[Dia], "&gt;="&amp;X$1,
  tb_caixa[Dia], "&lt;"&amp;EOMONTH(X$1,0)+1
)</f>
        <v>0</v>
      </c>
      <c r="Y288" s="343">
        <f>SUMIFS(
  tb_caixa[Saldo],
  tb_caixa[Empresa], $B288,
  tb_caixa[Dia], "&gt;="&amp;Y$1,
  tb_caixa[Dia], "&lt;"&amp;EOMONTH(Y$1,0)+1
)</f>
        <v>0</v>
      </c>
      <c r="Z288" s="343">
        <f>SUMIFS(
  tb_caixa[Saldo],
  tb_caixa[Empresa], $B288,
  tb_caixa[Dia], "&gt;="&amp;Z$1,
  tb_caixa[Dia], "&lt;"&amp;EOMONTH(Z$1,0)+1
)</f>
        <v>0</v>
      </c>
      <c r="AA288" s="343">
        <f>SUMIFS(
  tb_caixa[Saldo],
  tb_caixa[Empresa], $B288,
  tb_caixa[Dia], "&gt;="&amp;AA$1,
  tb_caixa[Dia], "&lt;"&amp;EOMONTH(AA$1,0)+1
)</f>
        <v>0</v>
      </c>
    </row>
    <row r="289" spans="1:27" hidden="1" outlineLevel="2" x14ac:dyDescent="0.25">
      <c r="A289" s="347" t="str">
        <f t="shared" si="61"/>
        <v>4.1.CBL.</v>
      </c>
      <c r="B289" s="342" t="s">
        <v>673</v>
      </c>
      <c r="C289" s="342"/>
      <c r="D289" s="343"/>
      <c r="E289" s="343"/>
      <c r="F289" s="343"/>
      <c r="G289" s="343"/>
      <c r="H289" s="343"/>
      <c r="I289" s="343"/>
      <c r="J289" s="343"/>
      <c r="K289" s="343"/>
      <c r="L289" s="343"/>
      <c r="M289" s="343"/>
      <c r="N289" s="343"/>
      <c r="O289" s="343"/>
      <c r="P289" s="343">
        <f>SUMIFS(
  tb_caixa[Saldo],
  tb_caixa[Empresa], $B289,
  tb_caixa[Dia], "&gt;="&amp;P$1,
  tb_caixa[Dia], "&lt;"&amp;EOMONTH(P$1,0)+1
)</f>
        <v>89227.86</v>
      </c>
      <c r="Q289" s="343">
        <f>SUMIFS(
  tb_caixa[Saldo],
  tb_caixa[Empresa], $B289,
  tb_caixa[Dia], "&gt;="&amp;Q$1,
  tb_caixa[Dia], "&lt;"&amp;EOMONTH(Q$1,0)+1
)</f>
        <v>424533.14</v>
      </c>
      <c r="R289" s="343">
        <f>SUMIFS(
  tb_caixa[Saldo],
  tb_caixa[Empresa], $B289,
  tb_caixa[Dia], "&gt;="&amp;R$1,
  tb_caixa[Dia], "&lt;"&amp;EOMONTH(R$1,0)+1
)</f>
        <v>9664.98</v>
      </c>
      <c r="S289" s="343">
        <f>SUMIFS(
  tb_caixa[Saldo],
  tb_caixa[Empresa], $B289,
  tb_caixa[Dia], "&gt;="&amp;S$1,
  tb_caixa[Dia], "&lt;"&amp;EOMONTH(S$1,0)+1
)</f>
        <v>19544.72</v>
      </c>
      <c r="T289" s="343">
        <f>SUMIFS(
  tb_caixa[Saldo],
  tb_caixa[Empresa], $B289,
  tb_caixa[Dia], "&gt;="&amp;T$1,
  tb_caixa[Dia], "&lt;"&amp;EOMONTH(T$1,0)+1
)</f>
        <v>106028.82</v>
      </c>
      <c r="U289" s="343">
        <f>SUMIFS(
  tb_caixa[Saldo],
  tb_caixa[Empresa], $B289,
  tb_caixa[Dia], "&gt;="&amp;U$1,
  tb_caixa[Dia], "&lt;"&amp;EOMONTH(U$1,0)+1
)</f>
        <v>2032960.69</v>
      </c>
      <c r="V289" s="343">
        <f>SUMIFS(
  tb_caixa[Saldo],
  tb_caixa[Empresa], $B289,
  tb_caixa[Dia], "&gt;="&amp;V$1,
  tb_caixa[Dia], "&lt;"&amp;EOMONTH(V$1,0)+1
)</f>
        <v>88224.82</v>
      </c>
      <c r="W289" s="343">
        <f>SUMIFS(
  tb_caixa[Saldo],
  tb_caixa[Empresa], $B289,
  tb_caixa[Dia], "&gt;="&amp;W$1,
  tb_caixa[Dia], "&lt;"&amp;EOMONTH(W$1,0)+1
)</f>
        <v>0</v>
      </c>
      <c r="X289" s="343">
        <f>SUMIFS(
  tb_caixa[Saldo],
  tb_caixa[Empresa], $B289,
  tb_caixa[Dia], "&gt;="&amp;X$1,
  tb_caixa[Dia], "&lt;"&amp;EOMONTH(X$1,0)+1
)</f>
        <v>0</v>
      </c>
      <c r="Y289" s="343">
        <f>SUMIFS(
  tb_caixa[Saldo],
  tb_caixa[Empresa], $B289,
  tb_caixa[Dia], "&gt;="&amp;Y$1,
  tb_caixa[Dia], "&lt;"&amp;EOMONTH(Y$1,0)+1
)</f>
        <v>0</v>
      </c>
      <c r="Z289" s="343">
        <f>SUMIFS(
  tb_caixa[Saldo],
  tb_caixa[Empresa], $B289,
  tb_caixa[Dia], "&gt;="&amp;Z$1,
  tb_caixa[Dia], "&lt;"&amp;EOMONTH(Z$1,0)+1
)</f>
        <v>0</v>
      </c>
      <c r="AA289" s="343">
        <f>SUMIFS(
  tb_caixa[Saldo],
  tb_caixa[Empresa], $B289,
  tb_caixa[Dia], "&gt;="&amp;AA$1,
  tb_caixa[Dia], "&lt;"&amp;EOMONTH(AA$1,0)+1
)</f>
        <v>0</v>
      </c>
    </row>
    <row r="290" spans="1:27" hidden="1" outlineLevel="2" x14ac:dyDescent="0.25">
      <c r="A290" s="347" t="str">
        <f t="shared" si="61"/>
        <v>4.1.CHR.</v>
      </c>
      <c r="B290" s="342" t="s">
        <v>863</v>
      </c>
      <c r="C290" s="342"/>
      <c r="D290" s="343"/>
      <c r="E290" s="343"/>
      <c r="F290" s="343"/>
      <c r="G290" s="343"/>
      <c r="H290" s="343"/>
      <c r="I290" s="343"/>
      <c r="J290" s="343"/>
      <c r="K290" s="343"/>
      <c r="L290" s="343"/>
      <c r="M290" s="343"/>
      <c r="N290" s="343"/>
      <c r="O290" s="343"/>
      <c r="P290" s="343">
        <f>SUMIFS(
  tb_caixa[Saldo],
  tb_caixa[Empresa], $B290,
  tb_caixa[Dia], "&gt;="&amp;P$1,
  tb_caixa[Dia], "&lt;"&amp;EOMONTH(P$1,0)+1
)</f>
        <v>0</v>
      </c>
      <c r="Q290" s="343">
        <f>SUMIFS(
  tb_caixa[Saldo],
  tb_caixa[Empresa], $B290,
  tb_caixa[Dia], "&gt;="&amp;Q$1,
  tb_caixa[Dia], "&lt;"&amp;EOMONTH(Q$1,0)+1
)</f>
        <v>0</v>
      </c>
      <c r="R290" s="343">
        <f>SUMIFS(
  tb_caixa[Saldo],
  tb_caixa[Empresa], $B290,
  tb_caixa[Dia], "&gt;="&amp;R$1,
  tb_caixa[Dia], "&lt;"&amp;EOMONTH(R$1,0)+1
)</f>
        <v>0</v>
      </c>
      <c r="S290" s="343">
        <f>SUMIFS(
  tb_caixa[Saldo],
  tb_caixa[Empresa], $B290,
  tb_caixa[Dia], "&gt;="&amp;S$1,
  tb_caixa[Dia], "&lt;"&amp;EOMONTH(S$1,0)+1
)</f>
        <v>0</v>
      </c>
      <c r="T290" s="343">
        <f>SUMIFS(
  tb_caixa[Saldo],
  tb_caixa[Empresa], $B290,
  tb_caixa[Dia], "&gt;="&amp;T$1,
  tb_caixa[Dia], "&lt;"&amp;EOMONTH(T$1,0)+1
)</f>
        <v>0</v>
      </c>
      <c r="U290" s="343">
        <f>SUMIFS(
  tb_caixa[Saldo],
  tb_caixa[Empresa], $B290,
  tb_caixa[Dia], "&gt;="&amp;U$1,
  tb_caixa[Dia], "&lt;"&amp;EOMONTH(U$1,0)+1
)</f>
        <v>0</v>
      </c>
      <c r="V290" s="343">
        <f>SUMIFS(
  tb_caixa[Saldo],
  tb_caixa[Empresa], $B290,
  tb_caixa[Dia], "&gt;="&amp;V$1,
  tb_caixa[Dia], "&lt;"&amp;EOMONTH(V$1,0)+1
)</f>
        <v>0</v>
      </c>
      <c r="W290" s="343">
        <f>SUMIFS(
  tb_caixa[Saldo],
  tb_caixa[Empresa], $B290,
  tb_caixa[Dia], "&gt;="&amp;W$1,
  tb_caixa[Dia], "&lt;"&amp;EOMONTH(W$1,0)+1
)</f>
        <v>0</v>
      </c>
      <c r="X290" s="343">
        <f>SUMIFS(
  tb_caixa[Saldo],
  tb_caixa[Empresa], $B290,
  tb_caixa[Dia], "&gt;="&amp;X$1,
  tb_caixa[Dia], "&lt;"&amp;EOMONTH(X$1,0)+1
)</f>
        <v>0</v>
      </c>
      <c r="Y290" s="343">
        <f>SUMIFS(
  tb_caixa[Saldo],
  tb_caixa[Empresa], $B290,
  tb_caixa[Dia], "&gt;="&amp;Y$1,
  tb_caixa[Dia], "&lt;"&amp;EOMONTH(Y$1,0)+1
)</f>
        <v>0</v>
      </c>
      <c r="Z290" s="343">
        <f>SUMIFS(
  tb_caixa[Saldo],
  tb_caixa[Empresa], $B290,
  tb_caixa[Dia], "&gt;="&amp;Z$1,
  tb_caixa[Dia], "&lt;"&amp;EOMONTH(Z$1,0)+1
)</f>
        <v>0</v>
      </c>
      <c r="AA290" s="343">
        <f>SUMIFS(
  tb_caixa[Saldo],
  tb_caixa[Empresa], $B290,
  tb_caixa[Dia], "&gt;="&amp;AA$1,
  tb_caixa[Dia], "&lt;"&amp;EOMONTH(AA$1,0)+1
)</f>
        <v>0</v>
      </c>
    </row>
    <row r="291" spans="1:27" hidden="1" outlineLevel="2" x14ac:dyDescent="0.25">
      <c r="A291" s="347" t="str">
        <f t="shared" si="61"/>
        <v>4.1.CPE.</v>
      </c>
      <c r="B291" s="342" t="s">
        <v>857</v>
      </c>
      <c r="C291" s="342"/>
      <c r="D291" s="343"/>
      <c r="E291" s="343"/>
      <c r="F291" s="343"/>
      <c r="G291" s="343"/>
      <c r="H291" s="343"/>
      <c r="I291" s="343"/>
      <c r="J291" s="343"/>
      <c r="K291" s="343"/>
      <c r="L291" s="343"/>
      <c r="M291" s="343"/>
      <c r="N291" s="343"/>
      <c r="O291" s="343"/>
      <c r="P291" s="343">
        <f>SUMIFS(
  tb_caixa[Saldo],
  tb_caixa[Empresa], $B291,
  tb_caixa[Dia], "&gt;="&amp;P$1,
  tb_caixa[Dia], "&lt;"&amp;EOMONTH(P$1,0)+1
)</f>
        <v>1352.9399999999998</v>
      </c>
      <c r="Q291" s="343">
        <f>SUMIFS(
  tb_caixa[Saldo],
  tb_caixa[Empresa], $B291,
  tb_caixa[Dia], "&gt;="&amp;Q$1,
  tb_caixa[Dia], "&lt;"&amp;EOMONTH(Q$1,0)+1
)</f>
        <v>6735.39</v>
      </c>
      <c r="R291" s="343">
        <f>SUMIFS(
  tb_caixa[Saldo],
  tb_caixa[Empresa], $B291,
  tb_caixa[Dia], "&gt;="&amp;R$1,
  tb_caixa[Dia], "&lt;"&amp;EOMONTH(R$1,0)+1
)</f>
        <v>9855.07</v>
      </c>
      <c r="S291" s="343">
        <f>SUMIFS(
  tb_caixa[Saldo],
  tb_caixa[Empresa], $B291,
  tb_caixa[Dia], "&gt;="&amp;S$1,
  tb_caixa[Dia], "&lt;"&amp;EOMONTH(S$1,0)+1
)</f>
        <v>4313.1400000000003</v>
      </c>
      <c r="T291" s="343">
        <f>SUMIFS(
  tb_caixa[Saldo],
  tb_caixa[Empresa], $B291,
  tb_caixa[Dia], "&gt;="&amp;T$1,
  tb_caixa[Dia], "&lt;"&amp;EOMONTH(T$1,0)+1
)</f>
        <v>8025.8300000000008</v>
      </c>
      <c r="U291" s="343">
        <f>SUMIFS(
  tb_caixa[Saldo],
  tb_caixa[Empresa], $B291,
  tb_caixa[Dia], "&gt;="&amp;U$1,
  tb_caixa[Dia], "&lt;"&amp;EOMONTH(U$1,0)+1
)</f>
        <v>9268.59</v>
      </c>
      <c r="V291" s="343">
        <f>SUMIFS(
  tb_caixa[Saldo],
  tb_caixa[Empresa], $B291,
  tb_caixa[Dia], "&gt;="&amp;V$1,
  tb_caixa[Dia], "&lt;"&amp;EOMONTH(V$1,0)+1
)</f>
        <v>1445.04</v>
      </c>
      <c r="W291" s="343">
        <f>SUMIFS(
  tb_caixa[Saldo],
  tb_caixa[Empresa], $B291,
  tb_caixa[Dia], "&gt;="&amp;W$1,
  tb_caixa[Dia], "&lt;"&amp;EOMONTH(W$1,0)+1
)</f>
        <v>0</v>
      </c>
      <c r="X291" s="343">
        <f>SUMIFS(
  tb_caixa[Saldo],
  tb_caixa[Empresa], $B291,
  tb_caixa[Dia], "&gt;="&amp;X$1,
  tb_caixa[Dia], "&lt;"&amp;EOMONTH(X$1,0)+1
)</f>
        <v>0</v>
      </c>
      <c r="Y291" s="343">
        <f>SUMIFS(
  tb_caixa[Saldo],
  tb_caixa[Empresa], $B291,
  tb_caixa[Dia], "&gt;="&amp;Y$1,
  tb_caixa[Dia], "&lt;"&amp;EOMONTH(Y$1,0)+1
)</f>
        <v>0</v>
      </c>
      <c r="Z291" s="343">
        <f>SUMIFS(
  tb_caixa[Saldo],
  tb_caixa[Empresa], $B291,
  tb_caixa[Dia], "&gt;="&amp;Z$1,
  tb_caixa[Dia], "&lt;"&amp;EOMONTH(Z$1,0)+1
)</f>
        <v>0</v>
      </c>
      <c r="AA291" s="343">
        <f>SUMIFS(
  tb_caixa[Saldo],
  tb_caixa[Empresa], $B291,
  tb_caixa[Dia], "&gt;="&amp;AA$1,
  tb_caixa[Dia], "&lt;"&amp;EOMONTH(AA$1,0)+1
)</f>
        <v>0</v>
      </c>
    </row>
    <row r="292" spans="1:27" hidden="1" outlineLevel="2" x14ac:dyDescent="0.25">
      <c r="A292" s="347" t="str">
        <f t="shared" si="61"/>
        <v>4.1.CXG.</v>
      </c>
      <c r="B292" s="342" t="s">
        <v>1261</v>
      </c>
      <c r="C292" s="342"/>
      <c r="D292" s="343"/>
      <c r="E292" s="343"/>
      <c r="F292" s="343"/>
      <c r="G292" s="343"/>
      <c r="H292" s="343"/>
      <c r="I292" s="343"/>
      <c r="J292" s="343"/>
      <c r="K292" s="343"/>
      <c r="L292" s="343"/>
      <c r="M292" s="343"/>
      <c r="N292" s="343"/>
      <c r="O292" s="343"/>
      <c r="P292" s="343">
        <f>SUMIFS(
  tb_caixa[Saldo],
  tb_caixa[Empresa], $B292,
  tb_caixa[Dia], "&gt;="&amp;P$1,
  tb_caixa[Dia], "&lt;"&amp;EOMONTH(P$1,0)+1
)</f>
        <v>0</v>
      </c>
      <c r="Q292" s="343">
        <f>SUMIFS(
  tb_caixa[Saldo],
  tb_caixa[Empresa], $B292,
  tb_caixa[Dia], "&gt;="&amp;Q$1,
  tb_caixa[Dia], "&lt;"&amp;EOMONTH(Q$1,0)+1
)</f>
        <v>0</v>
      </c>
      <c r="R292" s="343">
        <f>SUMIFS(
  tb_caixa[Saldo],
  tb_caixa[Empresa], $B292,
  tb_caixa[Dia], "&gt;="&amp;R$1,
  tb_caixa[Dia], "&lt;"&amp;EOMONTH(R$1,0)+1
)</f>
        <v>0</v>
      </c>
      <c r="S292" s="343">
        <f>SUMIFS(
  tb_caixa[Saldo],
  tb_caixa[Empresa], $B292,
  tb_caixa[Dia], "&gt;="&amp;S$1,
  tb_caixa[Dia], "&lt;"&amp;EOMONTH(S$1,0)+1
)</f>
        <v>0</v>
      </c>
      <c r="T292" s="343">
        <f>SUMIFS(
  tb_caixa[Saldo],
  tb_caixa[Empresa], $B292,
  tb_caixa[Dia], "&gt;="&amp;T$1,
  tb_caixa[Dia], "&lt;"&amp;EOMONTH(T$1,0)+1
)</f>
        <v>2751</v>
      </c>
      <c r="U292" s="343">
        <f>SUMIFS(
  tb_caixa[Saldo],
  tb_caixa[Empresa], $B292,
  tb_caixa[Dia], "&gt;="&amp;U$1,
  tb_caixa[Dia], "&lt;"&amp;EOMONTH(U$1,0)+1
)</f>
        <v>2264</v>
      </c>
      <c r="V292" s="343">
        <f>SUMIFS(
  tb_caixa[Saldo],
  tb_caixa[Empresa], $B292,
  tb_caixa[Dia], "&gt;="&amp;V$1,
  tb_caixa[Dia], "&lt;"&amp;EOMONTH(V$1,0)+1
)</f>
        <v>2090</v>
      </c>
      <c r="W292" s="343">
        <f>SUMIFS(
  tb_caixa[Saldo],
  tb_caixa[Empresa], $B292,
  tb_caixa[Dia], "&gt;="&amp;W$1,
  tb_caixa[Dia], "&lt;"&amp;EOMONTH(W$1,0)+1
)</f>
        <v>0</v>
      </c>
      <c r="X292" s="343">
        <f>SUMIFS(
  tb_caixa[Saldo],
  tb_caixa[Empresa], $B292,
  tb_caixa[Dia], "&gt;="&amp;X$1,
  tb_caixa[Dia], "&lt;"&amp;EOMONTH(X$1,0)+1
)</f>
        <v>0</v>
      </c>
      <c r="Y292" s="343">
        <f>SUMIFS(
  tb_caixa[Saldo],
  tb_caixa[Empresa], $B292,
  tb_caixa[Dia], "&gt;="&amp;Y$1,
  tb_caixa[Dia], "&lt;"&amp;EOMONTH(Y$1,0)+1
)</f>
        <v>0</v>
      </c>
      <c r="Z292" s="343">
        <f>SUMIFS(
  tb_caixa[Saldo],
  tb_caixa[Empresa], $B292,
  tb_caixa[Dia], "&gt;="&amp;Z$1,
  tb_caixa[Dia], "&lt;"&amp;EOMONTH(Z$1,0)+1
)</f>
        <v>0</v>
      </c>
      <c r="AA292" s="343">
        <f>SUMIFS(
  tb_caixa[Saldo],
  tb_caixa[Empresa], $B292,
  tb_caixa[Dia], "&gt;="&amp;AA$1,
  tb_caixa[Dia], "&lt;"&amp;EOMONTH(AA$1,0)+1
)</f>
        <v>0</v>
      </c>
    </row>
    <row r="293" spans="1:27" hidden="1" outlineLevel="2" x14ac:dyDescent="0.25">
      <c r="A293" s="347" t="str">
        <f t="shared" si="61"/>
        <v>4.1.DPF.</v>
      </c>
      <c r="B293" s="342" t="s">
        <v>867</v>
      </c>
      <c r="C293" s="342"/>
      <c r="D293" s="343"/>
      <c r="E293" s="343"/>
      <c r="F293" s="343"/>
      <c r="G293" s="343"/>
      <c r="H293" s="343"/>
      <c r="I293" s="343"/>
      <c r="J293" s="343"/>
      <c r="K293" s="343"/>
      <c r="L293" s="343"/>
      <c r="M293" s="343"/>
      <c r="N293" s="343"/>
      <c r="O293" s="343"/>
      <c r="P293" s="343">
        <f>SUMIFS(
  tb_caixa[Saldo],
  tb_caixa[Empresa], $B293,
  tb_caixa[Dia], "&gt;="&amp;P$1,
  tb_caixa[Dia], "&lt;"&amp;EOMONTH(P$1,0)+1
)</f>
        <v>19092.46</v>
      </c>
      <c r="Q293" s="343">
        <f>SUMIFS(
  tb_caixa[Saldo],
  tb_caixa[Empresa], $B293,
  tb_caixa[Dia], "&gt;="&amp;Q$1,
  tb_caixa[Dia], "&lt;"&amp;EOMONTH(Q$1,0)+1
)</f>
        <v>-9091.2800000000007</v>
      </c>
      <c r="R293" s="343">
        <f>SUMIFS(
  tb_caixa[Saldo],
  tb_caixa[Empresa], $B293,
  tb_caixa[Dia], "&gt;="&amp;R$1,
  tb_caixa[Dia], "&lt;"&amp;EOMONTH(R$1,0)+1
)</f>
        <v>-2853.73</v>
      </c>
      <c r="S293" s="343">
        <f>SUMIFS(
  tb_caixa[Saldo],
  tb_caixa[Empresa], $B293,
  tb_caixa[Dia], "&gt;="&amp;S$1,
  tb_caixa[Dia], "&lt;"&amp;EOMONTH(S$1,0)+1
)</f>
        <v>-1501.78</v>
      </c>
      <c r="T293" s="343">
        <f>SUMIFS(
  tb_caixa[Saldo],
  tb_caixa[Empresa], $B293,
  tb_caixa[Dia], "&gt;="&amp;T$1,
  tb_caixa[Dia], "&lt;"&amp;EOMONTH(T$1,0)+1
)</f>
        <v>-2905.16</v>
      </c>
      <c r="U293" s="343">
        <f>SUMIFS(
  tb_caixa[Saldo],
  tb_caixa[Empresa], $B293,
  tb_caixa[Dia], "&gt;="&amp;U$1,
  tb_caixa[Dia], "&lt;"&amp;EOMONTH(U$1,0)+1
)</f>
        <v>3746.08</v>
      </c>
      <c r="V293" s="343">
        <f>SUMIFS(
  tb_caixa[Saldo],
  tb_caixa[Empresa], $B293,
  tb_caixa[Dia], "&gt;="&amp;V$1,
  tb_caixa[Dia], "&lt;"&amp;EOMONTH(V$1,0)+1
)</f>
        <v>17355.18</v>
      </c>
      <c r="W293" s="343">
        <f>SUMIFS(
  tb_caixa[Saldo],
  tb_caixa[Empresa], $B293,
  tb_caixa[Dia], "&gt;="&amp;W$1,
  tb_caixa[Dia], "&lt;"&amp;EOMONTH(W$1,0)+1
)</f>
        <v>0</v>
      </c>
      <c r="X293" s="343">
        <f>SUMIFS(
  tb_caixa[Saldo],
  tb_caixa[Empresa], $B293,
  tb_caixa[Dia], "&gt;="&amp;X$1,
  tb_caixa[Dia], "&lt;"&amp;EOMONTH(X$1,0)+1
)</f>
        <v>0</v>
      </c>
      <c r="Y293" s="343">
        <f>SUMIFS(
  tb_caixa[Saldo],
  tb_caixa[Empresa], $B293,
  tb_caixa[Dia], "&gt;="&amp;Y$1,
  tb_caixa[Dia], "&lt;"&amp;EOMONTH(Y$1,0)+1
)</f>
        <v>0</v>
      </c>
      <c r="Z293" s="343">
        <f>SUMIFS(
  tb_caixa[Saldo],
  tb_caixa[Empresa], $B293,
  tb_caixa[Dia], "&gt;="&amp;Z$1,
  tb_caixa[Dia], "&lt;"&amp;EOMONTH(Z$1,0)+1
)</f>
        <v>0</v>
      </c>
      <c r="AA293" s="343">
        <f>SUMIFS(
  tb_caixa[Saldo],
  tb_caixa[Empresa], $B293,
  tb_caixa[Dia], "&gt;="&amp;AA$1,
  tb_caixa[Dia], "&lt;"&amp;EOMONTH(AA$1,0)+1
)</f>
        <v>0</v>
      </c>
    </row>
    <row r="294" spans="1:27" hidden="1" outlineLevel="2" x14ac:dyDescent="0.25">
      <c r="A294" s="347" t="str">
        <f t="shared" si="61"/>
        <v>4.1.ENC.</v>
      </c>
      <c r="B294" s="342" t="s">
        <v>479</v>
      </c>
      <c r="C294" s="342"/>
      <c r="D294" s="343"/>
      <c r="E294" s="343"/>
      <c r="F294" s="343"/>
      <c r="G294" s="343"/>
      <c r="H294" s="343"/>
      <c r="I294" s="343"/>
      <c r="J294" s="343"/>
      <c r="K294" s="343"/>
      <c r="L294" s="343"/>
      <c r="M294" s="343"/>
      <c r="N294" s="343"/>
      <c r="O294" s="343"/>
      <c r="P294" s="343">
        <f>SUMIFS(
  tb_caixa[Saldo],
  tb_caixa[Empresa], $B294,
  tb_caixa[Dia], "&gt;="&amp;P$1,
  tb_caixa[Dia], "&lt;"&amp;EOMONTH(P$1,0)+1
)</f>
        <v>49396.880000000005</v>
      </c>
      <c r="Q294" s="343">
        <f>SUMIFS(
  tb_caixa[Saldo],
  tb_caixa[Empresa], $B294,
  tb_caixa[Dia], "&gt;="&amp;Q$1,
  tb_caixa[Dia], "&lt;"&amp;EOMONTH(Q$1,0)+1
)</f>
        <v>-15066.989999999998</v>
      </c>
      <c r="R294" s="343">
        <f>SUMIFS(
  tb_caixa[Saldo],
  tb_caixa[Empresa], $B294,
  tb_caixa[Dia], "&gt;="&amp;R$1,
  tb_caixa[Dia], "&lt;"&amp;EOMONTH(R$1,0)+1
)</f>
        <v>-112435.81</v>
      </c>
      <c r="S294" s="343">
        <f>SUMIFS(
  tb_caixa[Saldo],
  tb_caixa[Empresa], $B294,
  tb_caixa[Dia], "&gt;="&amp;S$1,
  tb_caixa[Dia], "&lt;"&amp;EOMONTH(S$1,0)+1
)</f>
        <v>-120162.23999999999</v>
      </c>
      <c r="T294" s="343">
        <f>SUMIFS(
  tb_caixa[Saldo],
  tb_caixa[Empresa], $B294,
  tb_caixa[Dia], "&gt;="&amp;T$1,
  tb_caixa[Dia], "&lt;"&amp;EOMONTH(T$1,0)+1
)</f>
        <v>-130216.46</v>
      </c>
      <c r="U294" s="343">
        <f>SUMIFS(
  tb_caixa[Saldo],
  tb_caixa[Empresa], $B294,
  tb_caixa[Dia], "&gt;="&amp;U$1,
  tb_caixa[Dia], "&lt;"&amp;EOMONTH(U$1,0)+1
)</f>
        <v>4336.51</v>
      </c>
      <c r="V294" s="343">
        <f>SUMIFS(
  tb_caixa[Saldo],
  tb_caixa[Empresa], $B294,
  tb_caixa[Dia], "&gt;="&amp;V$1,
  tb_caixa[Dia], "&lt;"&amp;EOMONTH(V$1,0)+1
)</f>
        <v>4790.51</v>
      </c>
      <c r="W294" s="343">
        <f>SUMIFS(
  tb_caixa[Saldo],
  tb_caixa[Empresa], $B294,
  tb_caixa[Dia], "&gt;="&amp;W$1,
  tb_caixa[Dia], "&lt;"&amp;EOMONTH(W$1,0)+1
)</f>
        <v>0</v>
      </c>
      <c r="X294" s="343">
        <f>SUMIFS(
  tb_caixa[Saldo],
  tb_caixa[Empresa], $B294,
  tb_caixa[Dia], "&gt;="&amp;X$1,
  tb_caixa[Dia], "&lt;"&amp;EOMONTH(X$1,0)+1
)</f>
        <v>0</v>
      </c>
      <c r="Y294" s="343">
        <f>SUMIFS(
  tb_caixa[Saldo],
  tb_caixa[Empresa], $B294,
  tb_caixa[Dia], "&gt;="&amp;Y$1,
  tb_caixa[Dia], "&lt;"&amp;EOMONTH(Y$1,0)+1
)</f>
        <v>0</v>
      </c>
      <c r="Z294" s="343">
        <f>SUMIFS(
  tb_caixa[Saldo],
  tb_caixa[Empresa], $B294,
  tb_caixa[Dia], "&gt;="&amp;Z$1,
  tb_caixa[Dia], "&lt;"&amp;EOMONTH(Z$1,0)+1
)</f>
        <v>0</v>
      </c>
      <c r="AA294" s="343">
        <f>SUMIFS(
  tb_caixa[Saldo],
  tb_caixa[Empresa], $B294,
  tb_caixa[Dia], "&gt;="&amp;AA$1,
  tb_caixa[Dia], "&lt;"&amp;EOMONTH(AA$1,0)+1
)</f>
        <v>0</v>
      </c>
    </row>
    <row r="295" spans="1:27" hidden="1" outlineLevel="2" x14ac:dyDescent="0.25">
      <c r="A295" s="347" t="str">
        <f t="shared" si="61"/>
        <v>4.1.GRA.</v>
      </c>
      <c r="B295" s="342" t="s">
        <v>9</v>
      </c>
      <c r="C295" s="342"/>
      <c r="D295" s="343"/>
      <c r="E295" s="343"/>
      <c r="F295" s="343"/>
      <c r="G295" s="343"/>
      <c r="H295" s="343"/>
      <c r="I295" s="343"/>
      <c r="J295" s="343"/>
      <c r="K295" s="343"/>
      <c r="L295" s="343"/>
      <c r="M295" s="343"/>
      <c r="N295" s="343"/>
      <c r="O295" s="343"/>
      <c r="P295" s="343">
        <f>SUMIFS(
  tb_caixa[Saldo],
  tb_caixa[Empresa], $B295,
  tb_caixa[Dia], "&gt;="&amp;P$1,
  tb_caixa[Dia], "&lt;"&amp;EOMONTH(P$1,0)+1
)</f>
        <v>271436.51</v>
      </c>
      <c r="Q295" s="343">
        <f>SUMIFS(
  tb_caixa[Saldo],
  tb_caixa[Empresa], $B295,
  tb_caixa[Dia], "&gt;="&amp;Q$1,
  tb_caixa[Dia], "&lt;"&amp;EOMONTH(Q$1,0)+1
)</f>
        <v>933491.92</v>
      </c>
      <c r="R295" s="343">
        <f>SUMIFS(
  tb_caixa[Saldo],
  tb_caixa[Empresa], $B295,
  tb_caixa[Dia], "&gt;="&amp;R$1,
  tb_caixa[Dia], "&lt;"&amp;EOMONTH(R$1,0)+1
)</f>
        <v>931191.33000000007</v>
      </c>
      <c r="S295" s="343">
        <f>SUMIFS(
  tb_caixa[Saldo],
  tb_caixa[Empresa], $B295,
  tb_caixa[Dia], "&gt;="&amp;S$1,
  tb_caixa[Dia], "&lt;"&amp;EOMONTH(S$1,0)+1
)</f>
        <v>358511.69</v>
      </c>
      <c r="T295" s="343">
        <f>SUMIFS(
  tb_caixa[Saldo],
  tb_caixa[Empresa], $B295,
  tb_caixa[Dia], "&gt;="&amp;T$1,
  tb_caixa[Dia], "&lt;"&amp;EOMONTH(T$1,0)+1
)</f>
        <v>637156.14</v>
      </c>
      <c r="U295" s="343">
        <f>SUMIFS(
  tb_caixa[Saldo],
  tb_caixa[Empresa], $B295,
  tb_caixa[Dia], "&gt;="&amp;U$1,
  tb_caixa[Dia], "&lt;"&amp;EOMONTH(U$1,0)+1
)</f>
        <v>2088667.99</v>
      </c>
      <c r="V295" s="343">
        <f>SUMIFS(
  tb_caixa[Saldo],
  tb_caixa[Empresa], $B295,
  tb_caixa[Dia], "&gt;="&amp;V$1,
  tb_caixa[Dia], "&lt;"&amp;EOMONTH(V$1,0)+1
)</f>
        <v>30953.41</v>
      </c>
      <c r="W295" s="343">
        <f>SUMIFS(
  tb_caixa[Saldo],
  tb_caixa[Empresa], $B295,
  tb_caixa[Dia], "&gt;="&amp;W$1,
  tb_caixa[Dia], "&lt;"&amp;EOMONTH(W$1,0)+1
)</f>
        <v>0</v>
      </c>
      <c r="X295" s="343">
        <f>SUMIFS(
  tb_caixa[Saldo],
  tb_caixa[Empresa], $B295,
  tb_caixa[Dia], "&gt;="&amp;X$1,
  tb_caixa[Dia], "&lt;"&amp;EOMONTH(X$1,0)+1
)</f>
        <v>0</v>
      </c>
      <c r="Y295" s="343">
        <f>SUMIFS(
  tb_caixa[Saldo],
  tb_caixa[Empresa], $B295,
  tb_caixa[Dia], "&gt;="&amp;Y$1,
  tb_caixa[Dia], "&lt;"&amp;EOMONTH(Y$1,0)+1
)</f>
        <v>0</v>
      </c>
      <c r="Z295" s="343">
        <f>SUMIFS(
  tb_caixa[Saldo],
  tb_caixa[Empresa], $B295,
  tb_caixa[Dia], "&gt;="&amp;Z$1,
  tb_caixa[Dia], "&lt;"&amp;EOMONTH(Z$1,0)+1
)</f>
        <v>0</v>
      </c>
      <c r="AA295" s="343">
        <f>SUMIFS(
  tb_caixa[Saldo],
  tb_caixa[Empresa], $B295,
  tb_caixa[Dia], "&gt;="&amp;AA$1,
  tb_caixa[Dia], "&lt;"&amp;EOMONTH(AA$1,0)+1
)</f>
        <v>0</v>
      </c>
    </row>
    <row r="296" spans="1:27" hidden="1" outlineLevel="2" x14ac:dyDescent="0.25">
      <c r="A296" s="347" t="str">
        <f t="shared" si="61"/>
        <v>4.1.INC.</v>
      </c>
      <c r="B296" s="342" t="s">
        <v>481</v>
      </c>
      <c r="C296" s="342"/>
      <c r="D296" s="343"/>
      <c r="E296" s="343"/>
      <c r="F296" s="343"/>
      <c r="G296" s="343"/>
      <c r="H296" s="343"/>
      <c r="I296" s="343"/>
      <c r="J296" s="343"/>
      <c r="K296" s="343"/>
      <c r="L296" s="343"/>
      <c r="M296" s="343"/>
      <c r="N296" s="343"/>
      <c r="O296" s="343"/>
      <c r="P296" s="343">
        <f>SUMIFS(
  tb_caixa[Saldo],
  tb_caixa[Empresa], $B296,
  tb_caixa[Dia], "&gt;="&amp;P$1,
  tb_caixa[Dia], "&lt;"&amp;EOMONTH(P$1,0)+1
)</f>
        <v>-38778.5</v>
      </c>
      <c r="Q296" s="343">
        <f>SUMIFS(
  tb_caixa[Saldo],
  tb_caixa[Empresa], $B296,
  tb_caixa[Dia], "&gt;="&amp;Q$1,
  tb_caixa[Dia], "&lt;"&amp;EOMONTH(Q$1,0)+1
)</f>
        <v>-38225.360000000001</v>
      </c>
      <c r="R296" s="343">
        <f>SUMIFS(
  tb_caixa[Saldo],
  tb_caixa[Empresa], $B296,
  tb_caixa[Dia], "&gt;="&amp;R$1,
  tb_caixa[Dia], "&lt;"&amp;EOMONTH(R$1,0)+1
)</f>
        <v>-5927.23</v>
      </c>
      <c r="S296" s="343">
        <f>SUMIFS(
  tb_caixa[Saldo],
  tb_caixa[Empresa], $B296,
  tb_caixa[Dia], "&gt;="&amp;S$1,
  tb_caixa[Dia], "&lt;"&amp;EOMONTH(S$1,0)+1
)</f>
        <v>-27696.14</v>
      </c>
      <c r="T296" s="343">
        <f>SUMIFS(
  tb_caixa[Saldo],
  tb_caixa[Empresa], $B296,
  tb_caixa[Dia], "&gt;="&amp;T$1,
  tb_caixa[Dia], "&lt;"&amp;EOMONTH(T$1,0)+1
)</f>
        <v>-28570.46</v>
      </c>
      <c r="U296" s="343">
        <f>SUMIFS(
  tb_caixa[Saldo],
  tb_caixa[Empresa], $B296,
  tb_caixa[Dia], "&gt;="&amp;U$1,
  tb_caixa[Dia], "&lt;"&amp;EOMONTH(U$1,0)+1
)</f>
        <v>-35687.120000000003</v>
      </c>
      <c r="V296" s="343">
        <f>SUMIFS(
  tb_caixa[Saldo],
  tb_caixa[Empresa], $B296,
  tb_caixa[Dia], "&gt;="&amp;V$1,
  tb_caixa[Dia], "&lt;"&amp;EOMONTH(V$1,0)+1
)</f>
        <v>-16578.120000000003</v>
      </c>
      <c r="W296" s="343">
        <f>SUMIFS(
  tb_caixa[Saldo],
  tb_caixa[Empresa], $B296,
  tb_caixa[Dia], "&gt;="&amp;W$1,
  tb_caixa[Dia], "&lt;"&amp;EOMONTH(W$1,0)+1
)</f>
        <v>0</v>
      </c>
      <c r="X296" s="343">
        <f>SUMIFS(
  tb_caixa[Saldo],
  tb_caixa[Empresa], $B296,
  tb_caixa[Dia], "&gt;="&amp;X$1,
  tb_caixa[Dia], "&lt;"&amp;EOMONTH(X$1,0)+1
)</f>
        <v>0</v>
      </c>
      <c r="Y296" s="343">
        <f>SUMIFS(
  tb_caixa[Saldo],
  tb_caixa[Empresa], $B296,
  tb_caixa[Dia], "&gt;="&amp;Y$1,
  tb_caixa[Dia], "&lt;"&amp;EOMONTH(Y$1,0)+1
)</f>
        <v>0</v>
      </c>
      <c r="Z296" s="343">
        <f>SUMIFS(
  tb_caixa[Saldo],
  tb_caixa[Empresa], $B296,
  tb_caixa[Dia], "&gt;="&amp;Z$1,
  tb_caixa[Dia], "&lt;"&amp;EOMONTH(Z$1,0)+1
)</f>
        <v>0</v>
      </c>
      <c r="AA296" s="343">
        <f>SUMIFS(
  tb_caixa[Saldo],
  tb_caixa[Empresa], $B296,
  tb_caixa[Dia], "&gt;="&amp;AA$1,
  tb_caixa[Dia], "&lt;"&amp;EOMONTH(AA$1,0)+1
)</f>
        <v>0</v>
      </c>
    </row>
    <row r="297" spans="1:27" hidden="1" outlineLevel="2" x14ac:dyDescent="0.25">
      <c r="A297" s="347" t="str">
        <f t="shared" si="61"/>
        <v>4.1.JRP.</v>
      </c>
      <c r="B297" s="342" t="s">
        <v>677</v>
      </c>
      <c r="C297" s="342"/>
      <c r="D297" s="343"/>
      <c r="E297" s="343"/>
      <c r="F297" s="343"/>
      <c r="G297" s="343"/>
      <c r="H297" s="343"/>
      <c r="I297" s="343"/>
      <c r="J297" s="343"/>
      <c r="K297" s="343"/>
      <c r="L297" s="343"/>
      <c r="M297" s="343"/>
      <c r="N297" s="343"/>
      <c r="O297" s="343"/>
      <c r="P297" s="343">
        <f>SUMIFS(
  tb_caixa[Saldo],
  tb_caixa[Empresa], $B297,
  tb_caixa[Dia], "&gt;="&amp;P$1,
  tb_caixa[Dia], "&lt;"&amp;EOMONTH(P$1,0)+1
)</f>
        <v>342.22</v>
      </c>
      <c r="Q297" s="343">
        <f>SUMIFS(
  tb_caixa[Saldo],
  tb_caixa[Empresa], $B297,
  tb_caixa[Dia], "&gt;="&amp;Q$1,
  tb_caixa[Dia], "&lt;"&amp;EOMONTH(Q$1,0)+1
)</f>
        <v>204.22</v>
      </c>
      <c r="R297" s="343">
        <f>SUMIFS(
  tb_caixa[Saldo],
  tb_caixa[Empresa], $B297,
  tb_caixa[Dia], "&gt;="&amp;R$1,
  tb_caixa[Dia], "&lt;"&amp;EOMONTH(R$1,0)+1
)</f>
        <v>625.91999999999996</v>
      </c>
      <c r="S297" s="343">
        <f>SUMIFS(
  tb_caixa[Saldo],
  tb_caixa[Empresa], $B297,
  tb_caixa[Dia], "&gt;="&amp;S$1,
  tb_caixa[Dia], "&lt;"&amp;EOMONTH(S$1,0)+1
)</f>
        <v>477.69</v>
      </c>
      <c r="T297" s="343">
        <f>SUMIFS(
  tb_caixa[Saldo],
  tb_caixa[Empresa], $B297,
  tb_caixa[Dia], "&gt;="&amp;T$1,
  tb_caixa[Dia], "&lt;"&amp;EOMONTH(T$1,0)+1
)</f>
        <v>729.01</v>
      </c>
      <c r="U297" s="343">
        <f>SUMIFS(
  tb_caixa[Saldo],
  tb_caixa[Empresa], $B297,
  tb_caixa[Dia], "&gt;="&amp;U$1,
  tb_caixa[Dia], "&lt;"&amp;EOMONTH(U$1,0)+1
)</f>
        <v>3615.89</v>
      </c>
      <c r="V297" s="343">
        <f>SUMIFS(
  tb_caixa[Saldo],
  tb_caixa[Empresa], $B297,
  tb_caixa[Dia], "&gt;="&amp;V$1,
  tb_caixa[Dia], "&lt;"&amp;EOMONTH(V$1,0)+1
)</f>
        <v>69713.08</v>
      </c>
      <c r="W297" s="343">
        <f>SUMIFS(
  tb_caixa[Saldo],
  tb_caixa[Empresa], $B297,
  tb_caixa[Dia], "&gt;="&amp;W$1,
  tb_caixa[Dia], "&lt;"&amp;EOMONTH(W$1,0)+1
)</f>
        <v>0</v>
      </c>
      <c r="X297" s="343">
        <f>SUMIFS(
  tb_caixa[Saldo],
  tb_caixa[Empresa], $B297,
  tb_caixa[Dia], "&gt;="&amp;X$1,
  tb_caixa[Dia], "&lt;"&amp;EOMONTH(X$1,0)+1
)</f>
        <v>0</v>
      </c>
      <c r="Y297" s="343">
        <f>SUMIFS(
  tb_caixa[Saldo],
  tb_caixa[Empresa], $B297,
  tb_caixa[Dia], "&gt;="&amp;Y$1,
  tb_caixa[Dia], "&lt;"&amp;EOMONTH(Y$1,0)+1
)</f>
        <v>0</v>
      </c>
      <c r="Z297" s="343">
        <f>SUMIFS(
  tb_caixa[Saldo],
  tb_caixa[Empresa], $B297,
  tb_caixa[Dia], "&gt;="&amp;Z$1,
  tb_caixa[Dia], "&lt;"&amp;EOMONTH(Z$1,0)+1
)</f>
        <v>0</v>
      </c>
      <c r="AA297" s="343">
        <f>SUMIFS(
  tb_caixa[Saldo],
  tb_caixa[Empresa], $B297,
  tb_caixa[Dia], "&gt;="&amp;AA$1,
  tb_caixa[Dia], "&lt;"&amp;EOMONTH(AA$1,0)+1
)</f>
        <v>0</v>
      </c>
    </row>
    <row r="298" spans="1:27" hidden="1" outlineLevel="2" x14ac:dyDescent="0.25">
      <c r="A298" s="347" t="str">
        <f t="shared" si="61"/>
        <v>4.1.JSP.</v>
      </c>
      <c r="B298" s="342" t="s">
        <v>813</v>
      </c>
      <c r="C298" s="342"/>
      <c r="D298" s="343"/>
      <c r="E298" s="343"/>
      <c r="F298" s="343"/>
      <c r="G298" s="343"/>
      <c r="H298" s="343"/>
      <c r="I298" s="343"/>
      <c r="J298" s="343"/>
      <c r="K298" s="343"/>
      <c r="L298" s="343"/>
      <c r="M298" s="343"/>
      <c r="N298" s="343"/>
      <c r="O298" s="343"/>
      <c r="P298" s="343">
        <f>SUMIFS(
  tb_caixa[Saldo],
  tb_caixa[Empresa], $B298,
  tb_caixa[Dia], "&gt;="&amp;P$1,
  tb_caixa[Dia], "&lt;"&amp;EOMONTH(P$1,0)+1
)</f>
        <v>185.16</v>
      </c>
      <c r="Q298" s="343">
        <f>SUMIFS(
  tb_caixa[Saldo],
  tb_caixa[Empresa], $B298,
  tb_caixa[Dia], "&gt;="&amp;Q$1,
  tb_caixa[Dia], "&lt;"&amp;EOMONTH(Q$1,0)+1
)</f>
        <v>41.8</v>
      </c>
      <c r="R298" s="343">
        <f>SUMIFS(
  tb_caixa[Saldo],
  tb_caixa[Empresa], $B298,
  tb_caixa[Dia], "&gt;="&amp;R$1,
  tb_caixa[Dia], "&lt;"&amp;EOMONTH(R$1,0)+1
)</f>
        <v>0</v>
      </c>
      <c r="S298" s="343">
        <f>SUMIFS(
  tb_caixa[Saldo],
  tb_caixa[Empresa], $B298,
  tb_caixa[Dia], "&gt;="&amp;S$1,
  tb_caixa[Dia], "&lt;"&amp;EOMONTH(S$1,0)+1
)</f>
        <v>0</v>
      </c>
      <c r="T298" s="343">
        <f>SUMIFS(
  tb_caixa[Saldo],
  tb_caixa[Empresa], $B298,
  tb_caixa[Dia], "&gt;="&amp;T$1,
  tb_caixa[Dia], "&lt;"&amp;EOMONTH(T$1,0)+1
)</f>
        <v>0</v>
      </c>
      <c r="U298" s="343">
        <f>SUMIFS(
  tb_caixa[Saldo],
  tb_caixa[Empresa], $B298,
  tb_caixa[Dia], "&gt;="&amp;U$1,
  tb_caixa[Dia], "&lt;"&amp;EOMONTH(U$1,0)+1
)</f>
        <v>0</v>
      </c>
      <c r="V298" s="343">
        <f>SUMIFS(
  tb_caixa[Saldo],
  tb_caixa[Empresa], $B298,
  tb_caixa[Dia], "&gt;="&amp;V$1,
  tb_caixa[Dia], "&lt;"&amp;EOMONTH(V$1,0)+1
)</f>
        <v>19496.11</v>
      </c>
      <c r="W298" s="343">
        <f>SUMIFS(
  tb_caixa[Saldo],
  tb_caixa[Empresa], $B298,
  tb_caixa[Dia], "&gt;="&amp;W$1,
  tb_caixa[Dia], "&lt;"&amp;EOMONTH(W$1,0)+1
)</f>
        <v>0</v>
      </c>
      <c r="X298" s="343">
        <f>SUMIFS(
  tb_caixa[Saldo],
  tb_caixa[Empresa], $B298,
  tb_caixa[Dia], "&gt;="&amp;X$1,
  tb_caixa[Dia], "&lt;"&amp;EOMONTH(X$1,0)+1
)</f>
        <v>0</v>
      </c>
      <c r="Y298" s="343">
        <f>SUMIFS(
  tb_caixa[Saldo],
  tb_caixa[Empresa], $B298,
  tb_caixa[Dia], "&gt;="&amp;Y$1,
  tb_caixa[Dia], "&lt;"&amp;EOMONTH(Y$1,0)+1
)</f>
        <v>0</v>
      </c>
      <c r="Z298" s="343">
        <f>SUMIFS(
  tb_caixa[Saldo],
  tb_caixa[Empresa], $B298,
  tb_caixa[Dia], "&gt;="&amp;Z$1,
  tb_caixa[Dia], "&lt;"&amp;EOMONTH(Z$1,0)+1
)</f>
        <v>0</v>
      </c>
      <c r="AA298" s="343">
        <f>SUMIFS(
  tb_caixa[Saldo],
  tb_caixa[Empresa], $B298,
  tb_caixa[Dia], "&gt;="&amp;AA$1,
  tb_caixa[Dia], "&lt;"&amp;EOMONTH(AA$1,0)+1
)</f>
        <v>0</v>
      </c>
    </row>
    <row r="299" spans="1:27" hidden="1" outlineLevel="2" x14ac:dyDescent="0.25">
      <c r="A299" s="347" t="str">
        <f t="shared" si="61"/>
        <v>4.1.LCG.</v>
      </c>
      <c r="B299" s="342" t="s">
        <v>482</v>
      </c>
      <c r="C299" s="342"/>
      <c r="D299" s="343"/>
      <c r="E299" s="343"/>
      <c r="F299" s="343"/>
      <c r="G299" s="343"/>
      <c r="H299" s="343"/>
      <c r="I299" s="343"/>
      <c r="J299" s="343"/>
      <c r="K299" s="343"/>
      <c r="L299" s="343"/>
      <c r="M299" s="343"/>
      <c r="N299" s="343"/>
      <c r="O299" s="343"/>
      <c r="P299" s="343">
        <f>SUMIFS(
  tb_caixa[Saldo],
  tb_caixa[Empresa], $B299,
  tb_caixa[Dia], "&gt;="&amp;P$1,
  tb_caixa[Dia], "&lt;"&amp;EOMONTH(P$1,0)+1
)</f>
        <v>25903.600000000002</v>
      </c>
      <c r="Q299" s="343">
        <f>SUMIFS(
  tb_caixa[Saldo],
  tb_caixa[Empresa], $B299,
  tb_caixa[Dia], "&gt;="&amp;Q$1,
  tb_caixa[Dia], "&lt;"&amp;EOMONTH(Q$1,0)+1
)</f>
        <v>-115.35000000000036</v>
      </c>
      <c r="R299" s="343">
        <f>SUMIFS(
  tb_caixa[Saldo],
  tb_caixa[Empresa], $B299,
  tb_caixa[Dia], "&gt;="&amp;R$1,
  tb_caixa[Dia], "&lt;"&amp;EOMONTH(R$1,0)+1
)</f>
        <v>-1124.6999999999998</v>
      </c>
      <c r="S299" s="343">
        <f>SUMIFS(
  tb_caixa[Saldo],
  tb_caixa[Empresa], $B299,
  tb_caixa[Dia], "&gt;="&amp;S$1,
  tb_caixa[Dia], "&lt;"&amp;EOMONTH(S$1,0)+1
)</f>
        <v>-1776.1599999999999</v>
      </c>
      <c r="T299" s="343">
        <f>SUMIFS(
  tb_caixa[Saldo],
  tb_caixa[Empresa], $B299,
  tb_caixa[Dia], "&gt;="&amp;T$1,
  tb_caixa[Dia], "&lt;"&amp;EOMONTH(T$1,0)+1
)</f>
        <v>-4287.3500000000004</v>
      </c>
      <c r="U299" s="343">
        <f>SUMIFS(
  tb_caixa[Saldo],
  tb_caixa[Empresa], $B299,
  tb_caixa[Dia], "&gt;="&amp;U$1,
  tb_caixa[Dia], "&lt;"&amp;EOMONTH(U$1,0)+1
)</f>
        <v>-12521.119999999999</v>
      </c>
      <c r="V299" s="343">
        <f>SUMIFS(
  tb_caixa[Saldo],
  tb_caixa[Empresa], $B299,
  tb_caixa[Dia], "&gt;="&amp;V$1,
  tb_caixa[Dia], "&lt;"&amp;EOMONTH(V$1,0)+1
)</f>
        <v>3036.6000000000004</v>
      </c>
      <c r="W299" s="343">
        <f>SUMIFS(
  tb_caixa[Saldo],
  tb_caixa[Empresa], $B299,
  tb_caixa[Dia], "&gt;="&amp;W$1,
  tb_caixa[Dia], "&lt;"&amp;EOMONTH(W$1,0)+1
)</f>
        <v>0</v>
      </c>
      <c r="X299" s="343">
        <f>SUMIFS(
  tb_caixa[Saldo],
  tb_caixa[Empresa], $B299,
  tb_caixa[Dia], "&gt;="&amp;X$1,
  tb_caixa[Dia], "&lt;"&amp;EOMONTH(X$1,0)+1
)</f>
        <v>0</v>
      </c>
      <c r="Y299" s="343">
        <f>SUMIFS(
  tb_caixa[Saldo],
  tb_caixa[Empresa], $B299,
  tb_caixa[Dia], "&gt;="&amp;Y$1,
  tb_caixa[Dia], "&lt;"&amp;EOMONTH(Y$1,0)+1
)</f>
        <v>0</v>
      </c>
      <c r="Z299" s="343">
        <f>SUMIFS(
  tb_caixa[Saldo],
  tb_caixa[Empresa], $B299,
  tb_caixa[Dia], "&gt;="&amp;Z$1,
  tb_caixa[Dia], "&lt;"&amp;EOMONTH(Z$1,0)+1
)</f>
        <v>0</v>
      </c>
      <c r="AA299" s="343">
        <f>SUMIFS(
  tb_caixa[Saldo],
  tb_caixa[Empresa], $B299,
  tb_caixa[Dia], "&gt;="&amp;AA$1,
  tb_caixa[Dia], "&lt;"&amp;EOMONTH(AA$1,0)+1
)</f>
        <v>0</v>
      </c>
    </row>
    <row r="300" spans="1:27" hidden="1" outlineLevel="2" x14ac:dyDescent="0.25">
      <c r="A300" s="347" t="str">
        <f t="shared" si="61"/>
        <v>4.1.LUC.</v>
      </c>
      <c r="B300" s="342" t="s">
        <v>10</v>
      </c>
      <c r="C300" s="342"/>
      <c r="D300" s="343"/>
      <c r="E300" s="343"/>
      <c r="F300" s="343"/>
      <c r="G300" s="343"/>
      <c r="H300" s="343"/>
      <c r="I300" s="343"/>
      <c r="J300" s="343"/>
      <c r="K300" s="343"/>
      <c r="L300" s="343"/>
      <c r="M300" s="343"/>
      <c r="N300" s="343"/>
      <c r="O300" s="343"/>
      <c r="P300" s="343">
        <f>SUMIFS(
  tb_caixa[Saldo],
  tb_caixa[Empresa], $B300,
  tb_caixa[Dia], "&gt;="&amp;P$1,
  tb_caixa[Dia], "&lt;"&amp;EOMONTH(P$1,0)+1
)</f>
        <v>68895.739999999991</v>
      </c>
      <c r="Q300" s="343">
        <f>SUMIFS(
  tb_caixa[Saldo],
  tb_caixa[Empresa], $B300,
  tb_caixa[Dia], "&gt;="&amp;Q$1,
  tb_caixa[Dia], "&lt;"&amp;EOMONTH(Q$1,0)+1
)</f>
        <v>132233.46</v>
      </c>
      <c r="R300" s="343">
        <f>SUMIFS(
  tb_caixa[Saldo],
  tb_caixa[Empresa], $B300,
  tb_caixa[Dia], "&gt;="&amp;R$1,
  tb_caixa[Dia], "&lt;"&amp;EOMONTH(R$1,0)+1
)</f>
        <v>7626.22</v>
      </c>
      <c r="S300" s="343">
        <f>SUMIFS(
  tb_caixa[Saldo],
  tb_caixa[Empresa], $B300,
  tb_caixa[Dia], "&gt;="&amp;S$1,
  tb_caixa[Dia], "&lt;"&amp;EOMONTH(S$1,0)+1
)</f>
        <v>10938.32</v>
      </c>
      <c r="T300" s="343">
        <f>SUMIFS(
  tb_caixa[Saldo],
  tb_caixa[Empresa], $B300,
  tb_caixa[Dia], "&gt;="&amp;T$1,
  tb_caixa[Dia], "&lt;"&amp;EOMONTH(T$1,0)+1
)</f>
        <v>-342.34</v>
      </c>
      <c r="U300" s="343">
        <f>SUMIFS(
  tb_caixa[Saldo],
  tb_caixa[Empresa], $B300,
  tb_caixa[Dia], "&gt;="&amp;U$1,
  tb_caixa[Dia], "&lt;"&amp;EOMONTH(U$1,0)+1
)</f>
        <v>29119.280000000002</v>
      </c>
      <c r="V300" s="343">
        <f>SUMIFS(
  tb_caixa[Saldo],
  tb_caixa[Empresa], $B300,
  tb_caixa[Dia], "&gt;="&amp;V$1,
  tb_caixa[Dia], "&lt;"&amp;EOMONTH(V$1,0)+1
)</f>
        <v>215714.90999999997</v>
      </c>
      <c r="W300" s="343">
        <f>SUMIFS(
  tb_caixa[Saldo],
  tb_caixa[Empresa], $B300,
  tb_caixa[Dia], "&gt;="&amp;W$1,
  tb_caixa[Dia], "&lt;"&amp;EOMONTH(W$1,0)+1
)</f>
        <v>0</v>
      </c>
      <c r="X300" s="343">
        <f>SUMIFS(
  tb_caixa[Saldo],
  tb_caixa[Empresa], $B300,
  tb_caixa[Dia], "&gt;="&amp;X$1,
  tb_caixa[Dia], "&lt;"&amp;EOMONTH(X$1,0)+1
)</f>
        <v>0</v>
      </c>
      <c r="Y300" s="343">
        <f>SUMIFS(
  tb_caixa[Saldo],
  tb_caixa[Empresa], $B300,
  tb_caixa[Dia], "&gt;="&amp;Y$1,
  tb_caixa[Dia], "&lt;"&amp;EOMONTH(Y$1,0)+1
)</f>
        <v>0</v>
      </c>
      <c r="Z300" s="343">
        <f>SUMIFS(
  tb_caixa[Saldo],
  tb_caixa[Empresa], $B300,
  tb_caixa[Dia], "&gt;="&amp;Z$1,
  tb_caixa[Dia], "&lt;"&amp;EOMONTH(Z$1,0)+1
)</f>
        <v>0</v>
      </c>
      <c r="AA300" s="343">
        <f>SUMIFS(
  tb_caixa[Saldo],
  tb_caixa[Empresa], $B300,
  tb_caixa[Dia], "&gt;="&amp;AA$1,
  tb_caixa[Dia], "&lt;"&amp;EOMONTH(AA$1,0)+1
)</f>
        <v>0</v>
      </c>
    </row>
    <row r="301" spans="1:27" hidden="1" outlineLevel="2" x14ac:dyDescent="0.25">
      <c r="A301" s="347" t="str">
        <f t="shared" si="61"/>
        <v>4.1.LUG.</v>
      </c>
      <c r="B301" s="342" t="s">
        <v>889</v>
      </c>
      <c r="C301" s="342"/>
      <c r="D301" s="343"/>
      <c r="E301" s="343"/>
      <c r="F301" s="343"/>
      <c r="G301" s="343"/>
      <c r="H301" s="343"/>
      <c r="I301" s="343"/>
      <c r="J301" s="343"/>
      <c r="K301" s="343"/>
      <c r="L301" s="343"/>
      <c r="M301" s="343"/>
      <c r="N301" s="343"/>
      <c r="O301" s="343"/>
      <c r="P301" s="343">
        <f>SUMIFS(
  tb_caixa[Saldo],
  tb_caixa[Empresa], $B301,
  tb_caixa[Dia], "&gt;="&amp;P$1,
  tb_caixa[Dia], "&lt;"&amp;EOMONTH(P$1,0)+1
)</f>
        <v>767.3</v>
      </c>
      <c r="Q301" s="343">
        <f>SUMIFS(
  tb_caixa[Saldo],
  tb_caixa[Empresa], $B301,
  tb_caixa[Dia], "&gt;="&amp;Q$1,
  tb_caixa[Dia], "&lt;"&amp;EOMONTH(Q$1,0)+1
)</f>
        <v>1061.03</v>
      </c>
      <c r="R301" s="343">
        <f>SUMIFS(
  tb_caixa[Saldo],
  tb_caixa[Empresa], $B301,
  tb_caixa[Dia], "&gt;="&amp;R$1,
  tb_caixa[Dia], "&lt;"&amp;EOMONTH(R$1,0)+1
)</f>
        <v>1734.24</v>
      </c>
      <c r="S301" s="343">
        <f>SUMIFS(
  tb_caixa[Saldo],
  tb_caixa[Empresa], $B301,
  tb_caixa[Dia], "&gt;="&amp;S$1,
  tb_caixa[Dia], "&lt;"&amp;EOMONTH(S$1,0)+1
)</f>
        <v>226.36</v>
      </c>
      <c r="T301" s="343">
        <f>SUMIFS(
  tb_caixa[Saldo],
  tb_caixa[Empresa], $B301,
  tb_caixa[Dia], "&gt;="&amp;T$1,
  tb_caixa[Dia], "&lt;"&amp;EOMONTH(T$1,0)+1
)</f>
        <v>456.12</v>
      </c>
      <c r="U301" s="343">
        <f>SUMIFS(
  tb_caixa[Saldo],
  tb_caixa[Empresa], $B301,
  tb_caixa[Dia], "&gt;="&amp;U$1,
  tb_caixa[Dia], "&lt;"&amp;EOMONTH(U$1,0)+1
)</f>
        <v>988.38</v>
      </c>
      <c r="V301" s="343">
        <f>SUMIFS(
  tb_caixa[Saldo],
  tb_caixa[Empresa], $B301,
  tb_caixa[Dia], "&gt;="&amp;V$1,
  tb_caixa[Dia], "&lt;"&amp;EOMONTH(V$1,0)+1
)</f>
        <v>3219.67</v>
      </c>
      <c r="W301" s="343">
        <f>SUMIFS(
  tb_caixa[Saldo],
  tb_caixa[Empresa], $B301,
  tb_caixa[Dia], "&gt;="&amp;W$1,
  tb_caixa[Dia], "&lt;"&amp;EOMONTH(W$1,0)+1
)</f>
        <v>0</v>
      </c>
      <c r="X301" s="343">
        <f>SUMIFS(
  tb_caixa[Saldo],
  tb_caixa[Empresa], $B301,
  tb_caixa[Dia], "&gt;="&amp;X$1,
  tb_caixa[Dia], "&lt;"&amp;EOMONTH(X$1,0)+1
)</f>
        <v>0</v>
      </c>
      <c r="Y301" s="343">
        <f>SUMIFS(
  tb_caixa[Saldo],
  tb_caixa[Empresa], $B301,
  tb_caixa[Dia], "&gt;="&amp;Y$1,
  tb_caixa[Dia], "&lt;"&amp;EOMONTH(Y$1,0)+1
)</f>
        <v>0</v>
      </c>
      <c r="Z301" s="343">
        <f>SUMIFS(
  tb_caixa[Saldo],
  tb_caixa[Empresa], $B301,
  tb_caixa[Dia], "&gt;="&amp;Z$1,
  tb_caixa[Dia], "&lt;"&amp;EOMONTH(Z$1,0)+1
)</f>
        <v>0</v>
      </c>
      <c r="AA301" s="343">
        <f>SUMIFS(
  tb_caixa[Saldo],
  tb_caixa[Empresa], $B301,
  tb_caixa[Dia], "&gt;="&amp;AA$1,
  tb_caixa[Dia], "&lt;"&amp;EOMONTH(AA$1,0)+1
)</f>
        <v>0</v>
      </c>
    </row>
    <row r="302" spans="1:27" hidden="1" outlineLevel="2" x14ac:dyDescent="0.25">
      <c r="A302" s="347" t="str">
        <f t="shared" si="61"/>
        <v>4.1.POM.</v>
      </c>
      <c r="B302" s="342" t="s">
        <v>11</v>
      </c>
      <c r="D302" s="343"/>
      <c r="E302" s="343"/>
      <c r="F302" s="343"/>
      <c r="G302" s="343"/>
      <c r="H302" s="343"/>
      <c r="I302" s="343"/>
      <c r="J302" s="343"/>
      <c r="K302" s="343"/>
      <c r="L302" s="343"/>
      <c r="M302" s="343"/>
      <c r="N302" s="343"/>
      <c r="O302" s="343"/>
      <c r="P302" s="343">
        <f>SUMIFS(
  tb_caixa[Saldo],
  tb_caixa[Empresa], $B302,
  tb_caixa[Dia], "&gt;="&amp;P$1,
  tb_caixa[Dia], "&lt;"&amp;EOMONTH(P$1,0)+1
)</f>
        <v>816.45</v>
      </c>
      <c r="Q302" s="343">
        <f>SUMIFS(
  tb_caixa[Saldo],
  tb_caixa[Empresa], $B302,
  tb_caixa[Dia], "&gt;="&amp;Q$1,
  tb_caixa[Dia], "&lt;"&amp;EOMONTH(Q$1,0)+1
)</f>
        <v>858.38000000000011</v>
      </c>
      <c r="R302" s="343">
        <f>SUMIFS(
  tb_caixa[Saldo],
  tb_caixa[Empresa], $B302,
  tb_caixa[Dia], "&gt;="&amp;R$1,
  tb_caixa[Dia], "&lt;"&amp;EOMONTH(R$1,0)+1
)</f>
        <v>69113.440000000002</v>
      </c>
      <c r="S302" s="343">
        <f>SUMIFS(
  tb_caixa[Saldo],
  tb_caixa[Empresa], $B302,
  tb_caixa[Dia], "&gt;="&amp;S$1,
  tb_caixa[Dia], "&lt;"&amp;EOMONTH(S$1,0)+1
)</f>
        <v>202533.68999999997</v>
      </c>
      <c r="T302" s="343">
        <f>SUMIFS(
  tb_caixa[Saldo],
  tb_caixa[Empresa], $B302,
  tb_caixa[Dia], "&gt;="&amp;T$1,
  tb_caixa[Dia], "&lt;"&amp;EOMONTH(T$1,0)+1
)</f>
        <v>8431.86</v>
      </c>
      <c r="U302" s="343">
        <f>SUMIFS(
  tb_caixa[Saldo],
  tb_caixa[Empresa], $B302,
  tb_caixa[Dia], "&gt;="&amp;U$1,
  tb_caixa[Dia], "&lt;"&amp;EOMONTH(U$1,0)+1
)</f>
        <v>895857.05999999994</v>
      </c>
      <c r="V302" s="343">
        <f>SUMIFS(
  tb_caixa[Saldo],
  tb_caixa[Empresa], $B302,
  tb_caixa[Dia], "&gt;="&amp;V$1,
  tb_caixa[Dia], "&lt;"&amp;EOMONTH(V$1,0)+1
)</f>
        <v>298411.48</v>
      </c>
      <c r="W302" s="343">
        <f>SUMIFS(
  tb_caixa[Saldo],
  tb_caixa[Empresa], $B302,
  tb_caixa[Dia], "&gt;="&amp;W$1,
  tb_caixa[Dia], "&lt;"&amp;EOMONTH(W$1,0)+1
)</f>
        <v>0</v>
      </c>
      <c r="X302" s="343">
        <f>SUMIFS(
  tb_caixa[Saldo],
  tb_caixa[Empresa], $B302,
  tb_caixa[Dia], "&gt;="&amp;X$1,
  tb_caixa[Dia], "&lt;"&amp;EOMONTH(X$1,0)+1
)</f>
        <v>0</v>
      </c>
      <c r="Y302" s="343">
        <f>SUMIFS(
  tb_caixa[Saldo],
  tb_caixa[Empresa], $B302,
  tb_caixa[Dia], "&gt;="&amp;Y$1,
  tb_caixa[Dia], "&lt;"&amp;EOMONTH(Y$1,0)+1
)</f>
        <v>0</v>
      </c>
      <c r="Z302" s="343">
        <f>SUMIFS(
  tb_caixa[Saldo],
  tb_caixa[Empresa], $B302,
  tb_caixa[Dia], "&gt;="&amp;Z$1,
  tb_caixa[Dia], "&lt;"&amp;EOMONTH(Z$1,0)+1
)</f>
        <v>0</v>
      </c>
      <c r="AA302" s="343">
        <f>SUMIFS(
  tb_caixa[Saldo],
  tb_caixa[Empresa], $B302,
  tb_caixa[Dia], "&gt;="&amp;AA$1,
  tb_caixa[Dia], "&lt;"&amp;EOMONTH(AA$1,0)+1
)</f>
        <v>0</v>
      </c>
    </row>
    <row r="303" spans="1:27" hidden="1" outlineLevel="2" x14ac:dyDescent="0.25">
      <c r="A303" s="347" t="str">
        <f t="shared" si="61"/>
        <v>4.1.SAU.</v>
      </c>
      <c r="B303" s="342" t="s">
        <v>465</v>
      </c>
      <c r="C303" s="342"/>
      <c r="D303" s="343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>
        <f>SUMIFS(
  tb_caixa[Saldo],
  tb_caixa[Empresa], $B303,
  tb_caixa[Dia], "&gt;="&amp;P$1,
  tb_caixa[Dia], "&lt;"&amp;EOMONTH(P$1,0)+1
)</f>
        <v>193821.37</v>
      </c>
      <c r="Q303" s="342">
        <f>SUMIFS(
  tb_caixa[Saldo],
  tb_caixa[Empresa], $B303,
  tb_caixa[Dia], "&gt;="&amp;Q$1,
  tb_caixa[Dia], "&lt;"&amp;EOMONTH(Q$1,0)+1
)</f>
        <v>46177.5</v>
      </c>
      <c r="R303" s="342">
        <f>SUMIFS(
  tb_caixa[Saldo],
  tb_caixa[Empresa], $B303,
  tb_caixa[Dia], "&gt;="&amp;R$1,
  tb_caixa[Dia], "&lt;"&amp;EOMONTH(R$1,0)+1
)</f>
        <v>2509.2799999999997</v>
      </c>
      <c r="S303" s="342">
        <f>SUMIFS(
  tb_caixa[Saldo],
  tb_caixa[Empresa], $B303,
  tb_caixa[Dia], "&gt;="&amp;S$1,
  tb_caixa[Dia], "&lt;"&amp;EOMONTH(S$1,0)+1
)</f>
        <v>9273.6299999999992</v>
      </c>
      <c r="T303" s="342">
        <f>SUMIFS(
  tb_caixa[Saldo],
  tb_caixa[Empresa], $B303,
  tb_caixa[Dia], "&gt;="&amp;T$1,
  tb_caixa[Dia], "&lt;"&amp;EOMONTH(T$1,0)+1
)</f>
        <v>2050.96</v>
      </c>
      <c r="U303" s="342">
        <f>SUMIFS(
  tb_caixa[Saldo],
  tb_caixa[Empresa], $B303,
  tb_caixa[Dia], "&gt;="&amp;U$1,
  tb_caixa[Dia], "&lt;"&amp;EOMONTH(U$1,0)+1
)</f>
        <v>210563.44</v>
      </c>
      <c r="V303" s="342">
        <f>SUMIFS(
  tb_caixa[Saldo],
  tb_caixa[Empresa], $B303,
  tb_caixa[Dia], "&gt;="&amp;V$1,
  tb_caixa[Dia], "&lt;"&amp;EOMONTH(V$1,0)+1
)</f>
        <v>386432.78</v>
      </c>
      <c r="W303" s="342">
        <f>SUMIFS(
  tb_caixa[Saldo],
  tb_caixa[Empresa], $B303,
  tb_caixa[Dia], "&gt;="&amp;W$1,
  tb_caixa[Dia], "&lt;"&amp;EOMONTH(W$1,0)+1
)</f>
        <v>0</v>
      </c>
      <c r="X303" s="342">
        <f>SUMIFS(
  tb_caixa[Saldo],
  tb_caixa[Empresa], $B303,
  tb_caixa[Dia], "&gt;="&amp;X$1,
  tb_caixa[Dia], "&lt;"&amp;EOMONTH(X$1,0)+1
)</f>
        <v>0</v>
      </c>
      <c r="Y303" s="342">
        <f>SUMIFS(
  tb_caixa[Saldo],
  tb_caixa[Empresa], $B303,
  tb_caixa[Dia], "&gt;="&amp;Y$1,
  tb_caixa[Dia], "&lt;"&amp;EOMONTH(Y$1,0)+1
)</f>
        <v>0</v>
      </c>
      <c r="Z303" s="342">
        <f>SUMIFS(
  tb_caixa[Saldo],
  tb_caixa[Empresa], $B303,
  tb_caixa[Dia], "&gt;="&amp;Z$1,
  tb_caixa[Dia], "&lt;"&amp;EOMONTH(Z$1,0)+1
)</f>
        <v>0</v>
      </c>
      <c r="AA303" s="342">
        <f>SUMIFS(
  tb_caixa[Saldo],
  tb_caixa[Empresa], $B303,
  tb_caixa[Dia], "&gt;="&amp;AA$1,
  tb_caixa[Dia], "&lt;"&amp;EOMONTH(AA$1,0)+1
)</f>
        <v>0</v>
      </c>
    </row>
    <row r="304" spans="1:27" hidden="1" outlineLevel="2" x14ac:dyDescent="0.25">
      <c r="A304" s="347" t="str">
        <f t="shared" si="61"/>
        <v>4.1.SBB.</v>
      </c>
      <c r="B304" s="342" t="s">
        <v>678</v>
      </c>
      <c r="C304" s="342"/>
      <c r="D304" s="343"/>
      <c r="E304" s="343"/>
      <c r="F304" s="343"/>
      <c r="G304" s="343"/>
      <c r="H304" s="343"/>
      <c r="I304" s="343"/>
      <c r="J304" s="343"/>
      <c r="K304" s="343"/>
      <c r="L304" s="343"/>
      <c r="M304" s="343"/>
      <c r="N304" s="343"/>
      <c r="O304" s="343"/>
      <c r="P304" s="343">
        <f>SUMIFS(
  tb_caixa[Saldo],
  tb_caixa[Empresa], $B304,
  tb_caixa[Dia], "&gt;="&amp;P$1,
  tb_caixa[Dia], "&lt;"&amp;EOMONTH(P$1,0)+1
)</f>
        <v>5353.75</v>
      </c>
      <c r="Q304" s="343">
        <f>SUMIFS(
  tb_caixa[Saldo],
  tb_caixa[Empresa], $B304,
  tb_caixa[Dia], "&gt;="&amp;Q$1,
  tb_caixa[Dia], "&lt;"&amp;EOMONTH(Q$1,0)+1
)</f>
        <v>348.47</v>
      </c>
      <c r="R304" s="343">
        <f>SUMIFS(
  tb_caixa[Saldo],
  tb_caixa[Empresa], $B304,
  tb_caixa[Dia], "&gt;="&amp;R$1,
  tb_caixa[Dia], "&lt;"&amp;EOMONTH(R$1,0)+1
)</f>
        <v>247.29000000000002</v>
      </c>
      <c r="S304" s="343">
        <f>SUMIFS(
  tb_caixa[Saldo],
  tb_caixa[Empresa], $B304,
  tb_caixa[Dia], "&gt;="&amp;S$1,
  tb_caixa[Dia], "&lt;"&amp;EOMONTH(S$1,0)+1
)</f>
        <v>1246.0999999999999</v>
      </c>
      <c r="T304" s="343">
        <f>SUMIFS(
  tb_caixa[Saldo],
  tb_caixa[Empresa], $B304,
  tb_caixa[Dia], "&gt;="&amp;T$1,
  tb_caixa[Dia], "&lt;"&amp;EOMONTH(T$1,0)+1
)</f>
        <v>259.02999999999997</v>
      </c>
      <c r="U304" s="343">
        <f>SUMIFS(
  tb_caixa[Saldo],
  tb_caixa[Empresa], $B304,
  tb_caixa[Dia], "&gt;="&amp;U$1,
  tb_caixa[Dia], "&lt;"&amp;EOMONTH(U$1,0)+1
)</f>
        <v>1446.94</v>
      </c>
      <c r="V304" s="343">
        <f>SUMIFS(
  tb_caixa[Saldo],
  tb_caixa[Empresa], $B304,
  tb_caixa[Dia], "&gt;="&amp;V$1,
  tb_caixa[Dia], "&lt;"&amp;EOMONTH(V$1,0)+1
)</f>
        <v>8510</v>
      </c>
      <c r="W304" s="343">
        <f>SUMIFS(
  tb_caixa[Saldo],
  tb_caixa[Empresa], $B304,
  tb_caixa[Dia], "&gt;="&amp;W$1,
  tb_caixa[Dia], "&lt;"&amp;EOMONTH(W$1,0)+1
)</f>
        <v>0</v>
      </c>
      <c r="X304" s="343">
        <f>SUMIFS(
  tb_caixa[Saldo],
  tb_caixa[Empresa], $B304,
  tb_caixa[Dia], "&gt;="&amp;X$1,
  tb_caixa[Dia], "&lt;"&amp;EOMONTH(X$1,0)+1
)</f>
        <v>0</v>
      </c>
      <c r="Y304" s="343">
        <f>SUMIFS(
  tb_caixa[Saldo],
  tb_caixa[Empresa], $B304,
  tb_caixa[Dia], "&gt;="&amp;Y$1,
  tb_caixa[Dia], "&lt;"&amp;EOMONTH(Y$1,0)+1
)</f>
        <v>0</v>
      </c>
      <c r="Z304" s="343">
        <f>SUMIFS(
  tb_caixa[Saldo],
  tb_caixa[Empresa], $B304,
  tb_caixa[Dia], "&gt;="&amp;Z$1,
  tb_caixa[Dia], "&lt;"&amp;EOMONTH(Z$1,0)+1
)</f>
        <v>0</v>
      </c>
      <c r="AA304" s="343">
        <f>SUMIFS(
  tb_caixa[Saldo],
  tb_caixa[Empresa], $B304,
  tb_caixa[Dia], "&gt;="&amp;AA$1,
  tb_caixa[Dia], "&lt;"&amp;EOMONTH(AA$1,0)+1
)</f>
        <v>0</v>
      </c>
    </row>
    <row r="305" spans="1:31" hidden="1" outlineLevel="2" x14ac:dyDescent="0.25">
      <c r="A305" s="347" t="str">
        <f t="shared" si="61"/>
        <v>4.1.SN2.</v>
      </c>
      <c r="B305" s="342" t="s">
        <v>12</v>
      </c>
      <c r="C305" s="342"/>
      <c r="D305" s="343"/>
      <c r="E305" s="343"/>
      <c r="F305" s="343"/>
      <c r="G305" s="343"/>
      <c r="H305" s="343"/>
      <c r="I305" s="343"/>
      <c r="J305" s="343"/>
      <c r="K305" s="343"/>
      <c r="L305" s="343"/>
      <c r="M305" s="343"/>
      <c r="N305" s="343"/>
      <c r="O305" s="343"/>
      <c r="P305" s="343">
        <f>SUMIFS(
  tb_caixa[Saldo],
  tb_caixa[Empresa], $B305,
  tb_caixa[Dia], "&gt;="&amp;P$1,
  tb_caixa[Dia], "&lt;"&amp;EOMONTH(P$1,0)+1
)</f>
        <v>1455044.0899999999</v>
      </c>
      <c r="Q305" s="343">
        <f>SUMIFS(
  tb_caixa[Saldo],
  tb_caixa[Empresa], $B305,
  tb_caixa[Dia], "&gt;="&amp;Q$1,
  tb_caixa[Dia], "&lt;"&amp;EOMONTH(Q$1,0)+1
)</f>
        <v>70946.13</v>
      </c>
      <c r="R305" s="343">
        <f>SUMIFS(
  tb_caixa[Saldo],
  tb_caixa[Empresa], $B305,
  tb_caixa[Dia], "&gt;="&amp;R$1,
  tb_caixa[Dia], "&lt;"&amp;EOMONTH(R$1,0)+1
)</f>
        <v>2472.6200000000026</v>
      </c>
      <c r="S305" s="343">
        <f>SUMIFS(
  tb_caixa[Saldo],
  tb_caixa[Empresa], $B305,
  tb_caixa[Dia], "&gt;="&amp;S$1,
  tb_caixa[Dia], "&lt;"&amp;EOMONTH(S$1,0)+1
)</f>
        <v>1482505.38</v>
      </c>
      <c r="T305" s="343">
        <f>SUMIFS(
  tb_caixa[Saldo],
  tb_caixa[Empresa], $B305,
  tb_caixa[Dia], "&gt;="&amp;T$1,
  tb_caixa[Dia], "&lt;"&amp;EOMONTH(T$1,0)+1
)</f>
        <v>-6447.83</v>
      </c>
      <c r="U305" s="343">
        <f>SUMIFS(
  tb_caixa[Saldo],
  tb_caixa[Empresa], $B305,
  tb_caixa[Dia], "&gt;="&amp;U$1,
  tb_caixa[Dia], "&lt;"&amp;EOMONTH(U$1,0)+1
)</f>
        <v>15808.68</v>
      </c>
      <c r="V305" s="343">
        <f>SUMIFS(
  tb_caixa[Saldo],
  tb_caixa[Empresa], $B305,
  tb_caixa[Dia], "&gt;="&amp;V$1,
  tb_caixa[Dia], "&lt;"&amp;EOMONTH(V$1,0)+1
)</f>
        <v>70542.19</v>
      </c>
      <c r="W305" s="343">
        <f>SUMIFS(
  tb_caixa[Saldo],
  tb_caixa[Empresa], $B305,
  tb_caixa[Dia], "&gt;="&amp;W$1,
  tb_caixa[Dia], "&lt;"&amp;EOMONTH(W$1,0)+1
)</f>
        <v>0</v>
      </c>
      <c r="X305" s="343">
        <f>SUMIFS(
  tb_caixa[Saldo],
  tb_caixa[Empresa], $B305,
  tb_caixa[Dia], "&gt;="&amp;X$1,
  tb_caixa[Dia], "&lt;"&amp;EOMONTH(X$1,0)+1
)</f>
        <v>0</v>
      </c>
      <c r="Y305" s="343">
        <f>SUMIFS(
  tb_caixa[Saldo],
  tb_caixa[Empresa], $B305,
  tb_caixa[Dia], "&gt;="&amp;Y$1,
  tb_caixa[Dia], "&lt;"&amp;EOMONTH(Y$1,0)+1
)</f>
        <v>0</v>
      </c>
      <c r="Z305" s="343">
        <f>SUMIFS(
  tb_caixa[Saldo],
  tb_caixa[Empresa], $B305,
  tb_caixa[Dia], "&gt;="&amp;Z$1,
  tb_caixa[Dia], "&lt;"&amp;EOMONTH(Z$1,0)+1
)</f>
        <v>0</v>
      </c>
      <c r="AA305" s="343">
        <f>SUMIFS(
  tb_caixa[Saldo],
  tb_caixa[Empresa], $B305,
  tb_caixa[Dia], "&gt;="&amp;AA$1,
  tb_caixa[Dia], "&lt;"&amp;EOMONTH(AA$1,0)+1
)</f>
        <v>0</v>
      </c>
    </row>
    <row r="306" spans="1:31" hidden="1" outlineLevel="2" x14ac:dyDescent="0.25">
      <c r="A306" s="347" t="str">
        <f t="shared" si="61"/>
        <v>4.1.SN4.</v>
      </c>
      <c r="B306" s="342" t="s">
        <v>13</v>
      </c>
      <c r="C306" s="342"/>
      <c r="D306" s="343"/>
      <c r="E306" s="343"/>
      <c r="F306" s="343"/>
      <c r="G306" s="343"/>
      <c r="H306" s="343"/>
      <c r="I306" s="343"/>
      <c r="J306" s="343"/>
      <c r="K306" s="343"/>
      <c r="L306" s="343"/>
      <c r="M306" s="343"/>
      <c r="N306" s="343"/>
      <c r="O306" s="343"/>
      <c r="P306" s="343">
        <f>SUMIFS(
  tb_caixa[Saldo],
  tb_caixa[Empresa], $B306,
  tb_caixa[Dia], "&gt;="&amp;P$1,
  tb_caixa[Dia], "&lt;"&amp;EOMONTH(P$1,0)+1
)</f>
        <v>6695.85</v>
      </c>
      <c r="Q306" s="343">
        <f>SUMIFS(
  tb_caixa[Saldo],
  tb_caixa[Empresa], $B306,
  tb_caixa[Dia], "&gt;="&amp;Q$1,
  tb_caixa[Dia], "&lt;"&amp;EOMONTH(Q$1,0)+1
)</f>
        <v>9782.76</v>
      </c>
      <c r="R306" s="343">
        <f>SUMIFS(
  tb_caixa[Saldo],
  tb_caixa[Empresa], $B306,
  tb_caixa[Dia], "&gt;="&amp;R$1,
  tb_caixa[Dia], "&lt;"&amp;EOMONTH(R$1,0)+1
)</f>
        <v>4594.1399999999994</v>
      </c>
      <c r="S306" s="343">
        <f>SUMIFS(
  tb_caixa[Saldo],
  tb_caixa[Empresa], $B306,
  tb_caixa[Dia], "&gt;="&amp;S$1,
  tb_caixa[Dia], "&lt;"&amp;EOMONTH(S$1,0)+1
)</f>
        <v>1006435.56</v>
      </c>
      <c r="T306" s="343">
        <f>SUMIFS(
  tb_caixa[Saldo],
  tb_caixa[Empresa], $B306,
  tb_caixa[Dia], "&gt;="&amp;T$1,
  tb_caixa[Dia], "&lt;"&amp;EOMONTH(T$1,0)+1
)</f>
        <v>1745.97</v>
      </c>
      <c r="U306" s="343">
        <f>SUMIFS(
  tb_caixa[Saldo],
  tb_caixa[Empresa], $B306,
  tb_caixa[Dia], "&gt;="&amp;U$1,
  tb_caixa[Dia], "&lt;"&amp;EOMONTH(U$1,0)+1
)</f>
        <v>440479</v>
      </c>
      <c r="V306" s="343">
        <f>SUMIFS(
  tb_caixa[Saldo],
  tb_caixa[Empresa], $B306,
  tb_caixa[Dia], "&gt;="&amp;V$1,
  tb_caixa[Dia], "&lt;"&amp;EOMONTH(V$1,0)+1
)</f>
        <v>190249.72</v>
      </c>
      <c r="W306" s="343">
        <f>SUMIFS(
  tb_caixa[Saldo],
  tb_caixa[Empresa], $B306,
  tb_caixa[Dia], "&gt;="&amp;W$1,
  tb_caixa[Dia], "&lt;"&amp;EOMONTH(W$1,0)+1
)</f>
        <v>0</v>
      </c>
      <c r="X306" s="343">
        <f>SUMIFS(
  tb_caixa[Saldo],
  tb_caixa[Empresa], $B306,
  tb_caixa[Dia], "&gt;="&amp;X$1,
  tb_caixa[Dia], "&lt;"&amp;EOMONTH(X$1,0)+1
)</f>
        <v>0</v>
      </c>
      <c r="Y306" s="343">
        <f>SUMIFS(
  tb_caixa[Saldo],
  tb_caixa[Empresa], $B306,
  tb_caixa[Dia], "&gt;="&amp;Y$1,
  tb_caixa[Dia], "&lt;"&amp;EOMONTH(Y$1,0)+1
)</f>
        <v>0</v>
      </c>
      <c r="Z306" s="343">
        <f>SUMIFS(
  tb_caixa[Saldo],
  tb_caixa[Empresa], $B306,
  tb_caixa[Dia], "&gt;="&amp;Z$1,
  tb_caixa[Dia], "&lt;"&amp;EOMONTH(Z$1,0)+1
)</f>
        <v>0</v>
      </c>
      <c r="AA306" s="343">
        <f>SUMIFS(
  tb_caixa[Saldo],
  tb_caixa[Empresa], $B306,
  tb_caixa[Dia], "&gt;="&amp;AA$1,
  tb_caixa[Dia], "&lt;"&amp;EOMONTH(AA$1,0)+1
)</f>
        <v>0</v>
      </c>
    </row>
    <row r="307" spans="1:31" hidden="1" outlineLevel="2" x14ac:dyDescent="0.25">
      <c r="A307" s="347" t="str">
        <f t="shared" si="61"/>
        <v>4.1.SOC.</v>
      </c>
      <c r="B307" s="342" t="s">
        <v>909</v>
      </c>
      <c r="C307" s="342"/>
      <c r="D307" s="343"/>
      <c r="E307" s="343"/>
      <c r="F307" s="343"/>
      <c r="G307" s="343"/>
      <c r="H307" s="343"/>
      <c r="I307" s="343"/>
      <c r="J307" s="343"/>
      <c r="K307" s="343"/>
      <c r="L307" s="343"/>
      <c r="M307" s="343"/>
      <c r="N307" s="343"/>
      <c r="O307" s="343"/>
      <c r="P307" s="343">
        <f>SUMIFS(
  tb_caixa[Saldo],
  tb_caixa[Empresa], $B307,
  tb_caixa[Dia], "&gt;="&amp;P$1,
  tb_caixa[Dia], "&lt;"&amp;EOMONTH(P$1,0)+1
)</f>
        <v>218.48</v>
      </c>
      <c r="Q307" s="343">
        <f>SUMIFS(
  tb_caixa[Saldo],
  tb_caixa[Empresa], $B307,
  tb_caixa[Dia], "&gt;="&amp;Q$1,
  tb_caixa[Dia], "&lt;"&amp;EOMONTH(Q$1,0)+1
)</f>
        <v>63.05</v>
      </c>
      <c r="R307" s="343">
        <f>SUMIFS(
  tb_caixa[Saldo],
  tb_caixa[Empresa], $B307,
  tb_caixa[Dia], "&gt;="&amp;R$1,
  tb_caixa[Dia], "&lt;"&amp;EOMONTH(R$1,0)+1
)</f>
        <v>0</v>
      </c>
      <c r="S307" s="343">
        <f>SUMIFS(
  tb_caixa[Saldo],
  tb_caixa[Empresa], $B307,
  tb_caixa[Dia], "&gt;="&amp;S$1,
  tb_caixa[Dia], "&lt;"&amp;EOMONTH(S$1,0)+1
)</f>
        <v>1865.08</v>
      </c>
      <c r="T307" s="343">
        <f>SUMIFS(
  tb_caixa[Saldo],
  tb_caixa[Empresa], $B307,
  tb_caixa[Dia], "&gt;="&amp;T$1,
  tb_caixa[Dia], "&lt;"&amp;EOMONTH(T$1,0)+1
)</f>
        <v>948.89</v>
      </c>
      <c r="U307" s="343">
        <f>SUMIFS(
  tb_caixa[Saldo],
  tb_caixa[Empresa], $B307,
  tb_caixa[Dia], "&gt;="&amp;U$1,
  tb_caixa[Dia], "&lt;"&amp;EOMONTH(U$1,0)+1
)</f>
        <v>318.66000000000003</v>
      </c>
      <c r="V307" s="343">
        <f>SUMIFS(
  tb_caixa[Saldo],
  tb_caixa[Empresa], $B307,
  tb_caixa[Dia], "&gt;="&amp;V$1,
  tb_caixa[Dia], "&lt;"&amp;EOMONTH(V$1,0)+1
)</f>
        <v>18691.509999999998</v>
      </c>
      <c r="W307" s="343">
        <f>SUMIFS(
  tb_caixa[Saldo],
  tb_caixa[Empresa], $B307,
  tb_caixa[Dia], "&gt;="&amp;W$1,
  tb_caixa[Dia], "&lt;"&amp;EOMONTH(W$1,0)+1
)</f>
        <v>0</v>
      </c>
      <c r="X307" s="343">
        <f>SUMIFS(
  tb_caixa[Saldo],
  tb_caixa[Empresa], $B307,
  tb_caixa[Dia], "&gt;="&amp;X$1,
  tb_caixa[Dia], "&lt;"&amp;EOMONTH(X$1,0)+1
)</f>
        <v>0</v>
      </c>
      <c r="Y307" s="343">
        <f>SUMIFS(
  tb_caixa[Saldo],
  tb_caixa[Empresa], $B307,
  tb_caixa[Dia], "&gt;="&amp;Y$1,
  tb_caixa[Dia], "&lt;"&amp;EOMONTH(Y$1,0)+1
)</f>
        <v>0</v>
      </c>
      <c r="Z307" s="343">
        <f>SUMIFS(
  tb_caixa[Saldo],
  tb_caixa[Empresa], $B307,
  tb_caixa[Dia], "&gt;="&amp;Z$1,
  tb_caixa[Dia], "&lt;"&amp;EOMONTH(Z$1,0)+1
)</f>
        <v>0</v>
      </c>
      <c r="AA307" s="343">
        <f>SUMIFS(
  tb_caixa[Saldo],
  tb_caixa[Empresa], $B307,
  tb_caixa[Dia], "&gt;="&amp;AA$1,
  tb_caixa[Dia], "&lt;"&amp;EOMONTH(AA$1,0)+1
)</f>
        <v>0</v>
      </c>
    </row>
    <row r="308" spans="1:31" hidden="1" outlineLevel="2" x14ac:dyDescent="0.25">
      <c r="A308" s="347" t="str">
        <f t="shared" si="61"/>
        <v>4.1.USL.</v>
      </c>
      <c r="B308" s="342" t="s">
        <v>760</v>
      </c>
      <c r="C308" s="342"/>
      <c r="D308" s="343"/>
      <c r="E308" s="343"/>
      <c r="F308" s="343"/>
      <c r="G308" s="343"/>
      <c r="H308" s="343"/>
      <c r="I308" s="343"/>
      <c r="J308" s="343"/>
      <c r="K308" s="343"/>
      <c r="L308" s="343"/>
      <c r="M308" s="343"/>
      <c r="N308" s="343"/>
      <c r="O308" s="343"/>
      <c r="P308" s="343">
        <f>SUMIFS(
  tb_caixa[Saldo],
  tb_caixa[Empresa], $B308,
  tb_caixa[Dia], "&gt;="&amp;P$1,
  tb_caixa[Dia], "&lt;"&amp;EOMONTH(P$1,0)+1
)</f>
        <v>43656.59</v>
      </c>
      <c r="Q308" s="343">
        <f>SUMIFS(
  tb_caixa[Saldo],
  tb_caixa[Empresa], $B308,
  tb_caixa[Dia], "&gt;="&amp;Q$1,
  tb_caixa[Dia], "&lt;"&amp;EOMONTH(Q$1,0)+1
)</f>
        <v>9922.36</v>
      </c>
      <c r="R308" s="343">
        <f>SUMIFS(
  tb_caixa[Saldo],
  tb_caixa[Empresa], $B308,
  tb_caixa[Dia], "&gt;="&amp;R$1,
  tb_caixa[Dia], "&lt;"&amp;EOMONTH(R$1,0)+1
)</f>
        <v>15877.75</v>
      </c>
      <c r="S308" s="343">
        <f>SUMIFS(
  tb_caixa[Saldo],
  tb_caixa[Empresa], $B308,
  tb_caixa[Dia], "&gt;="&amp;S$1,
  tb_caixa[Dia], "&lt;"&amp;EOMONTH(S$1,0)+1
)</f>
        <v>7529.8899999999994</v>
      </c>
      <c r="T308" s="343">
        <f>SUMIFS(
  tb_caixa[Saldo],
  tb_caixa[Empresa], $B308,
  tb_caixa[Dia], "&gt;="&amp;T$1,
  tb_caixa[Dia], "&lt;"&amp;EOMONTH(T$1,0)+1
)</f>
        <v>29353.53</v>
      </c>
      <c r="U308" s="343">
        <f>SUMIFS(
  tb_caixa[Saldo],
  tb_caixa[Empresa], $B308,
  tb_caixa[Dia], "&gt;="&amp;U$1,
  tb_caixa[Dia], "&lt;"&amp;EOMONTH(U$1,0)+1
)</f>
        <v>51828.94</v>
      </c>
      <c r="V308" s="343">
        <f>SUMIFS(
  tb_caixa[Saldo],
  tb_caixa[Empresa], $B308,
  tb_caixa[Dia], "&gt;="&amp;V$1,
  tb_caixa[Dia], "&lt;"&amp;EOMONTH(V$1,0)+1
)</f>
        <v>75616.160000000003</v>
      </c>
      <c r="W308" s="343">
        <f>SUMIFS(
  tb_caixa[Saldo],
  tb_caixa[Empresa], $B308,
  tb_caixa[Dia], "&gt;="&amp;W$1,
  tb_caixa[Dia], "&lt;"&amp;EOMONTH(W$1,0)+1
)</f>
        <v>0</v>
      </c>
      <c r="X308" s="343">
        <f>SUMIFS(
  tb_caixa[Saldo],
  tb_caixa[Empresa], $B308,
  tb_caixa[Dia], "&gt;="&amp;X$1,
  tb_caixa[Dia], "&lt;"&amp;EOMONTH(X$1,0)+1
)</f>
        <v>0</v>
      </c>
      <c r="Y308" s="343">
        <f>SUMIFS(
  tb_caixa[Saldo],
  tb_caixa[Empresa], $B308,
  tb_caixa[Dia], "&gt;="&amp;Y$1,
  tb_caixa[Dia], "&lt;"&amp;EOMONTH(Y$1,0)+1
)</f>
        <v>0</v>
      </c>
      <c r="Z308" s="343">
        <f>SUMIFS(
  tb_caixa[Saldo],
  tb_caixa[Empresa], $B308,
  tb_caixa[Dia], "&gt;="&amp;Z$1,
  tb_caixa[Dia], "&lt;"&amp;EOMONTH(Z$1,0)+1
)</f>
        <v>0</v>
      </c>
      <c r="AA308" s="343">
        <f>SUMIFS(
  tb_caixa[Saldo],
  tb_caixa[Empresa], $B308,
  tb_caixa[Dia], "&gt;="&amp;AA$1,
  tb_caixa[Dia], "&lt;"&amp;EOMONTH(AA$1,0)+1
)</f>
        <v>0</v>
      </c>
    </row>
    <row r="309" spans="1:31" hidden="1" outlineLevel="2" x14ac:dyDescent="0.25">
      <c r="A309" s="347" t="str">
        <f t="shared" ref="A309" si="62">"4.1."&amp;B309&amp;"."</f>
        <v>4.1.VII.</v>
      </c>
      <c r="B309" s="342" t="s">
        <v>1271</v>
      </c>
      <c r="C309" s="342"/>
      <c r="D309" s="343"/>
      <c r="E309" s="343"/>
      <c r="F309" s="343"/>
      <c r="G309" s="343"/>
      <c r="H309" s="343"/>
      <c r="I309" s="343"/>
      <c r="J309" s="343"/>
      <c r="K309" s="343"/>
      <c r="L309" s="343"/>
      <c r="M309" s="343"/>
      <c r="N309" s="343"/>
      <c r="O309" s="343"/>
      <c r="P309" s="343">
        <f>SUMIFS(
  tb_caixa[Saldo],
  tb_caixa[Empresa], $B309,
  tb_caixa[Dia], "&gt;="&amp;P$1,
  tb_caixa[Dia], "&lt;"&amp;EOMONTH(P$1,0)+1
)</f>
        <v>0</v>
      </c>
      <c r="Q309" s="343">
        <f>SUMIFS(
  tb_caixa[Saldo],
  tb_caixa[Empresa], $B309,
  tb_caixa[Dia], "&gt;="&amp;Q$1,
  tb_caixa[Dia], "&lt;"&amp;EOMONTH(Q$1,0)+1
)</f>
        <v>0</v>
      </c>
      <c r="R309" s="343">
        <f>SUMIFS(
  tb_caixa[Saldo],
  tb_caixa[Empresa], $B309,
  tb_caixa[Dia], "&gt;="&amp;R$1,
  tb_caixa[Dia], "&lt;"&amp;EOMONTH(R$1,0)+1
)</f>
        <v>0</v>
      </c>
      <c r="S309" s="343">
        <f>SUMIFS(
  tb_caixa[Saldo],
  tb_caixa[Empresa], $B309,
  tb_caixa[Dia], "&gt;="&amp;S$1,
  tb_caixa[Dia], "&lt;"&amp;EOMONTH(S$1,0)+1
)</f>
        <v>0</v>
      </c>
      <c r="T309" s="343">
        <f>SUMIFS(
  tb_caixa[Saldo],
  tb_caixa[Empresa], $B309,
  tb_caixa[Dia], "&gt;="&amp;T$1,
  tb_caixa[Dia], "&lt;"&amp;EOMONTH(T$1,0)+1
)</f>
        <v>0</v>
      </c>
      <c r="U309" s="343">
        <f>SUMIFS(
  tb_caixa[Saldo],
  tb_caixa[Empresa], $B309,
  tb_caixa[Dia], "&gt;="&amp;U$1,
  tb_caixa[Dia], "&lt;"&amp;EOMONTH(U$1,0)+1
)</f>
        <v>0</v>
      </c>
      <c r="V309" s="343">
        <f>SUMIFS(
  tb_caixa[Saldo],
  tb_caixa[Empresa], $B309,
  tb_caixa[Dia], "&gt;="&amp;V$1,
  tb_caixa[Dia], "&lt;"&amp;EOMONTH(V$1,0)+1
)</f>
        <v>0</v>
      </c>
      <c r="W309" s="343">
        <f>SUMIFS(
  tb_caixa[Saldo],
  tb_caixa[Empresa], $B309,
  tb_caixa[Dia], "&gt;="&amp;W$1,
  tb_caixa[Dia], "&lt;"&amp;EOMONTH(W$1,0)+1
)</f>
        <v>0</v>
      </c>
      <c r="X309" s="343">
        <f>SUMIFS(
  tb_caixa[Saldo],
  tb_caixa[Empresa], $B309,
  tb_caixa[Dia], "&gt;="&amp;X$1,
  tb_caixa[Dia], "&lt;"&amp;EOMONTH(X$1,0)+1
)</f>
        <v>0</v>
      </c>
      <c r="Y309" s="343">
        <f>SUMIFS(
  tb_caixa[Saldo],
  tb_caixa[Empresa], $B309,
  tb_caixa[Dia], "&gt;="&amp;Y$1,
  tb_caixa[Dia], "&lt;"&amp;EOMONTH(Y$1,0)+1
)</f>
        <v>0</v>
      </c>
      <c r="Z309" s="343">
        <f>SUMIFS(
  tb_caixa[Saldo],
  tb_caixa[Empresa], $B309,
  tb_caixa[Dia], "&gt;="&amp;Z$1,
  tb_caixa[Dia], "&lt;"&amp;EOMONTH(Z$1,0)+1
)</f>
        <v>0</v>
      </c>
      <c r="AA309" s="343">
        <f>SUMIFS(
  tb_caixa[Saldo],
  tb_caixa[Empresa], $B309,
  tb_caixa[Dia], "&gt;="&amp;AA$1,
  tb_caixa[Dia], "&lt;"&amp;EOMONTH(AA$1,0)+1
)</f>
        <v>0</v>
      </c>
    </row>
    <row r="310" spans="1:31" hidden="1" outlineLevel="2" x14ac:dyDescent="0.25">
      <c r="A310" s="347" t="str">
        <f t="shared" si="61"/>
        <v>4.1.VRT.</v>
      </c>
      <c r="B310" s="342" t="s">
        <v>1122</v>
      </c>
      <c r="C310" s="342"/>
      <c r="D310" s="343"/>
      <c r="E310" s="343"/>
      <c r="F310" s="343"/>
      <c r="G310" s="343"/>
      <c r="H310" s="343"/>
      <c r="I310" s="343"/>
      <c r="J310" s="343"/>
      <c r="K310" s="343"/>
      <c r="L310" s="343"/>
      <c r="M310" s="343"/>
      <c r="N310" s="343"/>
      <c r="O310" s="343"/>
      <c r="P310" s="343">
        <f>SUMIFS(
  tb_caixa[Saldo],
  tb_caixa[Empresa], $B310,
  tb_caixa[Dia], "&gt;="&amp;P$1,
  tb_caixa[Dia], "&lt;"&amp;EOMONTH(P$1,0)+1
)</f>
        <v>-13906.53</v>
      </c>
      <c r="Q310" s="343">
        <f>SUMIFS(
  tb_caixa[Saldo],
  tb_caixa[Empresa], $B310,
  tb_caixa[Dia], "&gt;="&amp;Q$1,
  tb_caixa[Dia], "&lt;"&amp;EOMONTH(Q$1,0)+1
)</f>
        <v>729.84</v>
      </c>
      <c r="R310" s="343">
        <f>SUMIFS(
  tb_caixa[Saldo],
  tb_caixa[Empresa], $B310,
  tb_caixa[Dia], "&gt;="&amp;R$1,
  tb_caixa[Dia], "&lt;"&amp;EOMONTH(R$1,0)+1
)</f>
        <v>-39768.54</v>
      </c>
      <c r="S310" s="343">
        <f>SUMIFS(
  tb_caixa[Saldo],
  tb_caixa[Empresa], $B310,
  tb_caixa[Dia], "&gt;="&amp;S$1,
  tb_caixa[Dia], "&lt;"&amp;EOMONTH(S$1,0)+1
)</f>
        <v>-35287.72</v>
      </c>
      <c r="T310" s="343">
        <f>SUMIFS(
  tb_caixa[Saldo],
  tb_caixa[Empresa], $B310,
  tb_caixa[Dia], "&gt;="&amp;T$1,
  tb_caixa[Dia], "&lt;"&amp;EOMONTH(T$1,0)+1
)</f>
        <v>-40683.660000000003</v>
      </c>
      <c r="U310" s="343">
        <f>SUMIFS(
  tb_caixa[Saldo],
  tb_caixa[Empresa], $B310,
  tb_caixa[Dia], "&gt;="&amp;U$1,
  tb_caixa[Dia], "&lt;"&amp;EOMONTH(U$1,0)+1
)</f>
        <v>-39852.39</v>
      </c>
      <c r="V310" s="343">
        <f>SUMIFS(
  tb_caixa[Saldo],
  tb_caixa[Empresa], $B310,
  tb_caixa[Dia], "&gt;="&amp;V$1,
  tb_caixa[Dia], "&lt;"&amp;EOMONTH(V$1,0)+1
)</f>
        <v>785.2</v>
      </c>
      <c r="W310" s="343">
        <f>SUMIFS(
  tb_caixa[Saldo],
  tb_caixa[Empresa], $B310,
  tb_caixa[Dia], "&gt;="&amp;W$1,
  tb_caixa[Dia], "&lt;"&amp;EOMONTH(W$1,0)+1
)</f>
        <v>0</v>
      </c>
      <c r="X310" s="343">
        <f>SUMIFS(
  tb_caixa[Saldo],
  tb_caixa[Empresa], $B310,
  tb_caixa[Dia], "&gt;="&amp;X$1,
  tb_caixa[Dia], "&lt;"&amp;EOMONTH(X$1,0)+1
)</f>
        <v>0</v>
      </c>
      <c r="Y310" s="343">
        <f>SUMIFS(
  tb_caixa[Saldo],
  tb_caixa[Empresa], $B310,
  tb_caixa[Dia], "&gt;="&amp;Y$1,
  tb_caixa[Dia], "&lt;"&amp;EOMONTH(Y$1,0)+1
)</f>
        <v>0</v>
      </c>
      <c r="Z310" s="343">
        <f>SUMIFS(
  tb_caixa[Saldo],
  tb_caixa[Empresa], $B310,
  tb_caixa[Dia], "&gt;="&amp;Z$1,
  tb_caixa[Dia], "&lt;"&amp;EOMONTH(Z$1,0)+1
)</f>
        <v>0</v>
      </c>
      <c r="AA310" s="343">
        <f>SUMIFS(
  tb_caixa[Saldo],
  tb_caixa[Empresa], $B310,
  tb_caixa[Dia], "&gt;="&amp;AA$1,
  tb_caixa[Dia], "&lt;"&amp;EOMONTH(AA$1,0)+1
)</f>
        <v>0</v>
      </c>
    </row>
    <row r="311" spans="1:31" ht="15.75" collapsed="1" thickBot="1" x14ac:dyDescent="0.3">
      <c r="A311" s="173"/>
      <c r="B311" s="173" t="s">
        <v>662</v>
      </c>
      <c r="C311" s="198"/>
      <c r="D311" s="199">
        <f t="shared" ref="D311:AA311" ca="1" si="63">D$2+D$171+D$197</f>
        <v>1368024.05</v>
      </c>
      <c r="E311" s="199">
        <f t="shared" ca="1" si="63"/>
        <v>102314.88</v>
      </c>
      <c r="F311" s="199">
        <f t="shared" ca="1" si="63"/>
        <v>868976.02</v>
      </c>
      <c r="G311" s="199">
        <f t="shared" ca="1" si="63"/>
        <v>3242012.18</v>
      </c>
      <c r="H311" s="199">
        <f t="shared" ca="1" si="63"/>
        <v>-3768626.2499999986</v>
      </c>
      <c r="I311" s="199">
        <f t="shared" ca="1" si="63"/>
        <v>3463508.48</v>
      </c>
      <c r="J311" s="199">
        <f t="shared" ca="1" si="63"/>
        <v>-103639.74000000022</v>
      </c>
      <c r="K311" s="199">
        <f t="shared" ca="1" si="63"/>
        <v>13859782.639999999</v>
      </c>
      <c r="L311" s="199">
        <f t="shared" ca="1" si="63"/>
        <v>1572184.21</v>
      </c>
      <c r="M311" s="199">
        <f t="shared" ca="1" si="63"/>
        <v>4119553.0399999996</v>
      </c>
      <c r="N311" s="199">
        <f t="shared" ca="1" si="63"/>
        <v>-3018398.11</v>
      </c>
      <c r="O311" s="199">
        <f t="shared" ca="1" si="63"/>
        <v>796645.68</v>
      </c>
      <c r="P311" s="199">
        <f t="shared" ca="1" si="63"/>
        <v>1318482.03</v>
      </c>
      <c r="Q311" s="199">
        <f t="shared" ca="1" si="63"/>
        <v>3970629.95</v>
      </c>
      <c r="R311" s="199">
        <f t="shared" ca="1" si="63"/>
        <v>2886031.81</v>
      </c>
      <c r="S311" s="199">
        <f t="shared" ca="1" si="63"/>
        <v>1292236.98</v>
      </c>
      <c r="T311" s="199">
        <f t="shared" ca="1" si="63"/>
        <v>7398838.5200000005</v>
      </c>
      <c r="U311" s="199">
        <f t="shared" ca="1" si="63"/>
        <v>1756267.9000000001</v>
      </c>
      <c r="V311" s="199">
        <f t="shared" ca="1" si="63"/>
        <v>0</v>
      </c>
      <c r="W311" s="199">
        <f t="shared" ca="1" si="63"/>
        <v>0</v>
      </c>
      <c r="X311" s="199">
        <f t="shared" ca="1" si="63"/>
        <v>0</v>
      </c>
      <c r="Y311" s="199">
        <f t="shared" ca="1" si="63"/>
        <v>0</v>
      </c>
      <c r="Z311" s="199">
        <f t="shared" ca="1" si="63"/>
        <v>0</v>
      </c>
      <c r="AA311" s="199">
        <f t="shared" ca="1" si="63"/>
        <v>0</v>
      </c>
      <c r="AC311" s="284">
        <f ca="1">SUM(B311:Y311)</f>
        <v>41124824.270000003</v>
      </c>
      <c r="AE311" s="284">
        <f ca="1">SUM(D311:AA311)</f>
        <v>41124824.270000003</v>
      </c>
    </row>
    <row r="312" spans="1:31" x14ac:dyDescent="0.25"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  <c r="AA312" s="186"/>
    </row>
    <row r="313" spans="1:31" x14ac:dyDescent="0.25">
      <c r="B313" s="13" t="s">
        <v>1001</v>
      </c>
      <c r="D313" s="186">
        <v>462117.98999999848</v>
      </c>
      <c r="E313" s="186">
        <v>-3080501.2800000007</v>
      </c>
      <c r="F313" s="186">
        <v>-127335.11999999994</v>
      </c>
      <c r="G313" s="186">
        <v>-6263417.1700000009</v>
      </c>
      <c r="H313" s="186">
        <v>-11975272.85</v>
      </c>
      <c r="I313" s="186">
        <v>2586089.7500000009</v>
      </c>
      <c r="J313" s="186">
        <v>-5030664.2299999967</v>
      </c>
      <c r="K313" s="186">
        <v>2408120.6599999964</v>
      </c>
      <c r="L313" s="186">
        <v>-324859.68999999762</v>
      </c>
      <c r="M313" s="186">
        <v>-521039.51000000257</v>
      </c>
      <c r="N313" s="186">
        <v>-5828712.080000001</v>
      </c>
      <c r="O313" s="186">
        <v>2987596.9899999974</v>
      </c>
      <c r="P313" s="186">
        <v>-1175710.069999997</v>
      </c>
      <c r="Q313" s="186">
        <v>-412416.64999999851</v>
      </c>
      <c r="R313" s="186">
        <v>1182542.4100000006</v>
      </c>
      <c r="S313" s="186">
        <v>-360922.37000000034</v>
      </c>
      <c r="T313" s="186">
        <v>7489871.2600000016</v>
      </c>
      <c r="U313" s="186"/>
      <c r="V313" s="186"/>
      <c r="W313" s="186"/>
      <c r="X313" s="186"/>
      <c r="Y313" s="186"/>
      <c r="Z313" s="186"/>
      <c r="AA313" s="186"/>
    </row>
    <row r="314" spans="1:31" x14ac:dyDescent="0.25">
      <c r="B314" s="13" t="s">
        <v>1002</v>
      </c>
      <c r="D314" s="186">
        <f ca="1">D$311-D$313</f>
        <v>905906.06000000157</v>
      </c>
      <c r="E314" s="186">
        <f t="shared" ref="E314:S314" ca="1" si="64">E$311-E$313</f>
        <v>3182816.1600000006</v>
      </c>
      <c r="F314" s="186">
        <f t="shared" ca="1" si="64"/>
        <v>996311.1399999999</v>
      </c>
      <c r="G314" s="186">
        <f t="shared" ca="1" si="64"/>
        <v>9505429.3500000015</v>
      </c>
      <c r="H314" s="186">
        <f t="shared" ca="1" si="64"/>
        <v>8206646.6000000015</v>
      </c>
      <c r="I314" s="186">
        <f t="shared" ca="1" si="64"/>
        <v>877418.72999999905</v>
      </c>
      <c r="J314" s="186">
        <f t="shared" ca="1" si="64"/>
        <v>4927024.4899999965</v>
      </c>
      <c r="K314" s="186">
        <f t="shared" ca="1" si="64"/>
        <v>11451661.980000002</v>
      </c>
      <c r="L314" s="186">
        <f t="shared" ca="1" si="64"/>
        <v>1897043.8999999976</v>
      </c>
      <c r="M314" s="186">
        <f t="shared" ca="1" si="64"/>
        <v>4640592.5500000026</v>
      </c>
      <c r="N314" s="186">
        <f t="shared" ca="1" si="64"/>
        <v>2810313.9700000011</v>
      </c>
      <c r="O314" s="186">
        <f t="shared" ca="1" si="64"/>
        <v>-2190951.3099999973</v>
      </c>
      <c r="P314" s="186">
        <f t="shared" ca="1" si="64"/>
        <v>2494192.0999999968</v>
      </c>
      <c r="Q314" s="186">
        <f t="shared" ca="1" si="64"/>
        <v>4383046.5999999987</v>
      </c>
      <c r="R314" s="186">
        <f t="shared" ca="1" si="64"/>
        <v>1703489.3999999994</v>
      </c>
      <c r="S314" s="186">
        <f t="shared" ca="1" si="64"/>
        <v>1653159.3500000003</v>
      </c>
      <c r="T314" s="186"/>
      <c r="U314" s="186"/>
      <c r="V314" s="186"/>
      <c r="W314" s="186"/>
      <c r="X314" s="186"/>
      <c r="Y314" s="186"/>
      <c r="Z314" s="186"/>
      <c r="AA314" s="186"/>
    </row>
    <row r="315" spans="1:31" x14ac:dyDescent="0.25"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  <c r="AA315" s="186"/>
    </row>
    <row r="316" spans="1:31" x14ac:dyDescent="0.25"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  <c r="AA316" s="186"/>
    </row>
    <row r="317" spans="1:31" x14ac:dyDescent="0.25"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  <c r="AA317" s="186"/>
    </row>
    <row r="318" spans="1:31" x14ac:dyDescent="0.25"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  <c r="AA318" s="186"/>
    </row>
    <row r="319" spans="1:31" x14ac:dyDescent="0.25"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  <c r="AA319" s="186"/>
    </row>
  </sheetData>
  <conditionalFormatting sqref="A1:A311">
    <cfRule type="endsWith" dxfId="25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9 AE20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2"/>
  <sheetViews>
    <sheetView showGridLines="0" zoomScale="80" zoomScaleNormal="80" workbookViewId="0">
      <pane xSplit="2" ySplit="2" topLeftCell="C3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G15" sqref="G15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3" t="str">
        <f>"Fechamento de " &amp; TEXT(inputs!A1,"mmmm") &amp; " de " &amp; YEAR(inputs!A1)</f>
        <v>Fechamento de junho de 2026</v>
      </c>
      <c r="B1" s="258"/>
      <c r="C1" s="353" t="s">
        <v>494</v>
      </c>
      <c r="D1" s="354" t="s">
        <v>935</v>
      </c>
      <c r="E1" s="238" t="s">
        <v>533</v>
      </c>
      <c r="F1" s="238" t="s">
        <v>539</v>
      </c>
      <c r="G1" s="238" t="s">
        <v>704</v>
      </c>
      <c r="H1" s="238" t="s">
        <v>537</v>
      </c>
      <c r="I1" s="238" t="s">
        <v>541</v>
      </c>
      <c r="J1" s="238" t="s">
        <v>535</v>
      </c>
      <c r="K1" s="238" t="s">
        <v>544</v>
      </c>
      <c r="L1" s="238" t="s">
        <v>531</v>
      </c>
      <c r="M1" s="239" t="s">
        <v>546</v>
      </c>
      <c r="O1" s="285" t="s">
        <v>25</v>
      </c>
    </row>
    <row r="2" spans="1:15" x14ac:dyDescent="0.25">
      <c r="B2" s="258"/>
      <c r="C2" s="355" t="s">
        <v>936</v>
      </c>
      <c r="D2" s="356"/>
      <c r="E2" s="240" t="s">
        <v>7</v>
      </c>
      <c r="F2" s="240" t="s">
        <v>8</v>
      </c>
      <c r="G2" s="240" t="s">
        <v>673</v>
      </c>
      <c r="H2" s="240" t="s">
        <v>9</v>
      </c>
      <c r="I2" s="240" t="s">
        <v>10</v>
      </c>
      <c r="J2" s="240" t="s">
        <v>11</v>
      </c>
      <c r="K2" s="240" t="s">
        <v>465</v>
      </c>
      <c r="L2" s="240" t="s">
        <v>12</v>
      </c>
      <c r="M2" s="241" t="s">
        <v>13</v>
      </c>
      <c r="O2" s="286"/>
    </row>
    <row r="3" spans="1:15" x14ac:dyDescent="0.25">
      <c r="A3" s="175" t="s">
        <v>502</v>
      </c>
      <c r="B3" s="259" t="s">
        <v>503</v>
      </c>
      <c r="C3" s="242">
        <f t="shared" ref="C3:M3" si="0">C4+C9</f>
        <v>0</v>
      </c>
      <c r="D3" s="242">
        <f t="shared" ca="1" si="0"/>
        <v>0</v>
      </c>
      <c r="E3" s="242">
        <f t="shared" ca="1" si="0"/>
        <v>0</v>
      </c>
      <c r="F3" s="242">
        <f t="shared" ca="1" si="0"/>
        <v>0</v>
      </c>
      <c r="G3" s="242">
        <f t="shared" ca="1" si="0"/>
        <v>0</v>
      </c>
      <c r="H3" s="242">
        <f t="shared" ca="1" si="0"/>
        <v>0</v>
      </c>
      <c r="I3" s="242">
        <f t="shared" ca="1" si="0"/>
        <v>0</v>
      </c>
      <c r="J3" s="242">
        <f t="shared" ca="1" si="0"/>
        <v>390312.32</v>
      </c>
      <c r="K3" s="242">
        <f t="shared" ca="1" si="0"/>
        <v>0</v>
      </c>
      <c r="L3" s="242">
        <f t="shared" ca="1" si="0"/>
        <v>0</v>
      </c>
      <c r="M3" s="243">
        <f t="shared" ca="1" si="0"/>
        <v>0</v>
      </c>
      <c r="O3" s="278">
        <f t="shared" ref="O3:O45" ca="1" si="1">SUM(C3:M3)</f>
        <v>390312.32</v>
      </c>
    </row>
    <row r="4" spans="1:15" x14ac:dyDescent="0.25">
      <c r="A4" s="179" t="s">
        <v>505</v>
      </c>
      <c r="B4" s="260" t="s">
        <v>506</v>
      </c>
      <c r="C4" s="244">
        <f t="shared" ref="C4:M4" si="2">SUM(C5:C8)</f>
        <v>0</v>
      </c>
      <c r="D4" s="244">
        <f t="shared" ca="1" si="2"/>
        <v>0</v>
      </c>
      <c r="E4" s="244">
        <f t="shared" ca="1" si="2"/>
        <v>0</v>
      </c>
      <c r="F4" s="244">
        <f t="shared" ca="1" si="2"/>
        <v>0</v>
      </c>
      <c r="G4" s="244">
        <f t="shared" ca="1" si="2"/>
        <v>0</v>
      </c>
      <c r="H4" s="244">
        <f t="shared" ca="1" si="2"/>
        <v>0</v>
      </c>
      <c r="I4" s="244">
        <f t="shared" ca="1" si="2"/>
        <v>0</v>
      </c>
      <c r="J4" s="244">
        <f t="shared" ca="1" si="2"/>
        <v>390312.32</v>
      </c>
      <c r="K4" s="244">
        <f t="shared" ca="1" si="2"/>
        <v>0</v>
      </c>
      <c r="L4" s="244">
        <f t="shared" ca="1" si="2"/>
        <v>0</v>
      </c>
      <c r="M4" s="245">
        <f t="shared" ca="1" si="2"/>
        <v>0</v>
      </c>
      <c r="O4" s="279">
        <f t="shared" ca="1" si="1"/>
        <v>390312.32</v>
      </c>
    </row>
    <row r="5" spans="1:15" outlineLevel="1" x14ac:dyDescent="0.25">
      <c r="A5" s="182" t="s">
        <v>507</v>
      </c>
      <c r="B5" s="261" t="s">
        <v>508</v>
      </c>
      <c r="C5" s="246">
        <v>0</v>
      </c>
      <c r="D5" s="246">
        <f ca="1">SUMIFS(tb_rec_uni[2026-06-01],INDIRECT("tb_rec_uni[natureza]"),"repasse.cef.obra")
+SUMIFS(tb_rec_uni[2026-06-01],INDIRECT("tb_rec_uni[natureza]"),"repasse.cef.terreno")
-SUM(C5,E5:M5)</f>
        <v>0</v>
      </c>
      <c r="E5" s="246">
        <f ca="1">SUMIFS(tb_rec_uni[2026-06-01],
INDIRECT("tb_rec_uni[natureza]"),"repasse.cef.obra",
INDIRECT("tb_rec_uni[empresa]"),E$2)+
SUMIFS(tb_rec_uni[2026-06-01],
INDIRECT("tb_rec_uni[natureza]"),"repasse.cef.terreno",
INDIRECT("tb_rec_uni[empresa]"),E$2)</f>
        <v>0</v>
      </c>
      <c r="F5" s="246">
        <f ca="1">SUMIFS(tb_rec_uni[2026-06-01],
INDIRECT("tb_rec_uni[natureza]"),"repasse.cef.obra",
INDIRECT("tb_rec_uni[empresa]"),F$2)+
SUMIFS(tb_rec_uni[2026-06-01],
INDIRECT("tb_rec_uni[natureza]"),"repasse.cef.terreno",
INDIRECT("tb_rec_uni[empresa]"),F$2)</f>
        <v>0</v>
      </c>
      <c r="G5" s="246">
        <f ca="1">SUMIFS(tb_rec_uni[2026-06-01],
INDIRECT("tb_rec_uni[natureza]"),"repasse.cef.obra",
INDIRECT("tb_rec_uni[empresa]"),G$2)+
SUMIFS(tb_rec_uni[2026-06-01],
INDIRECT("tb_rec_uni[natureza]"),"repasse.cef.terreno",
INDIRECT("tb_rec_uni[empresa]"),G$2)</f>
        <v>0</v>
      </c>
      <c r="H5" s="246">
        <f ca="1">SUMIFS(tb_rec_uni[2026-06-01],
INDIRECT("tb_rec_uni[natureza]"),"repasse.cef.obra",
INDIRECT("tb_rec_uni[empresa]"),H$2)+
SUMIFS(tb_rec_uni[2026-06-01],
INDIRECT("tb_rec_uni[natureza]"),"repasse.cef.terreno",
INDIRECT("tb_rec_uni[empresa]"),H$2)</f>
        <v>0</v>
      </c>
      <c r="I5" s="246">
        <f ca="1">SUMIFS(tb_rec_uni[2026-06-01],
INDIRECT("tb_rec_uni[natureza]"),"repasse.cef.obra",
INDIRECT("tb_rec_uni[empresa]"),I$2)+
SUMIFS(tb_rec_uni[2026-06-01],
INDIRECT("tb_rec_uni[natureza]"),"repasse.cef.terreno",
INDIRECT("tb_rec_uni[empresa]"),I$2)</f>
        <v>0</v>
      </c>
      <c r="J5" s="246">
        <f ca="1">SUMIFS(tb_rec_uni[2026-06-01],
INDIRECT("tb_rec_uni[natureza]"),"repasse.cef.obra",
INDIRECT("tb_rec_uni[empresa]"),J$2)+
SUMIFS(tb_rec_uni[2026-06-01],
INDIRECT("tb_rec_uni[natureza]"),"repasse.cef.terreno",
INDIRECT("tb_rec_uni[empresa]"),J$2)</f>
        <v>0</v>
      </c>
      <c r="K5" s="246">
        <f ca="1">SUMIFS(tb_rec_uni[2026-06-01],
INDIRECT("tb_rec_uni[natureza]"),"repasse.cef.obra",
INDIRECT("tb_rec_uni[empresa]"),K$2)+
SUMIFS(tb_rec_uni[2026-06-01],
INDIRECT("tb_rec_uni[natureza]"),"repasse.cef.terreno",
INDIRECT("tb_rec_uni[empresa]"),K$2)</f>
        <v>0</v>
      </c>
      <c r="L5" s="246">
        <f ca="1">SUMIFS(tb_rec_uni[2026-06-01],
INDIRECT("tb_rec_uni[natureza]"),"repasse.cef.obra",
INDIRECT("tb_rec_uni[empresa]"),L$2)+
SUMIFS(tb_rec_uni[2026-06-01],
INDIRECT("tb_rec_uni[natureza]"),"repasse.cef.terreno",
INDIRECT("tb_rec_uni[empresa]"),L$2)</f>
        <v>0</v>
      </c>
      <c r="M5" s="247">
        <f ca="1">SUMIFS(tb_rec_uni[2026-06-01],
INDIRECT("tb_rec_uni[natureza]"),"repasse.cef.obra",
INDIRECT("tb_rec_uni[empresa]"),M$2)+
SUMIFS(tb_rec_uni[2026-06-01],
INDIRECT("tb_rec_uni[natureza]"),"repasse.cef.terreno",
INDIRECT("tb_rec_uni[empresa]"),M$2)</f>
        <v>0</v>
      </c>
      <c r="O5" s="280">
        <f t="shared" ca="1" si="1"/>
        <v>0</v>
      </c>
    </row>
    <row r="6" spans="1:15" outlineLevel="1" x14ac:dyDescent="0.25">
      <c r="A6" s="182" t="s">
        <v>513</v>
      </c>
      <c r="B6" s="261" t="s">
        <v>16</v>
      </c>
      <c r="C6" s="246">
        <v>0</v>
      </c>
      <c r="D6" s="246">
        <f ca="1">SUMIFS(tb_rec_uni[2026-06-01],INDIRECT("tb_rec_uni[natureza]"),"pro.soluto")
-SUM(C6,E6:M6)</f>
        <v>0</v>
      </c>
      <c r="E6" s="246">
        <f ca="1">SUMIFS(tb_rec_uni[2026-06-01],
INDIRECT("tb_rec_uni[natureza]"),"pro.soluto",
INDIRECT("tb_rec_uni[empresa]"),E$2)</f>
        <v>0</v>
      </c>
      <c r="F6" s="246">
        <f ca="1">SUMIFS(tb_rec_uni[2026-06-01],
INDIRECT("tb_rec_uni[natureza]"),"pro.soluto",
INDIRECT("tb_rec_uni[empresa]"),F$2)</f>
        <v>0</v>
      </c>
      <c r="G6" s="246">
        <f ca="1">SUMIFS(tb_rec_uni[2026-06-01],
INDIRECT("tb_rec_uni[natureza]"),"pro.soluto",
INDIRECT("tb_rec_uni[empresa]"),G$2)</f>
        <v>0</v>
      </c>
      <c r="H6" s="246">
        <f ca="1">SUMIFS(tb_rec_uni[2026-06-01],
INDIRECT("tb_rec_uni[natureza]"),"pro.soluto",
INDIRECT("tb_rec_uni[empresa]"),H$2)</f>
        <v>0</v>
      </c>
      <c r="I6" s="246">
        <f ca="1">SUMIFS(tb_rec_uni[2026-06-01],
INDIRECT("tb_rec_uni[natureza]"),"pro.soluto",
INDIRECT("tb_rec_uni[empresa]"),I$2)</f>
        <v>0</v>
      </c>
      <c r="J6" s="246">
        <f ca="1">SUMIFS(tb_rec_uni[2026-06-01],
INDIRECT("tb_rec_uni[natureza]"),"pro.soluto",
INDIRECT("tb_rec_uni[empresa]"),J$2)</f>
        <v>0</v>
      </c>
      <c r="K6" s="246">
        <f ca="1">SUMIFS(tb_rec_uni[2026-06-01],
INDIRECT("tb_rec_uni[natureza]"),"pro.soluto",
INDIRECT("tb_rec_uni[empresa]"),K$2)</f>
        <v>0</v>
      </c>
      <c r="L6" s="246">
        <f ca="1">SUMIFS(tb_rec_uni[2026-06-01],
INDIRECT("tb_rec_uni[natureza]"),"pro.soluto",
INDIRECT("tb_rec_uni[empresa]"),L$2)</f>
        <v>0</v>
      </c>
      <c r="M6" s="247">
        <f ca="1">SUMIFS(tb_rec_uni[2026-06-01],
INDIRECT("tb_rec_uni[natureza]"),"pro.soluto",
INDIRECT("tb_rec_uni[empresa]"),M$2)</f>
        <v>0</v>
      </c>
      <c r="O6" s="280">
        <f t="shared" ca="1" si="1"/>
        <v>0</v>
      </c>
    </row>
    <row r="7" spans="1:15" outlineLevel="1" x14ac:dyDescent="0.25">
      <c r="A7" s="182" t="s">
        <v>522</v>
      </c>
      <c r="B7" s="261" t="s">
        <v>526</v>
      </c>
      <c r="C7" s="246">
        <v>0</v>
      </c>
      <c r="D7" s="246">
        <v>0</v>
      </c>
      <c r="E7" s="246">
        <v>0</v>
      </c>
      <c r="F7" s="246">
        <v>0</v>
      </c>
      <c r="G7" s="246">
        <v>0</v>
      </c>
      <c r="H7" s="246">
        <v>0</v>
      </c>
      <c r="I7" s="246">
        <v>0</v>
      </c>
      <c r="J7" s="246" cm="1">
        <f t="array" ref="J7">INDEX(inputs!$BJ$51:$BJ$122,ABS(12*(YEAR(MIN(f.grupo!$A$1:$DJ$1))-YEAR(inputs!$A$1))+MONTH(MIN(f.grupo!$A$1:$DJ$1))-MONTH(inputs!$A$1))+1)</f>
        <v>390312.32</v>
      </c>
      <c r="K7" s="246">
        <v>0</v>
      </c>
      <c r="L7" s="246">
        <v>0</v>
      </c>
      <c r="M7" s="247">
        <v>0</v>
      </c>
      <c r="O7" s="280">
        <f>SUM(C7:M7)</f>
        <v>390312.32</v>
      </c>
    </row>
    <row r="8" spans="1:15" outlineLevel="1" x14ac:dyDescent="0.25">
      <c r="A8" s="182" t="s">
        <v>525</v>
      </c>
      <c r="B8" s="261" t="s">
        <v>523</v>
      </c>
      <c r="C8" s="246">
        <v>0</v>
      </c>
      <c r="D8" s="246">
        <f ca="1">SUMIFS(tb_rec_uni[2026-06-01],INDIRECT("tb_rec_uni[natureza]"),"taxa.extra")
-SUM(C8,E8:M8)</f>
        <v>0</v>
      </c>
      <c r="E8" s="246">
        <f ca="1">SUMIFS(tb_rec_uni[2026-06-01],
INDIRECT("tb_rec_uni[natureza]"),"taxa.extra",
INDIRECT("tb_rec_uni[empresa]"),E$2)</f>
        <v>0</v>
      </c>
      <c r="F8" s="246">
        <f ca="1">SUMIFS(tb_rec_uni[2026-06-01],
INDIRECT("tb_rec_uni[natureza]"),"taxa.extra",
INDIRECT("tb_rec_uni[empresa]"),F$2)</f>
        <v>0</v>
      </c>
      <c r="G8" s="246">
        <f ca="1">SUMIFS(tb_rec_uni[2026-06-01],
INDIRECT("tb_rec_uni[natureza]"),"taxa.extra",
INDIRECT("tb_rec_uni[empresa]"),G$2)</f>
        <v>0</v>
      </c>
      <c r="H8" s="246">
        <f ca="1">SUMIFS(tb_rec_uni[2026-06-01],
INDIRECT("tb_rec_uni[natureza]"),"taxa.extra",
INDIRECT("tb_rec_uni[empresa]"),H$2)</f>
        <v>0</v>
      </c>
      <c r="I8" s="246">
        <f ca="1">SUMIFS(tb_rec_uni[2026-06-01],
INDIRECT("tb_rec_uni[natureza]"),"taxa.extra",
INDIRECT("tb_rec_uni[empresa]"),I$2)</f>
        <v>0</v>
      </c>
      <c r="J8" s="246">
        <f ca="1">SUMIFS(tb_rec_uni[2026-06-01],
INDIRECT("tb_rec_uni[natureza]"),"taxa.extra",
INDIRECT("tb_rec_uni[empresa]"),J$2)</f>
        <v>0</v>
      </c>
      <c r="K8" s="246">
        <f ca="1">SUMIFS(tb_rec_uni[2026-06-01],
INDIRECT("tb_rec_uni[natureza]"),"taxa.extra",
INDIRECT("tb_rec_uni[empresa]"),K$2)</f>
        <v>0</v>
      </c>
      <c r="L8" s="246">
        <f ca="1">SUMIFS(tb_rec_uni[2026-06-01],
INDIRECT("tb_rec_uni[natureza]"),"taxa.extra",
INDIRECT("tb_rec_uni[empresa]"),L$2)</f>
        <v>0</v>
      </c>
      <c r="M8" s="247">
        <f ca="1">SUMIFS(tb_rec_uni[2026-06-01],
INDIRECT("tb_rec_uni[natureza]"),"taxa.extra",
INDIRECT("tb_rec_uni[empresa]"),M$2)</f>
        <v>0</v>
      </c>
      <c r="O8" s="280">
        <f t="shared" ca="1" si="1"/>
        <v>0</v>
      </c>
    </row>
    <row r="9" spans="1:15" x14ac:dyDescent="0.25">
      <c r="A9" s="188" t="s">
        <v>527</v>
      </c>
      <c r="B9" s="262" t="s">
        <v>528</v>
      </c>
      <c r="C9" s="248">
        <f t="shared" ref="C9:M9" si="3">SUM(C10:C23)</f>
        <v>0</v>
      </c>
      <c r="D9" s="248">
        <f t="shared" si="3"/>
        <v>0</v>
      </c>
      <c r="E9" s="248">
        <f t="shared" si="3"/>
        <v>0</v>
      </c>
      <c r="F9" s="248">
        <f t="shared" si="3"/>
        <v>0</v>
      </c>
      <c r="G9" s="248">
        <f t="shared" si="3"/>
        <v>0</v>
      </c>
      <c r="H9" s="248">
        <f t="shared" si="3"/>
        <v>0</v>
      </c>
      <c r="I9" s="248">
        <f t="shared" si="3"/>
        <v>0</v>
      </c>
      <c r="J9" s="248">
        <f t="shared" si="3"/>
        <v>0</v>
      </c>
      <c r="K9" s="248">
        <f t="shared" si="3"/>
        <v>0</v>
      </c>
      <c r="L9" s="248">
        <f t="shared" si="3"/>
        <v>0</v>
      </c>
      <c r="M9" s="249">
        <f t="shared" si="3"/>
        <v>0</v>
      </c>
      <c r="O9" s="281">
        <f t="shared" si="1"/>
        <v>0</v>
      </c>
    </row>
    <row r="10" spans="1:15" outlineLevel="1" x14ac:dyDescent="0.25">
      <c r="A10" s="182" t="s">
        <v>529</v>
      </c>
      <c r="B10" s="458" t="s">
        <v>352</v>
      </c>
      <c r="C10" s="246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6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6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6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6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6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6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6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6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6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7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80">
        <f t="shared" si="1"/>
        <v>0</v>
      </c>
    </row>
    <row r="11" spans="1:15" outlineLevel="1" x14ac:dyDescent="0.25">
      <c r="A11" s="182" t="s">
        <v>548</v>
      </c>
      <c r="B11" s="182" t="s">
        <v>350</v>
      </c>
      <c r="C11" s="246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6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6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6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6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6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6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6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6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6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7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80">
        <f t="shared" si="1"/>
        <v>0</v>
      </c>
    </row>
    <row r="12" spans="1:15" outlineLevel="1" x14ac:dyDescent="0.25">
      <c r="A12" s="182" t="s">
        <v>1186</v>
      </c>
      <c r="B12" s="182" t="s">
        <v>373</v>
      </c>
      <c r="C12" s="246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6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6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6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6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6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6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6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6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6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7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80">
        <f>SUM(C12:M12)</f>
        <v>0</v>
      </c>
    </row>
    <row r="13" spans="1:15" outlineLevel="1" x14ac:dyDescent="0.25">
      <c r="A13" s="182" t="s">
        <v>559</v>
      </c>
      <c r="B13" s="182" t="s">
        <v>391</v>
      </c>
      <c r="C13" s="246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6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6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6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6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6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6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6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6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6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7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80">
        <f t="shared" si="1"/>
        <v>0</v>
      </c>
    </row>
    <row r="14" spans="1:15" outlineLevel="1" x14ac:dyDescent="0.25">
      <c r="A14" s="182" t="s">
        <v>560</v>
      </c>
      <c r="B14" s="182" t="s">
        <v>374</v>
      </c>
      <c r="C14" s="246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6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6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6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6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6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6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6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6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6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7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80">
        <f t="shared" si="1"/>
        <v>0</v>
      </c>
    </row>
    <row r="15" spans="1:15" outlineLevel="1" x14ac:dyDescent="0.25">
      <c r="A15" s="182" t="s">
        <v>563</v>
      </c>
      <c r="B15" s="182" t="s">
        <v>337</v>
      </c>
      <c r="C15" s="246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6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6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6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6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6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6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6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6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6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7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80">
        <f t="shared" si="1"/>
        <v>0</v>
      </c>
    </row>
    <row r="16" spans="1:15" outlineLevel="1" x14ac:dyDescent="0.25">
      <c r="A16" s="182" t="s">
        <v>564</v>
      </c>
      <c r="B16" s="182" t="s">
        <v>383</v>
      </c>
      <c r="C16" s="246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6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6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6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6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6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6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6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6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6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7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80">
        <f>SUM(C16:M16)</f>
        <v>0</v>
      </c>
    </row>
    <row r="17" spans="1:15" outlineLevel="1" x14ac:dyDescent="0.25">
      <c r="A17" s="182" t="s">
        <v>565</v>
      </c>
      <c r="B17" s="182" t="s">
        <v>386</v>
      </c>
      <c r="C17" s="246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6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6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6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6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6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6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6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6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6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7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80">
        <f t="shared" si="1"/>
        <v>0</v>
      </c>
    </row>
    <row r="18" spans="1:15" outlineLevel="1" x14ac:dyDescent="0.25">
      <c r="A18" s="182" t="s">
        <v>566</v>
      </c>
      <c r="B18" s="458" t="s">
        <v>1081</v>
      </c>
      <c r="C18" s="246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6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6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6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6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6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6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6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6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6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7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80">
        <f t="shared" si="1"/>
        <v>0</v>
      </c>
    </row>
    <row r="19" spans="1:15" outlineLevel="1" x14ac:dyDescent="0.25">
      <c r="A19" s="182" t="s">
        <v>567</v>
      </c>
      <c r="B19" s="182" t="s">
        <v>340</v>
      </c>
      <c r="C19" s="246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6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6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6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6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6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6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6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6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6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7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80">
        <f t="shared" si="1"/>
        <v>0</v>
      </c>
    </row>
    <row r="20" spans="1:15" outlineLevel="1" x14ac:dyDescent="0.25">
      <c r="A20" s="182" t="s">
        <v>570</v>
      </c>
      <c r="B20" s="182" t="s">
        <v>396</v>
      </c>
      <c r="C20" s="246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6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6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6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6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6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6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6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6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6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7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80">
        <f t="shared" si="1"/>
        <v>0</v>
      </c>
    </row>
    <row r="21" spans="1:15" outlineLevel="1" x14ac:dyDescent="0.25">
      <c r="A21" s="182" t="s">
        <v>582</v>
      </c>
      <c r="B21" s="182" t="s">
        <v>355</v>
      </c>
      <c r="C21" s="246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6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6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6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6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6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6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6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6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6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7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80">
        <f t="shared" si="1"/>
        <v>0</v>
      </c>
    </row>
    <row r="22" spans="1:15" outlineLevel="1" x14ac:dyDescent="0.25">
      <c r="A22" s="182" t="s">
        <v>584</v>
      </c>
      <c r="B22" s="182" t="s">
        <v>365</v>
      </c>
      <c r="C22" s="246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6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6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6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6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6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6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6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6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6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7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80">
        <f t="shared" si="1"/>
        <v>0</v>
      </c>
    </row>
    <row r="23" spans="1:15" outlineLevel="1" x14ac:dyDescent="0.25">
      <c r="A23" s="182" t="s">
        <v>1082</v>
      </c>
      <c r="B23" s="182" t="s">
        <v>691</v>
      </c>
      <c r="C23" s="246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-C$41</f>
        <v>0</v>
      </c>
      <c r="D23" s="246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-D$41</f>
        <v>0</v>
      </c>
      <c r="E23" s="246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-E$41</f>
        <v>0</v>
      </c>
      <c r="F23" s="246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-F$41</f>
        <v>0</v>
      </c>
      <c r="G23" s="246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-G$41</f>
        <v>0</v>
      </c>
      <c r="H23" s="246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-H$41</f>
        <v>0</v>
      </c>
      <c r="I23" s="246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-I$41</f>
        <v>0</v>
      </c>
      <c r="J23" s="246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-J$41</f>
        <v>0</v>
      </c>
      <c r="K23" s="246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-K$41</f>
        <v>0</v>
      </c>
      <c r="L23" s="246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-L$41</f>
        <v>0</v>
      </c>
      <c r="M23" s="247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-M$41</f>
        <v>0</v>
      </c>
      <c r="O23" s="280">
        <f t="shared" si="1"/>
        <v>0</v>
      </c>
    </row>
    <row r="24" spans="1:15" x14ac:dyDescent="0.25">
      <c r="A24" s="175" t="s">
        <v>586</v>
      </c>
      <c r="B24" s="259" t="s">
        <v>587</v>
      </c>
      <c r="C24" s="250">
        <f t="shared" ref="C24:D24" si="4">C25+C28</f>
        <v>0</v>
      </c>
      <c r="D24" s="250">
        <f t="shared" si="4"/>
        <v>0</v>
      </c>
      <c r="E24" s="250">
        <f t="shared" ref="E24" si="5">E25+E28</f>
        <v>0</v>
      </c>
      <c r="F24" s="250">
        <f t="shared" ref="F24:M24" si="6">F25+F28</f>
        <v>0</v>
      </c>
      <c r="G24" s="250">
        <f t="shared" si="6"/>
        <v>0</v>
      </c>
      <c r="H24" s="250">
        <f t="shared" si="6"/>
        <v>0</v>
      </c>
      <c r="I24" s="250">
        <f t="shared" si="6"/>
        <v>0</v>
      </c>
      <c r="J24" s="250">
        <f t="shared" si="6"/>
        <v>0</v>
      </c>
      <c r="K24" s="250">
        <f t="shared" si="6"/>
        <v>0</v>
      </c>
      <c r="L24" s="250">
        <f t="shared" si="6"/>
        <v>0</v>
      </c>
      <c r="M24" s="251">
        <f t="shared" si="6"/>
        <v>0</v>
      </c>
      <c r="O24" s="282">
        <f t="shared" si="1"/>
        <v>0</v>
      </c>
    </row>
    <row r="25" spans="1:15" x14ac:dyDescent="0.25">
      <c r="A25" s="179" t="s">
        <v>588</v>
      </c>
      <c r="B25" s="260" t="s">
        <v>589</v>
      </c>
      <c r="C25" s="244">
        <f t="shared" ref="C25:D25" si="7">SUM(C26:C27)</f>
        <v>0</v>
      </c>
      <c r="D25" s="244">
        <f t="shared" si="7"/>
        <v>0</v>
      </c>
      <c r="E25" s="244">
        <f t="shared" ref="E25" si="8">SUM(E26:E27)</f>
        <v>0</v>
      </c>
      <c r="F25" s="244">
        <f t="shared" ref="F25:M25" si="9">SUM(F26:F27)</f>
        <v>0</v>
      </c>
      <c r="G25" s="244">
        <f t="shared" si="9"/>
        <v>0</v>
      </c>
      <c r="H25" s="244">
        <f t="shared" si="9"/>
        <v>0</v>
      </c>
      <c r="I25" s="244">
        <f t="shared" si="9"/>
        <v>0</v>
      </c>
      <c r="J25" s="244">
        <f t="shared" si="9"/>
        <v>0</v>
      </c>
      <c r="K25" s="244">
        <f t="shared" si="9"/>
        <v>0</v>
      </c>
      <c r="L25" s="244">
        <f t="shared" si="9"/>
        <v>0</v>
      </c>
      <c r="M25" s="245">
        <f t="shared" si="9"/>
        <v>0</v>
      </c>
      <c r="O25" s="279">
        <f t="shared" si="1"/>
        <v>0</v>
      </c>
    </row>
    <row r="26" spans="1:15" outlineLevel="1" x14ac:dyDescent="0.25">
      <c r="A26" s="182" t="s">
        <v>590</v>
      </c>
      <c r="B26" s="263" t="s">
        <v>591</v>
      </c>
      <c r="C26" s="252"/>
      <c r="D26" s="252"/>
      <c r="E26" s="252"/>
      <c r="F26" s="252"/>
      <c r="G26" s="252"/>
      <c r="H26" s="252"/>
      <c r="I26" s="252"/>
      <c r="J26" s="252"/>
      <c r="K26" s="252"/>
      <c r="L26" s="252"/>
      <c r="M26" s="253"/>
      <c r="O26" s="178">
        <f t="shared" si="1"/>
        <v>0</v>
      </c>
    </row>
    <row r="27" spans="1:15" outlineLevel="1" x14ac:dyDescent="0.25">
      <c r="A27" s="182" t="s">
        <v>592</v>
      </c>
      <c r="B27" s="263" t="s">
        <v>593</v>
      </c>
      <c r="C27" s="252"/>
      <c r="D27" s="252"/>
      <c r="E27" s="252"/>
      <c r="F27" s="252"/>
      <c r="G27" s="252"/>
      <c r="H27" s="252"/>
      <c r="I27" s="252"/>
      <c r="J27" s="252"/>
      <c r="K27" s="252"/>
      <c r="L27" s="252"/>
      <c r="M27" s="253"/>
      <c r="O27" s="178">
        <f t="shared" si="1"/>
        <v>0</v>
      </c>
    </row>
    <row r="28" spans="1:15" x14ac:dyDescent="0.25">
      <c r="A28" s="188" t="s">
        <v>594</v>
      </c>
      <c r="B28" s="262" t="s">
        <v>595</v>
      </c>
      <c r="C28" s="254">
        <f t="shared" ref="C28:D28" si="10">SUM(C29:C31)</f>
        <v>0</v>
      </c>
      <c r="D28" s="254">
        <f t="shared" si="10"/>
        <v>0</v>
      </c>
      <c r="E28" s="254">
        <f t="shared" ref="E28" si="11">SUM(E29:E31)</f>
        <v>0</v>
      </c>
      <c r="F28" s="254">
        <f t="shared" ref="F28:M28" si="12">SUM(F29:F31)</f>
        <v>0</v>
      </c>
      <c r="G28" s="254">
        <f t="shared" si="12"/>
        <v>0</v>
      </c>
      <c r="H28" s="254">
        <f t="shared" si="12"/>
        <v>0</v>
      </c>
      <c r="I28" s="254">
        <f t="shared" si="12"/>
        <v>0</v>
      </c>
      <c r="J28" s="254">
        <f t="shared" si="12"/>
        <v>0</v>
      </c>
      <c r="K28" s="254">
        <f t="shared" si="12"/>
        <v>0</v>
      </c>
      <c r="L28" s="254">
        <f t="shared" si="12"/>
        <v>0</v>
      </c>
      <c r="M28" s="255">
        <f t="shared" si="12"/>
        <v>0</v>
      </c>
      <c r="O28" s="283">
        <f t="shared" si="1"/>
        <v>0</v>
      </c>
    </row>
    <row r="29" spans="1:15" outlineLevel="1" x14ac:dyDescent="0.25">
      <c r="A29" s="182" t="s">
        <v>596</v>
      </c>
      <c r="B29" s="261" t="s">
        <v>400</v>
      </c>
      <c r="C29" s="246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6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6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6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6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6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6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6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6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6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7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80">
        <f t="shared" si="1"/>
        <v>0</v>
      </c>
    </row>
    <row r="30" spans="1:15" outlineLevel="1" x14ac:dyDescent="0.25">
      <c r="A30" s="182" t="s">
        <v>612</v>
      </c>
      <c r="B30" s="263" t="s">
        <v>613</v>
      </c>
      <c r="C30" s="252"/>
      <c r="D30" s="252"/>
      <c r="E30" s="252"/>
      <c r="F30" s="252"/>
      <c r="G30" s="252"/>
      <c r="H30" s="252"/>
      <c r="I30" s="252"/>
      <c r="J30" s="252"/>
      <c r="K30" s="252"/>
      <c r="L30" s="252"/>
      <c r="M30" s="253"/>
      <c r="O30" s="178">
        <f t="shared" si="1"/>
        <v>0</v>
      </c>
    </row>
    <row r="31" spans="1:15" outlineLevel="1" x14ac:dyDescent="0.25">
      <c r="A31" s="182" t="s">
        <v>614</v>
      </c>
      <c r="B31" s="263" t="s">
        <v>615</v>
      </c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3"/>
      <c r="O31" s="178">
        <f t="shared" si="1"/>
        <v>0</v>
      </c>
    </row>
    <row r="32" spans="1:15" x14ac:dyDescent="0.25">
      <c r="A32" s="175" t="s">
        <v>616</v>
      </c>
      <c r="B32" s="259" t="s">
        <v>617</v>
      </c>
      <c r="C32" s="242">
        <f t="shared" ref="C32:D32" si="13">C33+C38</f>
        <v>0</v>
      </c>
      <c r="D32" s="242">
        <f t="shared" si="13"/>
        <v>0</v>
      </c>
      <c r="E32" s="242">
        <f t="shared" ref="E32" si="14">E33+E38</f>
        <v>207868.87</v>
      </c>
      <c r="F32" s="242">
        <f t="shared" ref="F32:M32" si="15">F33+F38</f>
        <v>0</v>
      </c>
      <c r="G32" s="242">
        <f t="shared" si="15"/>
        <v>0</v>
      </c>
      <c r="H32" s="242">
        <f t="shared" si="15"/>
        <v>0</v>
      </c>
      <c r="I32" s="242">
        <f t="shared" si="15"/>
        <v>793792.24</v>
      </c>
      <c r="J32" s="242">
        <f t="shared" si="15"/>
        <v>0</v>
      </c>
      <c r="K32" s="242">
        <f t="shared" si="15"/>
        <v>0</v>
      </c>
      <c r="L32" s="242">
        <f t="shared" si="15"/>
        <v>364294.47</v>
      </c>
      <c r="M32" s="243">
        <f t="shared" si="15"/>
        <v>0</v>
      </c>
      <c r="O32" s="278">
        <f t="shared" si="1"/>
        <v>1365955.58</v>
      </c>
    </row>
    <row r="33" spans="1:15" x14ac:dyDescent="0.25">
      <c r="A33" s="179" t="s">
        <v>618</v>
      </c>
      <c r="B33" s="260" t="s">
        <v>619</v>
      </c>
      <c r="C33" s="244">
        <f t="shared" ref="C33:D33" si="16">C34+C37</f>
        <v>0</v>
      </c>
      <c r="D33" s="244">
        <f t="shared" si="16"/>
        <v>0</v>
      </c>
      <c r="E33" s="244">
        <f t="shared" ref="E33" si="17">E34+E37</f>
        <v>207868.87</v>
      </c>
      <c r="F33" s="244">
        <f t="shared" ref="F33:M33" si="18">F34+F37</f>
        <v>0</v>
      </c>
      <c r="G33" s="244">
        <f t="shared" si="18"/>
        <v>0</v>
      </c>
      <c r="H33" s="244">
        <f t="shared" si="18"/>
        <v>0</v>
      </c>
      <c r="I33" s="244">
        <f t="shared" si="18"/>
        <v>793792.24</v>
      </c>
      <c r="J33" s="244">
        <f t="shared" si="18"/>
        <v>0</v>
      </c>
      <c r="K33" s="244">
        <f t="shared" si="18"/>
        <v>0</v>
      </c>
      <c r="L33" s="244">
        <f t="shared" si="18"/>
        <v>364294.47</v>
      </c>
      <c r="M33" s="245">
        <f t="shared" si="18"/>
        <v>0</v>
      </c>
      <c r="O33" s="279">
        <f t="shared" si="1"/>
        <v>1365955.58</v>
      </c>
    </row>
    <row r="34" spans="1:15" outlineLevel="1" x14ac:dyDescent="0.25">
      <c r="A34" s="182" t="s">
        <v>620</v>
      </c>
      <c r="B34" s="261" t="s">
        <v>621</v>
      </c>
      <c r="C34" s="246">
        <f t="shared" ref="C34:D34" si="19">SUM(C35:C36)</f>
        <v>0</v>
      </c>
      <c r="D34" s="246">
        <f t="shared" si="19"/>
        <v>0</v>
      </c>
      <c r="E34" s="246">
        <f t="shared" ref="E34" si="20">SUM(E35:E36)</f>
        <v>207868.87</v>
      </c>
      <c r="F34" s="246">
        <f t="shared" ref="F34:M34" si="21">SUM(F35:F36)</f>
        <v>0</v>
      </c>
      <c r="G34" s="246">
        <f t="shared" si="21"/>
        <v>0</v>
      </c>
      <c r="H34" s="246">
        <f t="shared" si="21"/>
        <v>0</v>
      </c>
      <c r="I34" s="246">
        <f t="shared" si="21"/>
        <v>793792.24</v>
      </c>
      <c r="J34" s="246">
        <f t="shared" si="21"/>
        <v>0</v>
      </c>
      <c r="K34" s="246">
        <f t="shared" si="21"/>
        <v>0</v>
      </c>
      <c r="L34" s="246">
        <f t="shared" si="21"/>
        <v>364294.47</v>
      </c>
      <c r="M34" s="247">
        <f t="shared" si="21"/>
        <v>0</v>
      </c>
      <c r="O34" s="280">
        <f t="shared" si="1"/>
        <v>1365955.58</v>
      </c>
    </row>
    <row r="35" spans="1:15" outlineLevel="1" x14ac:dyDescent="0.25">
      <c r="A35" s="196" t="s">
        <v>623</v>
      </c>
      <c r="B35" s="264" t="s">
        <v>624</v>
      </c>
      <c r="C35" s="246">
        <v>0</v>
      </c>
      <c r="D35" s="246">
        <v>0</v>
      </c>
      <c r="E35" s="246">
        <f>f.grupo!U204</f>
        <v>207868.87</v>
      </c>
      <c r="F35" s="246">
        <f>f.grupo!U205</f>
        <v>0</v>
      </c>
      <c r="G35" s="246">
        <v>0</v>
      </c>
      <c r="H35" s="246">
        <f>f.grupo!U203</f>
        <v>0</v>
      </c>
      <c r="I35" s="246">
        <f>f.grupo!U202</f>
        <v>793792.24</v>
      </c>
      <c r="J35" s="246">
        <v>0</v>
      </c>
      <c r="K35" s="246">
        <v>0</v>
      </c>
      <c r="L35" s="246">
        <f>f.grupo!U201</f>
        <v>364294.47</v>
      </c>
      <c r="M35" s="247">
        <v>0</v>
      </c>
      <c r="O35" s="280">
        <f t="shared" si="1"/>
        <v>1365955.58</v>
      </c>
    </row>
    <row r="36" spans="1:15" outlineLevel="1" x14ac:dyDescent="0.25">
      <c r="A36" s="196" t="s">
        <v>629</v>
      </c>
      <c r="B36" s="264" t="s">
        <v>344</v>
      </c>
      <c r="C36" s="246" cm="1">
        <f t="array" ref="C36">SUMPRODUCT(
  fin[jun/26] *
  (fin[Tomadora]=C$2)
)</f>
        <v>0</v>
      </c>
      <c r="D36" s="246">
        <f>SUM(fin[jun/26])-SUM(C36,E36:M36)</f>
        <v>0</v>
      </c>
      <c r="E36" s="246" cm="1">
        <f t="array" ref="E36">SUMPRODUCT(
  fin[jun/26] *
  (fin[Tomadora]=E$2)
)</f>
        <v>0</v>
      </c>
      <c r="F36" s="246" cm="1">
        <f t="array" ref="F36">SUMPRODUCT(
  fin[jun/26] *
  (fin[Tomadora]=F$2)
)</f>
        <v>0</v>
      </c>
      <c r="G36" s="246" cm="1">
        <f t="array" ref="G36">SUMPRODUCT(
  fin[jun/26] *
  (fin[Tomadora]=G$2)
)</f>
        <v>0</v>
      </c>
      <c r="H36" s="246" cm="1">
        <f t="array" ref="H36">SUMPRODUCT(
  fin[jun/26] *
  (fin[Tomadora]=H$2)
)</f>
        <v>0</v>
      </c>
      <c r="I36" s="246" cm="1">
        <f t="array" ref="I36">SUMPRODUCT(
  fin[jun/26] *
  (fin[Tomadora]=I$2)
)</f>
        <v>0</v>
      </c>
      <c r="J36" s="246" cm="1">
        <f t="array" ref="J36">SUMPRODUCT(
  fin[jun/26] *
  (fin[Tomadora]=J$2)
)</f>
        <v>0</v>
      </c>
      <c r="K36" s="246" cm="1">
        <f t="array" ref="K36">SUMPRODUCT(
  fin[jun/26] *
  (fin[Tomadora]=K$2)
)</f>
        <v>0</v>
      </c>
      <c r="L36" s="246" cm="1">
        <f t="array" ref="L36">SUMPRODUCT(
  fin[jun/26] *
  (fin[Tomadora]=L$2)
)</f>
        <v>0</v>
      </c>
      <c r="M36" s="247" cm="1">
        <f t="array" ref="M36">SUMPRODUCT(
  fin[jun/26] *
  (fin[Tomadora]=M$2)
)</f>
        <v>0</v>
      </c>
      <c r="O36" s="280">
        <f t="shared" si="1"/>
        <v>0</v>
      </c>
    </row>
    <row r="37" spans="1:15" outlineLevel="1" x14ac:dyDescent="0.25">
      <c r="A37" s="182" t="s">
        <v>639</v>
      </c>
      <c r="B37" s="263" t="s">
        <v>640</v>
      </c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7"/>
      <c r="O37" s="280">
        <f t="shared" si="1"/>
        <v>0</v>
      </c>
    </row>
    <row r="38" spans="1:15" x14ac:dyDescent="0.25">
      <c r="A38" s="188" t="s">
        <v>641</v>
      </c>
      <c r="B38" s="262" t="s">
        <v>642</v>
      </c>
      <c r="C38" s="254">
        <f>SUM(C39:C42)</f>
        <v>0</v>
      </c>
      <c r="D38" s="254">
        <f t="shared" ref="D38:M38" si="22">SUM(D39:D42)</f>
        <v>0</v>
      </c>
      <c r="E38" s="254">
        <f t="shared" si="22"/>
        <v>0</v>
      </c>
      <c r="F38" s="254">
        <f t="shared" si="22"/>
        <v>0</v>
      </c>
      <c r="G38" s="254">
        <f t="shared" si="22"/>
        <v>0</v>
      </c>
      <c r="H38" s="254">
        <f t="shared" si="22"/>
        <v>0</v>
      </c>
      <c r="I38" s="254">
        <f t="shared" si="22"/>
        <v>0</v>
      </c>
      <c r="J38" s="254">
        <f t="shared" si="22"/>
        <v>0</v>
      </c>
      <c r="K38" s="254">
        <f t="shared" si="22"/>
        <v>0</v>
      </c>
      <c r="L38" s="254">
        <f t="shared" si="22"/>
        <v>0</v>
      </c>
      <c r="M38" s="255">
        <f t="shared" si="22"/>
        <v>0</v>
      </c>
      <c r="O38" s="283">
        <f t="shared" si="1"/>
        <v>0</v>
      </c>
    </row>
    <row r="39" spans="1:15" outlineLevel="1" x14ac:dyDescent="0.25">
      <c r="A39" s="182" t="s">
        <v>643</v>
      </c>
      <c r="B39" s="265" t="s">
        <v>389</v>
      </c>
      <c r="C39" s="246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6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6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6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6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6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6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6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6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6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7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80">
        <f t="shared" si="1"/>
        <v>0</v>
      </c>
    </row>
    <row r="40" spans="1:15" outlineLevel="1" x14ac:dyDescent="0.25">
      <c r="A40" s="182" t="s">
        <v>992</v>
      </c>
      <c r="B40" s="265" t="s">
        <v>723</v>
      </c>
      <c r="C40" s="246" cm="1">
        <f t="array" ref="C40">-SUMPRODUCT(
  tb_desp[valor] *
  (tb_desp[nucleo]=C$1) *
  (tb_desp[centro.negocio]=$B40) *
  (tb_desp[data.pagamento]&gt;=DATE(YEAR(inputs!$A$1),MONTH(inputs!$A$1),1)) *
  (tb_desp[data.pagamento]&lt;EOMONTH(inputs!$A$1,0)+1)
)</f>
        <v>0</v>
      </c>
      <c r="D40" s="246" cm="1">
        <f t="array" ref="D4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(tb_desp[data.pagamento]&gt;=DATE(YEAR(inputs!$A$1),MONTH(inputs!$A$1),1)) *
    (tb_desp[data.pagamento]&lt;EOMONTH(inputs!$A$1,0)+1)
)</f>
        <v>0</v>
      </c>
      <c r="E40" s="246" cm="1">
        <f t="array" ref="E40">-SUMPRODUCT(
  tb_desp[valor] *
  (tb_desp[nucleo]=E$1) *
  (tb_desp[centro.negocio]=$B40) *
  (tb_desp[data.pagamento]&gt;=DATE(YEAR(inputs!$A$1),MONTH(inputs!$A$1),1)) *
  (tb_desp[data.pagamento]&lt;EOMONTH(inputs!$A$1,0)+1)
)</f>
        <v>0</v>
      </c>
      <c r="F40" s="246" cm="1">
        <f t="array" ref="F40">-SUMPRODUCT(
  tb_desp[valor] *
  (tb_desp[nucleo]=F$1) *
  (tb_desp[centro.negocio]=$B40) *
  (tb_desp[data.pagamento]&gt;=DATE(YEAR(inputs!$A$1),MONTH(inputs!$A$1),1)) *
  (tb_desp[data.pagamento]&lt;EOMONTH(inputs!$A$1,0)+1)
)</f>
        <v>0</v>
      </c>
      <c r="G40" s="246" cm="1">
        <f t="array" ref="G40">-SUMPRODUCT(
  tb_desp[valor] *
  (tb_desp[nucleo]=G$1) *
  (tb_desp[centro.negocio]=$B40) *
  (tb_desp[data.pagamento]&gt;=DATE(YEAR(inputs!$A$1),MONTH(inputs!$A$1),1)) *
  (tb_desp[data.pagamento]&lt;EOMONTH(inputs!$A$1,0)+1)
)</f>
        <v>0</v>
      </c>
      <c r="H40" s="246" cm="1">
        <f t="array" ref="H40">-SUMPRODUCT(
  tb_desp[valor] *
  (tb_desp[nucleo]=H$1) *
  (tb_desp[centro.negocio]=$B40) *
  (tb_desp[data.pagamento]&gt;=DATE(YEAR(inputs!$A$1),MONTH(inputs!$A$1),1)) *
  (tb_desp[data.pagamento]&lt;EOMONTH(inputs!$A$1,0)+1)
)</f>
        <v>0</v>
      </c>
      <c r="I40" s="246" cm="1">
        <f t="array" ref="I40">-SUMPRODUCT(
  tb_desp[valor] *
  (tb_desp[nucleo]=I$1) *
  (tb_desp[centro.negocio]=$B40) *
  (tb_desp[data.pagamento]&gt;=DATE(YEAR(inputs!$A$1),MONTH(inputs!$A$1),1)) *
  (tb_desp[data.pagamento]&lt;EOMONTH(inputs!$A$1,0)+1)
)</f>
        <v>0</v>
      </c>
      <c r="J40" s="246" cm="1">
        <f t="array" ref="J40">-SUMPRODUCT(
  tb_desp[valor] *
  (tb_desp[nucleo]=J$1) *
  (tb_desp[centro.negocio]=$B40) *
  (tb_desp[data.pagamento]&gt;=DATE(YEAR(inputs!$A$1),MONTH(inputs!$A$1),1)) *
  (tb_desp[data.pagamento]&lt;EOMONTH(inputs!$A$1,0)+1)
)</f>
        <v>0</v>
      </c>
      <c r="K40" s="246" cm="1">
        <f t="array" ref="K40">-SUMPRODUCT(
  tb_desp[valor] *
  (tb_desp[nucleo]=K$1) *
  (tb_desp[centro.negocio]=$B40) *
  (tb_desp[data.pagamento]&gt;=DATE(YEAR(inputs!$A$1),MONTH(inputs!$A$1),1)) *
  (tb_desp[data.pagamento]&lt;EOMONTH(inputs!$A$1,0)+1)
)</f>
        <v>0</v>
      </c>
      <c r="L40" s="246" cm="1">
        <f t="array" ref="L40">-SUMPRODUCT(
  tb_desp[valor] *
  (tb_desp[nucleo]=L$1) *
  (tb_desp[centro.negocio]=$B40) *
  (tb_desp[data.pagamento]&gt;=DATE(YEAR(inputs!$A$1),MONTH(inputs!$A$1),1)) *
  (tb_desp[data.pagamento]&lt;EOMONTH(inputs!$A$1,0)+1)
)</f>
        <v>0</v>
      </c>
      <c r="M40" s="247" cm="1">
        <f t="array" ref="M40">-SUMPRODUCT(
  tb_desp[valor] *
  (tb_desp[nucleo]=M$1) *
  (tb_desp[centro.negocio]=$B40) *
  (tb_desp[data.pagamento]&gt;=DATE(YEAR(inputs!$A$1),MONTH(inputs!$A$1),1)) *
  (tb_desp[data.pagamento]&lt;EOMONTH(inputs!$A$1,0)+1)
)</f>
        <v>0</v>
      </c>
      <c r="O40" s="280">
        <f>SUM(C40:M40)</f>
        <v>0</v>
      </c>
    </row>
    <row r="41" spans="1:15" outlineLevel="1" x14ac:dyDescent="0.25">
      <c r="A41" s="182" t="s">
        <v>661</v>
      </c>
      <c r="B41" s="261" t="s">
        <v>1077</v>
      </c>
      <c r="C41" s="246" cm="1">
        <f t="array" ref="C41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1" s="246">
        <v>0</v>
      </c>
      <c r="E41" s="246" cm="1">
        <f t="array" ref="E41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1" s="246" cm="1">
        <f t="array" ref="F41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1" s="246" cm="1">
        <f t="array" ref="G41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1" s="246" cm="1">
        <f t="array" ref="H41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1" s="246" cm="1">
        <f t="array" ref="I41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1" s="246" cm="1">
        <f t="array" ref="J41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1" s="246" cm="1">
        <f t="array" ref="K41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1" s="246" cm="1">
        <f t="array" ref="L41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1" s="247" cm="1">
        <f t="array" ref="M41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1" s="280">
        <f>SUM(C41:M41)</f>
        <v>0</v>
      </c>
    </row>
    <row r="42" spans="1:15" outlineLevel="1" x14ac:dyDescent="0.25">
      <c r="A42" s="182" t="s">
        <v>1060</v>
      </c>
      <c r="B42" s="263" t="s">
        <v>1080</v>
      </c>
      <c r="C42" s="252"/>
      <c r="D42" s="252"/>
      <c r="E42" s="252"/>
      <c r="F42" s="252"/>
      <c r="G42" s="252"/>
      <c r="H42" s="252"/>
      <c r="I42" s="252"/>
      <c r="J42" s="252"/>
      <c r="K42" s="252"/>
      <c r="L42" s="252"/>
      <c r="M42" s="253"/>
      <c r="O42" s="178">
        <f t="shared" ref="O42" si="23">SUM(C42:M42)</f>
        <v>0</v>
      </c>
    </row>
    <row r="43" spans="1:15" ht="15.75" thickBot="1" x14ac:dyDescent="0.3">
      <c r="A43" s="236" t="s">
        <v>917</v>
      </c>
      <c r="B43" s="267" t="s">
        <v>681</v>
      </c>
      <c r="C43" s="242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738963.87000000011</v>
      </c>
      <c r="D43" s="242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-SUM(C43,E43:M43)</f>
        <v>211283.29000000004</v>
      </c>
      <c r="E43" s="242">
        <v>0</v>
      </c>
      <c r="F43" s="242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-4765.4000000000015</v>
      </c>
      <c r="G43" s="242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-1944735.8699999999</v>
      </c>
      <c r="H43" s="242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-2057714.58</v>
      </c>
      <c r="I43" s="242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186595.62999999998</v>
      </c>
      <c r="J43" s="242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-597445.57999999996</v>
      </c>
      <c r="K43" s="242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175869.34000000003</v>
      </c>
      <c r="L43" s="242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54733.51</v>
      </c>
      <c r="M43" s="243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-250229.28</v>
      </c>
      <c r="O43" s="288">
        <f t="shared" ref="O43:O44" si="24">SUM(C43:M43)</f>
        <v>-3487445.0700000003</v>
      </c>
    </row>
    <row r="44" spans="1:15" outlineLevel="1" x14ac:dyDescent="0.25">
      <c r="A44" s="344" t="s">
        <v>918</v>
      </c>
      <c r="B44" s="350" t="s">
        <v>663</v>
      </c>
      <c r="C44" s="351">
        <f>SUMIFS(
  tb_caixa[Saldo],
  tb_caixa[Empresa], "AMP",
  tb_caixa[Dia], "&gt;="&amp;EOMONTH(inputs!$A$1,-1)+1,
  tb_caixa[Dia], "&lt;="&amp;EOMONTH(inputs!$A$1,0)
)</f>
        <v>199234.8</v>
      </c>
      <c r="D44" s="351">
        <f>SUMIFS(
  tb_caixa[Saldo],
  tb_caixa[Dia], "&gt;="&amp;EOMONTH(inputs!$A$1,-1)+1,
  tb_caixa[Dia], "&lt;="&amp;EOMONTH(inputs!$A$1,0)
)
-SUM(C44,E44:M44)</f>
        <v>-3700.1599999992177</v>
      </c>
      <c r="E44" s="357">
        <v>0</v>
      </c>
      <c r="F44" s="351">
        <f>SUMIFS(
  tb_caixa[Saldo],
  tb_caixa[Empresa], F$2,
  tb_caixa[Dia], "&gt;="&amp;EOMONTH(inputs!$A$1,-1)+1,
  tb_caixa[Dia], "&lt;="&amp;EOMONTH(inputs!$A$1,0)
)</f>
        <v>63206.74</v>
      </c>
      <c r="G44" s="351">
        <f>SUMIFS(
  tb_caixa[Saldo],
  tb_caixa[Empresa], G$2,
  tb_caixa[Dia], "&gt;="&amp;EOMONTH(inputs!$A$1,-1)+1,
  tb_caixa[Dia], "&lt;="&amp;EOMONTH(inputs!$A$1,0)
)</f>
        <v>2032960.69</v>
      </c>
      <c r="H44" s="351">
        <f>SUMIFS(
  tb_caixa[Saldo],
  tb_caixa[Empresa], H$2,
  tb_caixa[Dia], "&gt;="&amp;EOMONTH(inputs!$A$1,-1)+1,
  tb_caixa[Dia], "&lt;="&amp;EOMONTH(inputs!$A$1,0)
)</f>
        <v>2088667.99</v>
      </c>
      <c r="I44" s="351">
        <f>SUMIFS(
  tb_caixa[Saldo],
  tb_caixa[Empresa], I$2,
  tb_caixa[Dia], "&gt;="&amp;EOMONTH(inputs!$A$1,-1)+1,
  tb_caixa[Dia], "&lt;="&amp;EOMONTH(inputs!$A$1,0)
)</f>
        <v>29119.280000000002</v>
      </c>
      <c r="J44" s="351">
        <f>SUMIFS(
  tb_caixa[Saldo],
  tb_caixa[Empresa], J$2,
  tb_caixa[Dia], "&gt;="&amp;EOMONTH(inputs!$A$1,-1)+1,
  tb_caixa[Dia], "&lt;="&amp;EOMONTH(inputs!$A$1,0)
)</f>
        <v>895857.05999999994</v>
      </c>
      <c r="K44" s="351">
        <f>SUMIFS(
  tb_caixa[Saldo],
  tb_caixa[Empresa], K$2,
  tb_caixa[Dia], "&gt;="&amp;EOMONTH(inputs!$A$1,-1)+1,
  tb_caixa[Dia], "&lt;="&amp;EOMONTH(inputs!$A$1,0)
)</f>
        <v>210563.44</v>
      </c>
      <c r="L44" s="351">
        <f>SUMIFS(
  tb_caixa[Saldo],
  tb_caixa[Empresa], L$2,
  tb_caixa[Dia], "&gt;="&amp;EOMONTH(inputs!$A$1,-1)+1,
  tb_caixa[Dia], "&lt;="&amp;EOMONTH(inputs!$A$1,0)
)</f>
        <v>15808.68</v>
      </c>
      <c r="M44" s="352">
        <f>SUMIFS(
  tb_caixa[Saldo],
  tb_caixa[Empresa], M$2,
  tb_caixa[Dia], "&gt;="&amp;EOMONTH(inputs!$A$1,-1)+1,
  tb_caixa[Dia], "&lt;="&amp;EOMONTH(inputs!$A$1,0)
)</f>
        <v>440479</v>
      </c>
      <c r="N44" s="342"/>
      <c r="O44" s="348">
        <f t="shared" si="24"/>
        <v>5972197.5200000005</v>
      </c>
    </row>
    <row r="45" spans="1:15" x14ac:dyDescent="0.25">
      <c r="A45" s="173"/>
      <c r="B45" s="266" t="s">
        <v>662</v>
      </c>
      <c r="C45" s="256">
        <f t="shared" ref="C45:M45" si="25">C$3+C$24+C$32</f>
        <v>0</v>
      </c>
      <c r="D45" s="256">
        <f t="shared" ca="1" si="25"/>
        <v>0</v>
      </c>
      <c r="E45" s="256">
        <f t="shared" ca="1" si="25"/>
        <v>207868.87</v>
      </c>
      <c r="F45" s="256">
        <f t="shared" ca="1" si="25"/>
        <v>0</v>
      </c>
      <c r="G45" s="256">
        <f t="shared" ca="1" si="25"/>
        <v>0</v>
      </c>
      <c r="H45" s="256">
        <f t="shared" ca="1" si="25"/>
        <v>0</v>
      </c>
      <c r="I45" s="256">
        <f t="shared" ca="1" si="25"/>
        <v>793792.24</v>
      </c>
      <c r="J45" s="256">
        <f t="shared" ca="1" si="25"/>
        <v>390312.32</v>
      </c>
      <c r="K45" s="256">
        <f t="shared" ca="1" si="25"/>
        <v>0</v>
      </c>
      <c r="L45" s="256">
        <f t="shared" ca="1" si="25"/>
        <v>364294.47</v>
      </c>
      <c r="M45" s="257">
        <f t="shared" ca="1" si="25"/>
        <v>0</v>
      </c>
      <c r="O45" s="287">
        <f t="shared" ca="1" si="1"/>
        <v>1756267.9</v>
      </c>
    </row>
    <row r="47" spans="1:15" x14ac:dyDescent="0.25">
      <c r="B47" s="138" t="s">
        <v>1270</v>
      </c>
      <c r="C47" s="138">
        <f ca="1">_xlfn.RANK.EQ(C45,$C$45:$M$45,0)</f>
        <v>5</v>
      </c>
      <c r="D47" s="138">
        <f t="shared" ref="D47:M47" ca="1" si="26">_xlfn.RANK.EQ(D45,$C$45:$M$45,0)</f>
        <v>5</v>
      </c>
      <c r="E47" s="138">
        <f t="shared" ca="1" si="26"/>
        <v>4</v>
      </c>
      <c r="F47" s="138">
        <f t="shared" ca="1" si="26"/>
        <v>5</v>
      </c>
      <c r="G47" s="138">
        <f t="shared" ca="1" si="26"/>
        <v>5</v>
      </c>
      <c r="H47" s="138">
        <f t="shared" ca="1" si="26"/>
        <v>5</v>
      </c>
      <c r="I47" s="138">
        <f t="shared" ca="1" si="26"/>
        <v>1</v>
      </c>
      <c r="J47" s="138">
        <f t="shared" ca="1" si="26"/>
        <v>2</v>
      </c>
      <c r="K47" s="138">
        <f t="shared" ca="1" si="26"/>
        <v>5</v>
      </c>
      <c r="L47" s="138">
        <f t="shared" ca="1" si="26"/>
        <v>3</v>
      </c>
      <c r="M47" s="138">
        <f t="shared" ca="1" si="26"/>
        <v>5</v>
      </c>
    </row>
    <row r="49" spans="3:3" x14ac:dyDescent="0.25">
      <c r="C49" s="276">
        <f>EOMONTH(inputs!$A$1,-1)+1</f>
        <v>46174</v>
      </c>
    </row>
    <row r="50" spans="3:3" x14ac:dyDescent="0.25">
      <c r="C50" s="276">
        <f>EOMONTH(inputs!$A$1,0)</f>
        <v>46203</v>
      </c>
    </row>
    <row r="51" spans="3:3" x14ac:dyDescent="0.25">
      <c r="C51">
        <f>SUMIFS(
  tb_caixa[Saldo],
  tb_caixa[Empresa], C$2,
  tb_caixa[Dia], "&gt;="&amp;EOMONTH(inputs!$A$1,0)+1,
  tb_caixa[Dia], "&lt;="&amp;EOMONTH(inputs!$A$1,1)
)</f>
        <v>0</v>
      </c>
    </row>
    <row r="52" spans="3:3" x14ac:dyDescent="0.25">
      <c r="C52">
        <f>-SUMIFS(
  tb_caixa[Saldo],
  tb_caixa[Empresa], C$2,
  tb_caixa[Dia], "&gt;="&amp;EOMONTH(inputs!$A$1,-1)+1,
  tb_caixa[Dia], "&lt;="&amp;EOMONTH(inputs!$A$1,0)
)</f>
        <v>0</v>
      </c>
    </row>
  </sheetData>
  <conditionalFormatting sqref="A10:A23">
    <cfRule type="endsWith" dxfId="23" priority="1" operator="endsWith" text="..">
      <formula>RIGHT(A10,LEN(".."))=".."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D39 D21 D12:D13 C11:M11 D16:D17 D15 D14 D10 D36 D18:D20 D22 C18 E18:M18 D29 D43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6"/>
  <sheetViews>
    <sheetView showGridLines="0" zoomScale="80" zoomScaleNormal="80" workbookViewId="0">
      <pane xSplit="2" ySplit="3" topLeftCell="R30" activePane="bottomRight" state="frozen"/>
      <selection activeCell="B50" sqref="B50"/>
      <selection pane="topRight" activeCell="B50" sqref="B50"/>
      <selection pane="bottomLeft" activeCell="B50" sqref="B50"/>
      <selection pane="bottomRight" activeCell="A2" sqref="A2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74" t="s">
        <v>689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</row>
    <row r="2" spans="1:31" ht="21.75" thickBot="1" x14ac:dyDescent="0.4">
      <c r="A2" s="275" t="s">
        <v>12</v>
      </c>
      <c r="B2" s="233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UP ESTAÇÃO VILA SONIA</v>
      </c>
    </row>
    <row r="3" spans="1:31" x14ac:dyDescent="0.25">
      <c r="A3" s="173" t="s">
        <v>498</v>
      </c>
      <c r="B3" s="173" t="s">
        <v>499</v>
      </c>
      <c r="C3" s="173" t="s">
        <v>500</v>
      </c>
      <c r="D3" s="174">
        <v>45658</v>
      </c>
      <c r="E3" s="174">
        <v>45689</v>
      </c>
      <c r="F3" s="174">
        <v>45717</v>
      </c>
      <c r="G3" s="174">
        <v>45748</v>
      </c>
      <c r="H3" s="174">
        <v>45778</v>
      </c>
      <c r="I3" s="174">
        <v>45809</v>
      </c>
      <c r="J3" s="174">
        <v>45839</v>
      </c>
      <c r="K3" s="174">
        <v>45870</v>
      </c>
      <c r="L3" s="174">
        <v>45901</v>
      </c>
      <c r="M3" s="174">
        <v>45931</v>
      </c>
      <c r="N3" s="174">
        <v>45962</v>
      </c>
      <c r="O3" s="174">
        <v>45992</v>
      </c>
      <c r="P3" s="174">
        <v>46023</v>
      </c>
      <c r="Q3" s="174">
        <v>46054</v>
      </c>
      <c r="R3" s="174">
        <v>46082</v>
      </c>
      <c r="S3" s="174">
        <v>46113</v>
      </c>
      <c r="T3" s="174">
        <v>46143</v>
      </c>
      <c r="U3" s="174">
        <v>46174</v>
      </c>
      <c r="V3" s="174">
        <v>46204</v>
      </c>
      <c r="W3" s="174">
        <v>46235</v>
      </c>
      <c r="X3" s="174">
        <v>46266</v>
      </c>
      <c r="Y3" s="174">
        <v>46296</v>
      </c>
      <c r="Z3" s="174">
        <v>46327</v>
      </c>
      <c r="AA3" s="174">
        <v>46357</v>
      </c>
      <c r="AB3" s="276"/>
      <c r="AC3" s="285" t="s">
        <v>23</v>
      </c>
      <c r="AD3" s="276"/>
      <c r="AE3" s="285" t="s">
        <v>25</v>
      </c>
    </row>
    <row r="4" spans="1:31" x14ac:dyDescent="0.25">
      <c r="A4" s="175" t="s">
        <v>502</v>
      </c>
      <c r="B4" s="175" t="s">
        <v>503</v>
      </c>
      <c r="C4" s="176"/>
      <c r="D4" s="177">
        <f t="shared" ref="D4:AA4" ca="1" si="0">D5+D10</f>
        <v>0</v>
      </c>
      <c r="E4" s="177">
        <f t="shared" ca="1" si="0"/>
        <v>0</v>
      </c>
      <c r="F4" s="177">
        <f t="shared" ca="1" si="0"/>
        <v>0</v>
      </c>
      <c r="G4" s="177">
        <f t="shared" ca="1" si="0"/>
        <v>0</v>
      </c>
      <c r="H4" s="177">
        <f t="shared" ca="1" si="0"/>
        <v>0</v>
      </c>
      <c r="I4" s="177">
        <f t="shared" ca="1" si="0"/>
        <v>0</v>
      </c>
      <c r="J4" s="177">
        <f t="shared" ca="1" si="0"/>
        <v>0</v>
      </c>
      <c r="K4" s="177">
        <f t="shared" ca="1" si="0"/>
        <v>0</v>
      </c>
      <c r="L4" s="177">
        <f t="shared" ca="1" si="0"/>
        <v>0</v>
      </c>
      <c r="M4" s="177">
        <f t="shared" ca="1" si="0"/>
        <v>0</v>
      </c>
      <c r="N4" s="177">
        <f t="shared" ca="1" si="0"/>
        <v>0</v>
      </c>
      <c r="O4" s="177">
        <f t="shared" ca="1" si="0"/>
        <v>0</v>
      </c>
      <c r="P4" s="177">
        <f t="shared" ca="1" si="0"/>
        <v>0</v>
      </c>
      <c r="Q4" s="177">
        <f t="shared" ca="1" si="0"/>
        <v>0</v>
      </c>
      <c r="R4" s="177">
        <f t="shared" ref="R4:Z4" ca="1" si="1">R5+R10</f>
        <v>0</v>
      </c>
      <c r="S4" s="177">
        <f t="shared" ca="1" si="1"/>
        <v>0</v>
      </c>
      <c r="T4" s="177">
        <f t="shared" ca="1" si="1"/>
        <v>0</v>
      </c>
      <c r="U4" s="177">
        <f t="shared" ca="1" si="1"/>
        <v>0</v>
      </c>
      <c r="V4" s="177">
        <f t="shared" ca="1" si="1"/>
        <v>0</v>
      </c>
      <c r="W4" s="177">
        <f t="shared" ca="1" si="1"/>
        <v>0</v>
      </c>
      <c r="X4" s="177">
        <f t="shared" ca="1" si="1"/>
        <v>0</v>
      </c>
      <c r="Y4" s="177">
        <f t="shared" ca="1" si="1"/>
        <v>0</v>
      </c>
      <c r="Z4" s="177">
        <f t="shared" ca="1" si="1"/>
        <v>0</v>
      </c>
      <c r="AA4" s="177">
        <f t="shared" ca="1" si="0"/>
        <v>0</v>
      </c>
      <c r="AC4" s="278">
        <f ca="1">SUM(D4:U4)</f>
        <v>0</v>
      </c>
      <c r="AE4" s="278">
        <f ca="1">SUM(D4:AA4)</f>
        <v>0</v>
      </c>
    </row>
    <row r="5" spans="1:31" x14ac:dyDescent="0.25">
      <c r="A5" s="179" t="s">
        <v>505</v>
      </c>
      <c r="B5" s="179" t="s">
        <v>506</v>
      </c>
      <c r="C5" s="180"/>
      <c r="D5" s="181">
        <f t="shared" ref="D5:AA5" ca="1" si="2">SUM(D6:D9)</f>
        <v>0</v>
      </c>
      <c r="E5" s="181">
        <f t="shared" ca="1" si="2"/>
        <v>0</v>
      </c>
      <c r="F5" s="181">
        <f t="shared" ca="1" si="2"/>
        <v>0</v>
      </c>
      <c r="G5" s="181">
        <f t="shared" ca="1" si="2"/>
        <v>0</v>
      </c>
      <c r="H5" s="181">
        <f t="shared" ca="1" si="2"/>
        <v>0</v>
      </c>
      <c r="I5" s="181">
        <f t="shared" ca="1" si="2"/>
        <v>0</v>
      </c>
      <c r="J5" s="181">
        <f t="shared" ca="1" si="2"/>
        <v>0</v>
      </c>
      <c r="K5" s="181">
        <f t="shared" ca="1" si="2"/>
        <v>0</v>
      </c>
      <c r="L5" s="181">
        <f t="shared" ca="1" si="2"/>
        <v>0</v>
      </c>
      <c r="M5" s="181">
        <f t="shared" ca="1" si="2"/>
        <v>0</v>
      </c>
      <c r="N5" s="181">
        <f t="shared" ca="1" si="2"/>
        <v>0</v>
      </c>
      <c r="O5" s="181">
        <f t="shared" ca="1" si="2"/>
        <v>0</v>
      </c>
      <c r="P5" s="181">
        <f t="shared" ca="1" si="2"/>
        <v>0</v>
      </c>
      <c r="Q5" s="181">
        <f t="shared" ca="1" si="2"/>
        <v>0</v>
      </c>
      <c r="R5" s="181">
        <f t="shared" ref="R5:Z5" ca="1" si="3">SUM(R6:R9)</f>
        <v>0</v>
      </c>
      <c r="S5" s="181">
        <f t="shared" ca="1" si="3"/>
        <v>0</v>
      </c>
      <c r="T5" s="181">
        <f t="shared" ca="1" si="3"/>
        <v>0</v>
      </c>
      <c r="U5" s="181">
        <f t="shared" ca="1" si="3"/>
        <v>0</v>
      </c>
      <c r="V5" s="181">
        <f t="shared" ca="1" si="3"/>
        <v>0</v>
      </c>
      <c r="W5" s="181">
        <f t="shared" ca="1" si="3"/>
        <v>0</v>
      </c>
      <c r="X5" s="181">
        <f t="shared" ca="1" si="3"/>
        <v>0</v>
      </c>
      <c r="Y5" s="181">
        <f t="shared" ca="1" si="3"/>
        <v>0</v>
      </c>
      <c r="Z5" s="181">
        <f t="shared" ca="1" si="3"/>
        <v>0</v>
      </c>
      <c r="AA5" s="181">
        <f t="shared" ca="1" si="2"/>
        <v>0</v>
      </c>
      <c r="AC5" s="279">
        <f t="shared" ref="AC5:AC44" ca="1" si="4">SUM(D5:U5)</f>
        <v>0</v>
      </c>
      <c r="AE5" s="279">
        <f t="shared" ref="AE5:AE46" ca="1" si="5">SUM(D5:AA5)</f>
        <v>0</v>
      </c>
    </row>
    <row r="6" spans="1:31" outlineLevel="1" x14ac:dyDescent="0.25">
      <c r="A6" s="182" t="s">
        <v>507</v>
      </c>
      <c r="B6" s="182" t="s">
        <v>508</v>
      </c>
      <c r="C6" s="183" t="s">
        <v>474</v>
      </c>
      <c r="D6" s="184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4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4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4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4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4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4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4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4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4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4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4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4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4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4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4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4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4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4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4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4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4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4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4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80">
        <f t="shared" ca="1" si="4"/>
        <v>0</v>
      </c>
      <c r="AE6" s="280">
        <f t="shared" ca="1" si="5"/>
        <v>0</v>
      </c>
    </row>
    <row r="7" spans="1:31" outlineLevel="1" x14ac:dyDescent="0.25">
      <c r="A7" s="182" t="s">
        <v>513</v>
      </c>
      <c r="B7" s="182" t="s">
        <v>16</v>
      </c>
      <c r="C7" s="183" t="s">
        <v>514</v>
      </c>
      <c r="D7" s="184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4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4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4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4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4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4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4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4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4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4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4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4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4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4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4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4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4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4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4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4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4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4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4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80">
        <f t="shared" ca="1" si="4"/>
        <v>0</v>
      </c>
      <c r="AE7" s="280">
        <f t="shared" ca="1" si="5"/>
        <v>0</v>
      </c>
    </row>
    <row r="8" spans="1:31" outlineLevel="1" x14ac:dyDescent="0.25">
      <c r="A8" s="182" t="s">
        <v>522</v>
      </c>
      <c r="B8" s="182" t="s">
        <v>523</v>
      </c>
      <c r="C8" s="183" t="s">
        <v>514</v>
      </c>
      <c r="D8" s="184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4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4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4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4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4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4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4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4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4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4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4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4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4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4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4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4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4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4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4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4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4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4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4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80">
        <f t="shared" ca="1" si="4"/>
        <v>0</v>
      </c>
      <c r="AE8" s="280">
        <f t="shared" ca="1" si="5"/>
        <v>0</v>
      </c>
    </row>
    <row r="9" spans="1:31" outlineLevel="1" x14ac:dyDescent="0.25">
      <c r="A9" s="182" t="s">
        <v>525</v>
      </c>
      <c r="B9" s="182" t="s">
        <v>526</v>
      </c>
      <c r="C9" s="183" t="s">
        <v>22</v>
      </c>
      <c r="D9" s="184" cm="1">
        <f t="array" ref="D9:AA9">IF($A$2="POM",
TRANSPOSE(_xlfn._xlws.FILTER(inputs!$BJ$51:$BJ$122,inputs!$BJ$51:$BJ$122&lt;&gt;"")),
0*_xlfn.SEQUENCE(1,IFERROR(MATCH(TRUE,f.grupo!D1:AU1="",0)-1,COLUNAS(f.grupo!D1:AU1))))</f>
        <v>0</v>
      </c>
      <c r="E9" s="184">
        <v>0</v>
      </c>
      <c r="F9" s="184">
        <v>0</v>
      </c>
      <c r="G9" s="184">
        <v>0</v>
      </c>
      <c r="H9" s="184">
        <v>0</v>
      </c>
      <c r="I9" s="184">
        <v>0</v>
      </c>
      <c r="J9" s="184">
        <v>0</v>
      </c>
      <c r="K9" s="184">
        <v>0</v>
      </c>
      <c r="L9" s="184">
        <v>0</v>
      </c>
      <c r="M9" s="184">
        <v>0</v>
      </c>
      <c r="N9" s="184">
        <v>0</v>
      </c>
      <c r="O9" s="184">
        <v>0</v>
      </c>
      <c r="P9" s="184">
        <v>0</v>
      </c>
      <c r="Q9" s="184">
        <v>0</v>
      </c>
      <c r="R9" s="184">
        <v>0</v>
      </c>
      <c r="S9" s="184">
        <v>0</v>
      </c>
      <c r="T9" s="184">
        <v>0</v>
      </c>
      <c r="U9" s="184">
        <v>0</v>
      </c>
      <c r="V9" s="184">
        <v>0</v>
      </c>
      <c r="W9" s="184">
        <v>0</v>
      </c>
      <c r="X9" s="184">
        <v>0</v>
      </c>
      <c r="Y9" s="184">
        <v>0</v>
      </c>
      <c r="Z9" s="184">
        <v>0</v>
      </c>
      <c r="AA9" s="184">
        <v>0</v>
      </c>
      <c r="AC9" s="280">
        <f t="shared" si="4"/>
        <v>0</v>
      </c>
      <c r="AE9" s="280">
        <f t="shared" si="5"/>
        <v>0</v>
      </c>
    </row>
    <row r="10" spans="1:31" x14ac:dyDescent="0.25">
      <c r="A10" s="188" t="s">
        <v>527</v>
      </c>
      <c r="B10" s="188" t="s">
        <v>528</v>
      </c>
      <c r="C10" s="189" t="s">
        <v>514</v>
      </c>
      <c r="D10" s="190">
        <f t="shared" ref="D10:AA10" si="6">SUM(D11:D24)</f>
        <v>0</v>
      </c>
      <c r="E10" s="190">
        <f t="shared" si="6"/>
        <v>0</v>
      </c>
      <c r="F10" s="190">
        <f t="shared" si="6"/>
        <v>0</v>
      </c>
      <c r="G10" s="190">
        <f t="shared" si="6"/>
        <v>0</v>
      </c>
      <c r="H10" s="190">
        <f t="shared" si="6"/>
        <v>0</v>
      </c>
      <c r="I10" s="190">
        <f t="shared" si="6"/>
        <v>0</v>
      </c>
      <c r="J10" s="190">
        <f t="shared" si="6"/>
        <v>0</v>
      </c>
      <c r="K10" s="190">
        <f t="shared" si="6"/>
        <v>0</v>
      </c>
      <c r="L10" s="190">
        <f t="shared" si="6"/>
        <v>0</v>
      </c>
      <c r="M10" s="190">
        <f t="shared" si="6"/>
        <v>0</v>
      </c>
      <c r="N10" s="190">
        <f t="shared" si="6"/>
        <v>0</v>
      </c>
      <c r="O10" s="190">
        <f t="shared" si="6"/>
        <v>0</v>
      </c>
      <c r="P10" s="190">
        <f t="shared" si="6"/>
        <v>0</v>
      </c>
      <c r="Q10" s="190">
        <f t="shared" si="6"/>
        <v>0</v>
      </c>
      <c r="R10" s="190">
        <f t="shared" si="6"/>
        <v>0</v>
      </c>
      <c r="S10" s="190">
        <f t="shared" si="6"/>
        <v>0</v>
      </c>
      <c r="T10" s="190">
        <f t="shared" si="6"/>
        <v>0</v>
      </c>
      <c r="U10" s="190">
        <f t="shared" si="6"/>
        <v>0</v>
      </c>
      <c r="V10" s="190">
        <f t="shared" si="6"/>
        <v>0</v>
      </c>
      <c r="W10" s="190">
        <f t="shared" si="6"/>
        <v>0</v>
      </c>
      <c r="X10" s="190">
        <f t="shared" si="6"/>
        <v>0</v>
      </c>
      <c r="Y10" s="190">
        <f t="shared" si="6"/>
        <v>0</v>
      </c>
      <c r="Z10" s="190">
        <f t="shared" si="6"/>
        <v>0</v>
      </c>
      <c r="AA10" s="190">
        <f t="shared" si="6"/>
        <v>0</v>
      </c>
      <c r="AC10" s="281">
        <f t="shared" si="4"/>
        <v>0</v>
      </c>
      <c r="AE10" s="281">
        <f t="shared" si="5"/>
        <v>0</v>
      </c>
    </row>
    <row r="11" spans="1:31" outlineLevel="1" x14ac:dyDescent="0.25">
      <c r="A11" s="182" t="s">
        <v>529</v>
      </c>
      <c r="B11" s="458" t="s">
        <v>352</v>
      </c>
      <c r="C11" s="183" t="s">
        <v>514</v>
      </c>
      <c r="D11" s="184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4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4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4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4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4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4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4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4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4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4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4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4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4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4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4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4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4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4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4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4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4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4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4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80">
        <f t="shared" si="4"/>
        <v>0</v>
      </c>
      <c r="AE11" s="280">
        <f t="shared" si="5"/>
        <v>0</v>
      </c>
    </row>
    <row r="12" spans="1:31" outlineLevel="1" x14ac:dyDescent="0.25">
      <c r="A12" s="182" t="s">
        <v>548</v>
      </c>
      <c r="B12" s="182" t="s">
        <v>350</v>
      </c>
      <c r="C12" s="183" t="s">
        <v>514</v>
      </c>
      <c r="D12" s="184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4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4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4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4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4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4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4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4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4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4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4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4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4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4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4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4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4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4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4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4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4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4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4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80">
        <f t="shared" si="4"/>
        <v>0</v>
      </c>
      <c r="AE12" s="280">
        <f t="shared" si="5"/>
        <v>0</v>
      </c>
    </row>
    <row r="13" spans="1:31" outlineLevel="1" x14ac:dyDescent="0.25">
      <c r="A13" s="182" t="s">
        <v>1186</v>
      </c>
      <c r="B13" s="182" t="s">
        <v>373</v>
      </c>
      <c r="C13" s="183" t="s">
        <v>514</v>
      </c>
      <c r="D13" s="184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4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4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4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4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4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4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4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4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4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4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4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4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4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4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4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4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4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4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4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4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4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4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4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80">
        <f t="shared" si="4"/>
        <v>0</v>
      </c>
      <c r="AE13" s="280">
        <f t="shared" si="5"/>
        <v>0</v>
      </c>
    </row>
    <row r="14" spans="1:31" outlineLevel="1" x14ac:dyDescent="0.25">
      <c r="A14" s="182" t="s">
        <v>559</v>
      </c>
      <c r="B14" s="182" t="s">
        <v>391</v>
      </c>
      <c r="C14" s="183" t="s">
        <v>514</v>
      </c>
      <c r="D14" s="184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4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4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4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4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4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4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4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4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4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4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4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4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4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4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4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4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4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4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4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4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4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4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4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80">
        <f t="shared" si="4"/>
        <v>0</v>
      </c>
      <c r="AE14" s="280">
        <f t="shared" si="5"/>
        <v>0</v>
      </c>
    </row>
    <row r="15" spans="1:31" outlineLevel="1" x14ac:dyDescent="0.25">
      <c r="A15" s="182" t="s">
        <v>560</v>
      </c>
      <c r="B15" s="182" t="s">
        <v>374</v>
      </c>
      <c r="C15" s="183" t="s">
        <v>514</v>
      </c>
      <c r="D15" s="184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4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4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4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4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4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4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4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4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4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4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4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4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4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4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4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4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4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4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4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4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4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4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4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80">
        <f t="shared" si="4"/>
        <v>0</v>
      </c>
      <c r="AE15" s="280">
        <f t="shared" si="5"/>
        <v>0</v>
      </c>
    </row>
    <row r="16" spans="1:31" outlineLevel="1" x14ac:dyDescent="0.25">
      <c r="A16" s="182" t="s">
        <v>563</v>
      </c>
      <c r="B16" s="182" t="s">
        <v>337</v>
      </c>
      <c r="C16" s="183" t="s">
        <v>514</v>
      </c>
      <c r="D16" s="184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4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4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4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4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4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4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4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4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4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4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4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4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4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4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4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4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4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4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4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4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4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4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4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80">
        <f t="shared" si="4"/>
        <v>0</v>
      </c>
      <c r="AE16" s="280">
        <f t="shared" si="5"/>
        <v>0</v>
      </c>
    </row>
    <row r="17" spans="1:31" outlineLevel="1" x14ac:dyDescent="0.25">
      <c r="A17" s="182" t="s">
        <v>564</v>
      </c>
      <c r="B17" s="182" t="s">
        <v>383</v>
      </c>
      <c r="C17" s="183" t="s">
        <v>514</v>
      </c>
      <c r="D17" s="184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4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4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4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4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4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4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4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4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4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4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4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4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4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4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4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4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4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4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4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4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4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4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4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80">
        <f t="shared" si="4"/>
        <v>0</v>
      </c>
      <c r="AE17" s="280">
        <f t="shared" si="5"/>
        <v>0</v>
      </c>
    </row>
    <row r="18" spans="1:31" outlineLevel="1" x14ac:dyDescent="0.25">
      <c r="A18" s="182" t="s">
        <v>565</v>
      </c>
      <c r="B18" s="182" t="s">
        <v>386</v>
      </c>
      <c r="C18" s="183" t="s">
        <v>514</v>
      </c>
      <c r="D18" s="184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4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4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4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4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4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4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4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4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4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4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4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4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4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4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4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4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4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4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4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4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4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4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4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80">
        <f t="shared" si="4"/>
        <v>0</v>
      </c>
      <c r="AE18" s="280">
        <f t="shared" si="5"/>
        <v>0</v>
      </c>
    </row>
    <row r="19" spans="1:31" outlineLevel="1" x14ac:dyDescent="0.25">
      <c r="A19" s="182" t="s">
        <v>566</v>
      </c>
      <c r="B19" s="458" t="s">
        <v>1081</v>
      </c>
      <c r="C19" s="183" t="s">
        <v>514</v>
      </c>
      <c r="D19" s="184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4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4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4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4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4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4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4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4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4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4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4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4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4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4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4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4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4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4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4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4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4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4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4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80">
        <f t="shared" si="4"/>
        <v>0</v>
      </c>
      <c r="AE19" s="280">
        <f t="shared" si="5"/>
        <v>0</v>
      </c>
    </row>
    <row r="20" spans="1:31" outlineLevel="1" x14ac:dyDescent="0.25">
      <c r="A20" s="182" t="s">
        <v>567</v>
      </c>
      <c r="B20" s="182" t="s">
        <v>340</v>
      </c>
      <c r="C20" s="183" t="s">
        <v>514</v>
      </c>
      <c r="D20" s="184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4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4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4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4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4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4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4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4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4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4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4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4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4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4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4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4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4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4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4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4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4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4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4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80">
        <f t="shared" si="4"/>
        <v>0</v>
      </c>
      <c r="AE20" s="280">
        <f t="shared" ref="AE20:AE21" si="7">SUM(D20:AA20)</f>
        <v>0</v>
      </c>
    </row>
    <row r="21" spans="1:31" outlineLevel="1" x14ac:dyDescent="0.25">
      <c r="A21" s="182" t="s">
        <v>570</v>
      </c>
      <c r="B21" s="182" t="s">
        <v>396</v>
      </c>
      <c r="C21" s="183" t="s">
        <v>514</v>
      </c>
      <c r="D21" s="184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4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4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4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4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4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4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4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4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4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4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4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4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4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4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4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4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4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4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4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4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4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4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4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80">
        <f t="shared" si="4"/>
        <v>0</v>
      </c>
      <c r="AE21" s="280">
        <f t="shared" si="7"/>
        <v>0</v>
      </c>
    </row>
    <row r="22" spans="1:31" outlineLevel="1" x14ac:dyDescent="0.25">
      <c r="A22" s="182" t="s">
        <v>582</v>
      </c>
      <c r="B22" s="182" t="s">
        <v>355</v>
      </c>
      <c r="C22" s="183" t="s">
        <v>514</v>
      </c>
      <c r="D22" s="184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4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4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4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4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4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4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4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4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4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4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4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4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4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4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4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4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4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4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4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4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4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4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4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80">
        <f t="shared" si="4"/>
        <v>0</v>
      </c>
      <c r="AE22" s="280">
        <f t="shared" si="5"/>
        <v>0</v>
      </c>
    </row>
    <row r="23" spans="1:31" outlineLevel="1" x14ac:dyDescent="0.25">
      <c r="A23" s="182" t="s">
        <v>584</v>
      </c>
      <c r="B23" s="182" t="s">
        <v>365</v>
      </c>
      <c r="C23" s="183" t="s">
        <v>514</v>
      </c>
      <c r="D23" s="184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4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4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4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4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4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4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4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4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4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4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4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4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4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4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4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4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4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4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4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4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4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4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4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80">
        <f t="shared" si="4"/>
        <v>0</v>
      </c>
      <c r="AE23" s="280">
        <f t="shared" ref="AE23" si="8">SUM(D23:AA23)</f>
        <v>0</v>
      </c>
    </row>
    <row r="24" spans="1:31" outlineLevel="1" x14ac:dyDescent="0.25">
      <c r="A24" s="182" t="s">
        <v>1082</v>
      </c>
      <c r="B24" s="182" t="s">
        <v>691</v>
      </c>
      <c r="C24" s="183" t="s">
        <v>514</v>
      </c>
      <c r="D24" s="184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-D$42
)</f>
        <v>0</v>
      </c>
      <c r="E24" s="184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-E$42
)</f>
        <v>0</v>
      </c>
      <c r="F24" s="184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-F$42
)</f>
        <v>0</v>
      </c>
      <c r="G24" s="184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-G$42
)</f>
        <v>0</v>
      </c>
      <c r="H24" s="184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-H$42
)</f>
        <v>0</v>
      </c>
      <c r="I24" s="184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-I$42
)</f>
        <v>0</v>
      </c>
      <c r="J24" s="184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-J$42
)</f>
        <v>0</v>
      </c>
      <c r="K24" s="184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-K$42
)</f>
        <v>0</v>
      </c>
      <c r="L24" s="184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-L$42
)</f>
        <v>0</v>
      </c>
      <c r="M24" s="184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-M$42
)</f>
        <v>0</v>
      </c>
      <c r="N24" s="184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-N$42
)</f>
        <v>0</v>
      </c>
      <c r="O24" s="184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-O$42
)</f>
        <v>0</v>
      </c>
      <c r="P24" s="184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-P$42
)</f>
        <v>0</v>
      </c>
      <c r="Q24" s="184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-Q$42
)</f>
        <v>0</v>
      </c>
      <c r="R24" s="184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-R$42
)</f>
        <v>0</v>
      </c>
      <c r="S24" s="184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-S$42
)</f>
        <v>0</v>
      </c>
      <c r="T24" s="184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-T$42
)</f>
        <v>0</v>
      </c>
      <c r="U24" s="184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-U$42
)</f>
        <v>0</v>
      </c>
      <c r="V24" s="184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-V$42
)</f>
        <v>0</v>
      </c>
      <c r="W24" s="184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-W$42
)</f>
        <v>0</v>
      </c>
      <c r="X24" s="184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-X$42
)</f>
        <v>0</v>
      </c>
      <c r="Y24" s="184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-Y$42
)</f>
        <v>0</v>
      </c>
      <c r="Z24" s="184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-Z$42
)</f>
        <v>0</v>
      </c>
      <c r="AA24" s="184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-AA$42,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-AA$42
)</f>
        <v>0</v>
      </c>
      <c r="AC24" s="280">
        <f t="shared" si="4"/>
        <v>0</v>
      </c>
      <c r="AE24" s="280">
        <f t="shared" si="5"/>
        <v>0</v>
      </c>
    </row>
    <row r="25" spans="1:31" x14ac:dyDescent="0.25">
      <c r="A25" s="175" t="s">
        <v>586</v>
      </c>
      <c r="B25" s="175" t="s">
        <v>587</v>
      </c>
      <c r="C25" s="176"/>
      <c r="D25" s="191">
        <f t="shared" ref="D25:AA25" si="9">D26+D29</f>
        <v>0</v>
      </c>
      <c r="E25" s="191">
        <f t="shared" si="9"/>
        <v>0</v>
      </c>
      <c r="F25" s="191">
        <f t="shared" si="9"/>
        <v>0</v>
      </c>
      <c r="G25" s="191">
        <f t="shared" si="9"/>
        <v>0</v>
      </c>
      <c r="H25" s="191">
        <f t="shared" si="9"/>
        <v>0</v>
      </c>
      <c r="I25" s="191">
        <f t="shared" si="9"/>
        <v>0</v>
      </c>
      <c r="J25" s="191">
        <f t="shared" si="9"/>
        <v>0</v>
      </c>
      <c r="K25" s="191">
        <f t="shared" si="9"/>
        <v>0</v>
      </c>
      <c r="L25" s="191">
        <f t="shared" si="9"/>
        <v>0</v>
      </c>
      <c r="M25" s="191">
        <f t="shared" si="9"/>
        <v>0</v>
      </c>
      <c r="N25" s="191">
        <f t="shared" si="9"/>
        <v>0</v>
      </c>
      <c r="O25" s="191">
        <f t="shared" si="9"/>
        <v>0</v>
      </c>
      <c r="P25" s="191">
        <f t="shared" si="9"/>
        <v>0</v>
      </c>
      <c r="Q25" s="191">
        <f t="shared" si="9"/>
        <v>0</v>
      </c>
      <c r="R25" s="191">
        <f t="shared" ref="R25:Z25" si="10">R26+R29</f>
        <v>0</v>
      </c>
      <c r="S25" s="191">
        <f t="shared" si="10"/>
        <v>0</v>
      </c>
      <c r="T25" s="191">
        <f t="shared" si="10"/>
        <v>0</v>
      </c>
      <c r="U25" s="191">
        <f t="shared" si="10"/>
        <v>0</v>
      </c>
      <c r="V25" s="191">
        <f t="shared" si="10"/>
        <v>0</v>
      </c>
      <c r="W25" s="191">
        <f t="shared" si="10"/>
        <v>0</v>
      </c>
      <c r="X25" s="191">
        <f t="shared" si="10"/>
        <v>0</v>
      </c>
      <c r="Y25" s="191">
        <f t="shared" si="10"/>
        <v>0</v>
      </c>
      <c r="Z25" s="191">
        <f t="shared" si="10"/>
        <v>0</v>
      </c>
      <c r="AA25" s="191">
        <f t="shared" si="9"/>
        <v>0</v>
      </c>
      <c r="AC25" s="282">
        <f t="shared" si="4"/>
        <v>0</v>
      </c>
      <c r="AE25" s="282">
        <f t="shared" si="5"/>
        <v>0</v>
      </c>
    </row>
    <row r="26" spans="1:31" x14ac:dyDescent="0.25">
      <c r="A26" s="179" t="s">
        <v>588</v>
      </c>
      <c r="B26" s="179" t="s">
        <v>589</v>
      </c>
      <c r="C26" s="180"/>
      <c r="D26" s="181">
        <f t="shared" ref="D26:AA26" si="11">SUM(D27:D28)</f>
        <v>0</v>
      </c>
      <c r="E26" s="181">
        <f t="shared" si="11"/>
        <v>0</v>
      </c>
      <c r="F26" s="181">
        <f t="shared" si="11"/>
        <v>0</v>
      </c>
      <c r="G26" s="181">
        <f t="shared" si="11"/>
        <v>0</v>
      </c>
      <c r="H26" s="181">
        <f t="shared" si="11"/>
        <v>0</v>
      </c>
      <c r="I26" s="181">
        <f t="shared" si="11"/>
        <v>0</v>
      </c>
      <c r="J26" s="181">
        <f t="shared" si="11"/>
        <v>0</v>
      </c>
      <c r="K26" s="181">
        <f t="shared" si="11"/>
        <v>0</v>
      </c>
      <c r="L26" s="181">
        <f t="shared" si="11"/>
        <v>0</v>
      </c>
      <c r="M26" s="181">
        <f t="shared" si="11"/>
        <v>0</v>
      </c>
      <c r="N26" s="181">
        <f t="shared" si="11"/>
        <v>0</v>
      </c>
      <c r="O26" s="181">
        <f t="shared" si="11"/>
        <v>0</v>
      </c>
      <c r="P26" s="181">
        <f t="shared" si="11"/>
        <v>0</v>
      </c>
      <c r="Q26" s="181">
        <f t="shared" si="11"/>
        <v>0</v>
      </c>
      <c r="R26" s="181">
        <f t="shared" ref="R26:Z26" si="12">SUM(R27:R28)</f>
        <v>0</v>
      </c>
      <c r="S26" s="181">
        <f t="shared" si="12"/>
        <v>0</v>
      </c>
      <c r="T26" s="181">
        <f t="shared" si="12"/>
        <v>0</v>
      </c>
      <c r="U26" s="181">
        <f t="shared" si="12"/>
        <v>0</v>
      </c>
      <c r="V26" s="181">
        <f t="shared" si="12"/>
        <v>0</v>
      </c>
      <c r="W26" s="181">
        <f t="shared" si="12"/>
        <v>0</v>
      </c>
      <c r="X26" s="181">
        <f t="shared" si="12"/>
        <v>0</v>
      </c>
      <c r="Y26" s="181">
        <f t="shared" si="12"/>
        <v>0</v>
      </c>
      <c r="Z26" s="181">
        <f t="shared" si="12"/>
        <v>0</v>
      </c>
      <c r="AA26" s="181">
        <f t="shared" si="11"/>
        <v>0</v>
      </c>
      <c r="AC26" s="279">
        <f t="shared" si="4"/>
        <v>0</v>
      </c>
      <c r="AE26" s="279">
        <f t="shared" si="5"/>
        <v>0</v>
      </c>
    </row>
    <row r="27" spans="1:31" outlineLevel="1" x14ac:dyDescent="0.25">
      <c r="A27" s="182" t="s">
        <v>590</v>
      </c>
      <c r="B27" s="192" t="s">
        <v>591</v>
      </c>
      <c r="C27" s="138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C27" s="178">
        <f t="shared" si="4"/>
        <v>0</v>
      </c>
      <c r="AE27" s="178">
        <f t="shared" si="5"/>
        <v>0</v>
      </c>
    </row>
    <row r="28" spans="1:31" outlineLevel="1" x14ac:dyDescent="0.25">
      <c r="A28" s="182" t="s">
        <v>592</v>
      </c>
      <c r="B28" s="192" t="s">
        <v>593</v>
      </c>
      <c r="C28" s="138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C28" s="178">
        <f t="shared" si="4"/>
        <v>0</v>
      </c>
      <c r="AE28" s="178">
        <f t="shared" si="5"/>
        <v>0</v>
      </c>
    </row>
    <row r="29" spans="1:31" x14ac:dyDescent="0.25">
      <c r="A29" s="188" t="s">
        <v>594</v>
      </c>
      <c r="B29" s="188" t="s">
        <v>595</v>
      </c>
      <c r="C29" s="193"/>
      <c r="D29" s="194">
        <f t="shared" ref="D29:AA29" si="13">SUM(D30:D32)</f>
        <v>0</v>
      </c>
      <c r="E29" s="194">
        <f t="shared" si="13"/>
        <v>0</v>
      </c>
      <c r="F29" s="194">
        <f t="shared" si="13"/>
        <v>0</v>
      </c>
      <c r="G29" s="194">
        <f t="shared" si="13"/>
        <v>0</v>
      </c>
      <c r="H29" s="194">
        <f t="shared" si="13"/>
        <v>0</v>
      </c>
      <c r="I29" s="194">
        <f t="shared" si="13"/>
        <v>0</v>
      </c>
      <c r="J29" s="194">
        <f t="shared" si="13"/>
        <v>0</v>
      </c>
      <c r="K29" s="194">
        <f t="shared" si="13"/>
        <v>0</v>
      </c>
      <c r="L29" s="194">
        <f t="shared" si="13"/>
        <v>0</v>
      </c>
      <c r="M29" s="194">
        <f t="shared" si="13"/>
        <v>0</v>
      </c>
      <c r="N29" s="194">
        <f t="shared" si="13"/>
        <v>0</v>
      </c>
      <c r="O29" s="194">
        <f t="shared" si="13"/>
        <v>0</v>
      </c>
      <c r="P29" s="194">
        <f t="shared" si="13"/>
        <v>0</v>
      </c>
      <c r="Q29" s="194">
        <f t="shared" si="13"/>
        <v>0</v>
      </c>
      <c r="R29" s="194">
        <f t="shared" ref="R29:Z29" si="14">SUM(R30:R32)</f>
        <v>0</v>
      </c>
      <c r="S29" s="194">
        <f t="shared" si="14"/>
        <v>0</v>
      </c>
      <c r="T29" s="194">
        <f t="shared" si="14"/>
        <v>0</v>
      </c>
      <c r="U29" s="194">
        <f t="shared" si="14"/>
        <v>0</v>
      </c>
      <c r="V29" s="194">
        <f t="shared" si="14"/>
        <v>0</v>
      </c>
      <c r="W29" s="194">
        <f t="shared" si="14"/>
        <v>0</v>
      </c>
      <c r="X29" s="194">
        <f t="shared" si="14"/>
        <v>0</v>
      </c>
      <c r="Y29" s="194">
        <f t="shared" si="14"/>
        <v>0</v>
      </c>
      <c r="Z29" s="194">
        <f t="shared" si="14"/>
        <v>0</v>
      </c>
      <c r="AA29" s="194">
        <f t="shared" si="13"/>
        <v>0</v>
      </c>
      <c r="AC29" s="283">
        <f t="shared" si="4"/>
        <v>0</v>
      </c>
      <c r="AE29" s="283">
        <f t="shared" si="5"/>
        <v>0</v>
      </c>
    </row>
    <row r="30" spans="1:31" outlineLevel="1" x14ac:dyDescent="0.25">
      <c r="A30" s="182" t="s">
        <v>596</v>
      </c>
      <c r="B30" s="182" t="s">
        <v>400</v>
      </c>
      <c r="C30" s="183" t="s">
        <v>514</v>
      </c>
      <c r="D30" s="184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4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4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4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4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4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4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4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4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4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4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4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4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4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4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4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4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4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4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4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4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4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4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4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80">
        <f t="shared" si="4"/>
        <v>0</v>
      </c>
      <c r="AE30" s="280">
        <f t="shared" si="5"/>
        <v>0</v>
      </c>
    </row>
    <row r="31" spans="1:31" outlineLevel="1" x14ac:dyDescent="0.25">
      <c r="A31" s="182" t="s">
        <v>612</v>
      </c>
      <c r="B31" s="192" t="s">
        <v>613</v>
      </c>
      <c r="C31" s="138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C31" s="178">
        <f t="shared" si="4"/>
        <v>0</v>
      </c>
      <c r="AE31" s="178">
        <f t="shared" si="5"/>
        <v>0</v>
      </c>
    </row>
    <row r="32" spans="1:31" outlineLevel="1" x14ac:dyDescent="0.25">
      <c r="A32" s="182" t="s">
        <v>614</v>
      </c>
      <c r="B32" s="192" t="s">
        <v>615</v>
      </c>
      <c r="C32" s="138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C32" s="178">
        <f t="shared" si="4"/>
        <v>0</v>
      </c>
      <c r="AE32" s="178">
        <f t="shared" si="5"/>
        <v>0</v>
      </c>
    </row>
    <row r="33" spans="1:31" x14ac:dyDescent="0.25">
      <c r="A33" s="175" t="s">
        <v>616</v>
      </c>
      <c r="B33" s="175" t="s">
        <v>617</v>
      </c>
      <c r="C33" s="176"/>
      <c r="D33" s="177">
        <f t="shared" ref="D33:AA33" si="15">D34+D39</f>
        <v>0</v>
      </c>
      <c r="E33" s="177">
        <f t="shared" si="15"/>
        <v>0</v>
      </c>
      <c r="F33" s="177">
        <f t="shared" si="15"/>
        <v>236708.67</v>
      </c>
      <c r="G33" s="177">
        <f t="shared" si="15"/>
        <v>273233.02</v>
      </c>
      <c r="H33" s="177">
        <f t="shared" si="15"/>
        <v>0</v>
      </c>
      <c r="I33" s="177">
        <f t="shared" si="15"/>
        <v>0</v>
      </c>
      <c r="J33" s="177">
        <f t="shared" si="15"/>
        <v>504350.63</v>
      </c>
      <c r="K33" s="177">
        <f t="shared" si="15"/>
        <v>249520.85</v>
      </c>
      <c r="L33" s="177">
        <f t="shared" si="15"/>
        <v>315799.90000000002</v>
      </c>
      <c r="M33" s="177">
        <f t="shared" si="15"/>
        <v>165252.20000000001</v>
      </c>
      <c r="N33" s="177">
        <f t="shared" si="15"/>
        <v>200573.37</v>
      </c>
      <c r="O33" s="177">
        <f t="shared" si="15"/>
        <v>0</v>
      </c>
      <c r="P33" s="177">
        <f t="shared" si="15"/>
        <v>311984.76</v>
      </c>
      <c r="Q33" s="177">
        <f t="shared" si="15"/>
        <v>3378029.5300000003</v>
      </c>
      <c r="R33" s="177">
        <f t="shared" ref="R33:Z33" si="16">R34+R39</f>
        <v>472296.31</v>
      </c>
      <c r="S33" s="177">
        <f t="shared" si="16"/>
        <v>437711.45</v>
      </c>
      <c r="T33" s="177">
        <f t="shared" si="16"/>
        <v>478515.22</v>
      </c>
      <c r="U33" s="177">
        <f t="shared" si="16"/>
        <v>364294.47</v>
      </c>
      <c r="V33" s="177">
        <f t="shared" si="16"/>
        <v>0</v>
      </c>
      <c r="W33" s="177">
        <f t="shared" si="16"/>
        <v>0</v>
      </c>
      <c r="X33" s="177">
        <f t="shared" si="16"/>
        <v>0</v>
      </c>
      <c r="Y33" s="177">
        <f t="shared" si="16"/>
        <v>0</v>
      </c>
      <c r="Z33" s="177">
        <f t="shared" si="16"/>
        <v>0</v>
      </c>
      <c r="AA33" s="177">
        <f t="shared" si="15"/>
        <v>0</v>
      </c>
      <c r="AC33" s="278">
        <f t="shared" si="4"/>
        <v>7388270.3799999999</v>
      </c>
      <c r="AE33" s="278">
        <f t="shared" si="5"/>
        <v>7388270.3799999999</v>
      </c>
    </row>
    <row r="34" spans="1:31" x14ac:dyDescent="0.25">
      <c r="A34" s="179" t="s">
        <v>618</v>
      </c>
      <c r="B34" s="179" t="s">
        <v>619</v>
      </c>
      <c r="C34" s="180"/>
      <c r="D34" s="181">
        <f t="shared" ref="D34:AA34" si="17">D35+D38</f>
        <v>0</v>
      </c>
      <c r="E34" s="181">
        <f t="shared" si="17"/>
        <v>0</v>
      </c>
      <c r="F34" s="181">
        <f t="shared" si="17"/>
        <v>236708.67</v>
      </c>
      <c r="G34" s="181">
        <f t="shared" si="17"/>
        <v>273233.02</v>
      </c>
      <c r="H34" s="181">
        <f t="shared" si="17"/>
        <v>0</v>
      </c>
      <c r="I34" s="181">
        <f t="shared" si="17"/>
        <v>0</v>
      </c>
      <c r="J34" s="181">
        <f t="shared" si="17"/>
        <v>504350.63</v>
      </c>
      <c r="K34" s="181">
        <f t="shared" si="17"/>
        <v>249520.85</v>
      </c>
      <c r="L34" s="181">
        <f t="shared" si="17"/>
        <v>315799.90000000002</v>
      </c>
      <c r="M34" s="181">
        <f t="shared" si="17"/>
        <v>165252.20000000001</v>
      </c>
      <c r="N34" s="181">
        <f t="shared" si="17"/>
        <v>200573.37</v>
      </c>
      <c r="O34" s="181">
        <f t="shared" si="17"/>
        <v>0</v>
      </c>
      <c r="P34" s="181">
        <f t="shared" si="17"/>
        <v>311984.76</v>
      </c>
      <c r="Q34" s="181">
        <f t="shared" si="17"/>
        <v>3378029.5300000003</v>
      </c>
      <c r="R34" s="181">
        <f t="shared" ref="R34:Z34" si="18">R35+R38</f>
        <v>472296.31</v>
      </c>
      <c r="S34" s="181">
        <f t="shared" si="18"/>
        <v>437711.45</v>
      </c>
      <c r="T34" s="181">
        <f t="shared" si="18"/>
        <v>478515.22</v>
      </c>
      <c r="U34" s="181">
        <f t="shared" si="18"/>
        <v>364294.47</v>
      </c>
      <c r="V34" s="181">
        <f t="shared" si="18"/>
        <v>0</v>
      </c>
      <c r="W34" s="181">
        <f t="shared" si="18"/>
        <v>0</v>
      </c>
      <c r="X34" s="181">
        <f t="shared" si="18"/>
        <v>0</v>
      </c>
      <c r="Y34" s="181">
        <f t="shared" si="18"/>
        <v>0</v>
      </c>
      <c r="Z34" s="181">
        <f t="shared" si="18"/>
        <v>0</v>
      </c>
      <c r="AA34" s="181">
        <f t="shared" si="17"/>
        <v>0</v>
      </c>
      <c r="AC34" s="279">
        <f t="shared" si="4"/>
        <v>7388270.3799999999</v>
      </c>
      <c r="AE34" s="279">
        <f t="shared" si="5"/>
        <v>7388270.3799999999</v>
      </c>
    </row>
    <row r="35" spans="1:31" outlineLevel="1" x14ac:dyDescent="0.25">
      <c r="A35" s="182" t="s">
        <v>620</v>
      </c>
      <c r="B35" s="182" t="s">
        <v>621</v>
      </c>
      <c r="C35" s="183" t="s">
        <v>622</v>
      </c>
      <c r="D35" s="184">
        <f t="shared" ref="D35:AA35" si="19">SUM(D36:D37)</f>
        <v>0</v>
      </c>
      <c r="E35" s="184">
        <f t="shared" si="19"/>
        <v>0</v>
      </c>
      <c r="F35" s="184">
        <f t="shared" si="19"/>
        <v>236708.67</v>
      </c>
      <c r="G35" s="184">
        <f t="shared" si="19"/>
        <v>273233.02</v>
      </c>
      <c r="H35" s="184">
        <f t="shared" si="19"/>
        <v>0</v>
      </c>
      <c r="I35" s="184">
        <f t="shared" si="19"/>
        <v>0</v>
      </c>
      <c r="J35" s="184">
        <f t="shared" si="19"/>
        <v>504350.63</v>
      </c>
      <c r="K35" s="184">
        <f t="shared" si="19"/>
        <v>249520.85</v>
      </c>
      <c r="L35" s="184">
        <f t="shared" si="19"/>
        <v>315799.90000000002</v>
      </c>
      <c r="M35" s="184">
        <f t="shared" si="19"/>
        <v>165252.20000000001</v>
      </c>
      <c r="N35" s="184">
        <f t="shared" si="19"/>
        <v>200573.37</v>
      </c>
      <c r="O35" s="184">
        <f t="shared" si="19"/>
        <v>0</v>
      </c>
      <c r="P35" s="184">
        <f t="shared" si="19"/>
        <v>311984.76</v>
      </c>
      <c r="Q35" s="184">
        <f t="shared" si="19"/>
        <v>3378029.5300000003</v>
      </c>
      <c r="R35" s="184">
        <f t="shared" ref="R35:Z35" si="20">SUM(R36:R37)</f>
        <v>472296.31</v>
      </c>
      <c r="S35" s="184">
        <f t="shared" si="20"/>
        <v>437711.45</v>
      </c>
      <c r="T35" s="184">
        <f t="shared" si="20"/>
        <v>478515.22</v>
      </c>
      <c r="U35" s="184">
        <f t="shared" si="20"/>
        <v>364294.47</v>
      </c>
      <c r="V35" s="184">
        <f t="shared" si="20"/>
        <v>0</v>
      </c>
      <c r="W35" s="184">
        <f t="shared" si="20"/>
        <v>0</v>
      </c>
      <c r="X35" s="184">
        <f t="shared" si="20"/>
        <v>0</v>
      </c>
      <c r="Y35" s="184">
        <f t="shared" si="20"/>
        <v>0</v>
      </c>
      <c r="Z35" s="184">
        <f t="shared" si="20"/>
        <v>0</v>
      </c>
      <c r="AA35" s="184">
        <f t="shared" si="19"/>
        <v>0</v>
      </c>
      <c r="AC35" s="280">
        <f t="shared" si="4"/>
        <v>7388270.3799999999</v>
      </c>
      <c r="AE35" s="280">
        <f t="shared" si="5"/>
        <v>7388270.3799999999</v>
      </c>
    </row>
    <row r="36" spans="1:31" outlineLevel="1" x14ac:dyDescent="0.25">
      <c r="A36" s="196" t="s">
        <v>623</v>
      </c>
      <c r="B36" s="196" t="s">
        <v>624</v>
      </c>
      <c r="C36" s="183" t="s">
        <v>474</v>
      </c>
      <c r="D36" s="184" cm="1">
        <f t="array" ref="D36:U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>0</v>
      </c>
      <c r="E36" s="184">
        <v>0</v>
      </c>
      <c r="F36" s="184">
        <v>236708.67</v>
      </c>
      <c r="G36" s="184">
        <v>273233.02</v>
      </c>
      <c r="H36" s="184">
        <v>0</v>
      </c>
      <c r="I36" s="184">
        <v>0</v>
      </c>
      <c r="J36" s="184">
        <v>504350.63</v>
      </c>
      <c r="K36" s="184">
        <v>249520.85</v>
      </c>
      <c r="L36" s="184">
        <v>315799.90000000002</v>
      </c>
      <c r="M36" s="184">
        <v>165252.20000000001</v>
      </c>
      <c r="N36" s="184">
        <v>200573.37</v>
      </c>
      <c r="O36" s="184">
        <v>0</v>
      </c>
      <c r="P36" s="184">
        <v>311984.76</v>
      </c>
      <c r="Q36" s="184">
        <v>378029.53</v>
      </c>
      <c r="R36" s="184">
        <v>472296.31</v>
      </c>
      <c r="S36" s="184">
        <v>437711.45</v>
      </c>
      <c r="T36" s="184">
        <v>478515.22</v>
      </c>
      <c r="U36" s="184">
        <v>364294.47</v>
      </c>
      <c r="V36" s="184"/>
      <c r="W36" s="184"/>
      <c r="X36" s="184"/>
      <c r="Y36" s="184"/>
      <c r="Z36" s="184"/>
      <c r="AA36" s="184"/>
      <c r="AC36" s="280">
        <f t="shared" si="4"/>
        <v>4388270.3800000008</v>
      </c>
      <c r="AE36" s="280">
        <f t="shared" si="5"/>
        <v>4388270.3800000008</v>
      </c>
    </row>
    <row r="37" spans="1:31" outlineLevel="1" x14ac:dyDescent="0.25">
      <c r="A37" s="196" t="s">
        <v>629</v>
      </c>
      <c r="B37" s="196" t="s">
        <v>690</v>
      </c>
      <c r="C37" s="183" t="s">
        <v>630</v>
      </c>
      <c r="D37" s="184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37" s="184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4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4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4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37" s="184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J37" s="184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4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4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4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37" s="184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4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4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4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3000000</v>
      </c>
      <c r="R37" s="184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4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4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4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4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4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4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4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4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4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80">
        <f t="shared" si="4"/>
        <v>3000000</v>
      </c>
      <c r="AE37" s="280">
        <f t="shared" si="5"/>
        <v>3000000</v>
      </c>
    </row>
    <row r="38" spans="1:31" outlineLevel="1" x14ac:dyDescent="0.25">
      <c r="A38" s="182" t="s">
        <v>639</v>
      </c>
      <c r="B38" s="192" t="s">
        <v>640</v>
      </c>
      <c r="C38" s="183" t="s">
        <v>514</v>
      </c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C38" s="280">
        <f t="shared" si="4"/>
        <v>0</v>
      </c>
      <c r="AE38" s="280">
        <f t="shared" si="5"/>
        <v>0</v>
      </c>
    </row>
    <row r="39" spans="1:31" x14ac:dyDescent="0.25">
      <c r="A39" s="188" t="s">
        <v>641</v>
      </c>
      <c r="B39" s="188" t="s">
        <v>642</v>
      </c>
      <c r="C39" s="193"/>
      <c r="D39" s="194">
        <f>SUM(D40:D43)</f>
        <v>0</v>
      </c>
      <c r="E39" s="194">
        <f t="shared" ref="E39:AA39" si="21">SUM(E40:E43)</f>
        <v>0</v>
      </c>
      <c r="F39" s="194">
        <f t="shared" si="21"/>
        <v>0</v>
      </c>
      <c r="G39" s="194">
        <f t="shared" si="21"/>
        <v>0</v>
      </c>
      <c r="H39" s="194">
        <f t="shared" si="21"/>
        <v>0</v>
      </c>
      <c r="I39" s="194">
        <f t="shared" si="21"/>
        <v>0</v>
      </c>
      <c r="J39" s="194">
        <f t="shared" si="21"/>
        <v>0</v>
      </c>
      <c r="K39" s="194">
        <f t="shared" si="21"/>
        <v>0</v>
      </c>
      <c r="L39" s="194">
        <f t="shared" si="21"/>
        <v>0</v>
      </c>
      <c r="M39" s="194">
        <f t="shared" si="21"/>
        <v>0</v>
      </c>
      <c r="N39" s="194">
        <f t="shared" si="21"/>
        <v>0</v>
      </c>
      <c r="O39" s="194">
        <f t="shared" si="21"/>
        <v>0</v>
      </c>
      <c r="P39" s="194">
        <f t="shared" si="21"/>
        <v>0</v>
      </c>
      <c r="Q39" s="194">
        <f t="shared" si="21"/>
        <v>0</v>
      </c>
      <c r="R39" s="194">
        <f t="shared" si="21"/>
        <v>0</v>
      </c>
      <c r="S39" s="194">
        <f t="shared" si="21"/>
        <v>0</v>
      </c>
      <c r="T39" s="194">
        <f t="shared" si="21"/>
        <v>0</v>
      </c>
      <c r="U39" s="194">
        <f t="shared" si="21"/>
        <v>0</v>
      </c>
      <c r="V39" s="194">
        <f t="shared" si="21"/>
        <v>0</v>
      </c>
      <c r="W39" s="194">
        <f t="shared" si="21"/>
        <v>0</v>
      </c>
      <c r="X39" s="194">
        <f t="shared" si="21"/>
        <v>0</v>
      </c>
      <c r="Y39" s="194">
        <f t="shared" si="21"/>
        <v>0</v>
      </c>
      <c r="Z39" s="194">
        <f t="shared" si="21"/>
        <v>0</v>
      </c>
      <c r="AA39" s="194">
        <f t="shared" si="21"/>
        <v>0</v>
      </c>
      <c r="AC39" s="283">
        <f t="shared" si="4"/>
        <v>0</v>
      </c>
      <c r="AE39" s="283">
        <f t="shared" si="5"/>
        <v>0</v>
      </c>
    </row>
    <row r="40" spans="1:31" outlineLevel="1" x14ac:dyDescent="0.25">
      <c r="A40" s="182" t="s">
        <v>643</v>
      </c>
      <c r="B40" s="187" t="s">
        <v>389</v>
      </c>
      <c r="C40" s="183" t="s">
        <v>514</v>
      </c>
      <c r="D40" s="184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4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4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4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4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4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4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4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4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4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4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4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4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4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4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4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4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4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4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4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4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4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4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4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80">
        <f t="shared" si="4"/>
        <v>0</v>
      </c>
      <c r="AE40" s="280">
        <f t="shared" si="5"/>
        <v>0</v>
      </c>
    </row>
    <row r="41" spans="1:31" outlineLevel="1" x14ac:dyDescent="0.25">
      <c r="A41" s="182" t="s">
        <v>992</v>
      </c>
      <c r="B41" s="187" t="s">
        <v>723</v>
      </c>
      <c r="C41" s="183" t="s">
        <v>514</v>
      </c>
      <c r="D41" s="184" cm="1">
        <f t="array" ref="D41">IF($A$2&lt;&gt;"Outros",
  -SUMPRODUCT(
    tb_desp[valor] *
    (tb_desp[nucleo]=$B$2) *
    (tb_desp[centro.negocio]=$B41)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(tb_desp[data.pagamento]&gt;=D$3) *
    (tb_desp[data.pagamento]&lt;EOMONTH(D$3,0)+1)
  )
)</f>
        <v>0</v>
      </c>
      <c r="E41" s="184" cm="1">
        <f t="array" ref="E41">IF($A$2&lt;&gt;"Outros",
  -SUMPRODUCT(
    tb_desp[valor] *
    (tb_desp[nucleo]=$B$2) *
    (tb_desp[centro.negocio]=$B41)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(tb_desp[data.pagamento]&gt;=E$3) *
    (tb_desp[data.pagamento]&lt;EOMONTH(E$3,0)+1)
  )
)</f>
        <v>0</v>
      </c>
      <c r="F41" s="184" cm="1">
        <f t="array" ref="F41">IF($A$2&lt;&gt;"Outros",
  -SUMPRODUCT(
    tb_desp[valor] *
    (tb_desp[nucleo]=$B$2) *
    (tb_desp[centro.negocio]=$B41)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(tb_desp[data.pagamento]&gt;=F$3) *
    (tb_desp[data.pagamento]&lt;EOMONTH(F$3,0)+1)
  )
)</f>
        <v>0</v>
      </c>
      <c r="G41" s="184" cm="1">
        <f t="array" ref="G41">IF($A$2&lt;&gt;"Outros",
  -SUMPRODUCT(
    tb_desp[valor] *
    (tb_desp[nucleo]=$B$2) *
    (tb_desp[centro.negocio]=$B41)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(tb_desp[data.pagamento]&gt;=G$3) *
    (tb_desp[data.pagamento]&lt;EOMONTH(G$3,0)+1)
  )
)</f>
        <v>0</v>
      </c>
      <c r="H41" s="184" cm="1">
        <f t="array" ref="H41">IF($A$2&lt;&gt;"Outros",
  -SUMPRODUCT(
    tb_desp[valor] *
    (tb_desp[nucleo]=$B$2) *
    (tb_desp[centro.negocio]=$B41)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(tb_desp[data.pagamento]&gt;=H$3) *
    (tb_desp[data.pagamento]&lt;EOMONTH(H$3,0)+1)
  )
)</f>
        <v>0</v>
      </c>
      <c r="I41" s="184" cm="1">
        <f t="array" ref="I41">IF($A$2&lt;&gt;"Outros",
  -SUMPRODUCT(
    tb_desp[valor] *
    (tb_desp[nucleo]=$B$2) *
    (tb_desp[centro.negocio]=$B41)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(tb_desp[data.pagamento]&gt;=I$3) *
    (tb_desp[data.pagamento]&lt;EOMONTH(I$3,0)+1)
  )
)</f>
        <v>0</v>
      </c>
      <c r="J41" s="184" cm="1">
        <f t="array" ref="J41">IF($A$2&lt;&gt;"Outros",
  -SUMPRODUCT(
    tb_desp[valor] *
    (tb_desp[nucleo]=$B$2) *
    (tb_desp[centro.negocio]=$B41)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(tb_desp[data.pagamento]&gt;=J$3) *
    (tb_desp[data.pagamento]&lt;EOMONTH(J$3,0)+1)
  )
)</f>
        <v>0</v>
      </c>
      <c r="K41" s="184" cm="1">
        <f t="array" ref="K41">IF($A$2&lt;&gt;"Outros",
  -SUMPRODUCT(
    tb_desp[valor] *
    (tb_desp[nucleo]=$B$2) *
    (tb_desp[centro.negocio]=$B41)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(tb_desp[data.pagamento]&gt;=K$3) *
    (tb_desp[data.pagamento]&lt;EOMONTH(K$3,0)+1)
  )
)</f>
        <v>0</v>
      </c>
      <c r="L41" s="184" cm="1">
        <f t="array" ref="L41">IF($A$2&lt;&gt;"Outros",
  -SUMPRODUCT(
    tb_desp[valor] *
    (tb_desp[nucleo]=$B$2) *
    (tb_desp[centro.negocio]=$B41)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(tb_desp[data.pagamento]&gt;=L$3) *
    (tb_desp[data.pagamento]&lt;EOMONTH(L$3,0)+1)
  )
)</f>
        <v>0</v>
      </c>
      <c r="M41" s="184" cm="1">
        <f t="array" ref="M41">IF($A$2&lt;&gt;"Outros",
  -SUMPRODUCT(
    tb_desp[valor] *
    (tb_desp[nucleo]=$B$2) *
    (tb_desp[centro.negocio]=$B41)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(tb_desp[data.pagamento]&gt;=M$3) *
    (tb_desp[data.pagamento]&lt;EOMONTH(M$3,0)+1)
  )
)</f>
        <v>0</v>
      </c>
      <c r="N41" s="184" cm="1">
        <f t="array" ref="N41">IF($A$2&lt;&gt;"Outros",
  -SUMPRODUCT(
    tb_desp[valor] *
    (tb_desp[nucleo]=$B$2) *
    (tb_desp[centro.negocio]=$B41)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(tb_desp[data.pagamento]&gt;=N$3) *
    (tb_desp[data.pagamento]&lt;EOMONTH(N$3,0)+1)
  )
)</f>
        <v>0</v>
      </c>
      <c r="O41" s="184" cm="1">
        <f t="array" ref="O41">IF($A$2&lt;&gt;"Outros",
  -SUMPRODUCT(
    tb_desp[valor] *
    (tb_desp[nucleo]=$B$2) *
    (tb_desp[centro.negocio]=$B41)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(tb_desp[data.pagamento]&gt;=O$3) *
    (tb_desp[data.pagamento]&lt;EOMONTH(O$3,0)+1)
  )
)</f>
        <v>0</v>
      </c>
      <c r="P41" s="184" cm="1">
        <f t="array" ref="P41">IF($A$2&lt;&gt;"Outros",
  -SUMPRODUCT(
    tb_desp[valor] *
    (tb_desp[nucleo]=$B$2) *
    (tb_desp[centro.negocio]=$B41)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(tb_desp[data.pagamento]&gt;=P$3) *
    (tb_desp[data.pagamento]&lt;EOMONTH(P$3,0)+1)
  )
)</f>
        <v>0</v>
      </c>
      <c r="Q41" s="184" cm="1">
        <f t="array" ref="Q41">IF($A$2&lt;&gt;"Outros",
  -SUMPRODUCT(
    tb_desp[valor] *
    (tb_desp[nucleo]=$B$2) *
    (tb_desp[centro.negocio]=$B41)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(tb_desp[data.pagamento]&gt;=Q$3) *
    (tb_desp[data.pagamento]&lt;EOMONTH(Q$3,0)+1)
  )
)</f>
        <v>0</v>
      </c>
      <c r="R41" s="184" cm="1">
        <f t="array" ref="R41">IF($A$2&lt;&gt;"Outros",
  -SUMPRODUCT(
    tb_desp[valor] *
    (tb_desp[nucleo]=$B$2) *
    (tb_desp[centro.negocio]=$B41)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(tb_desp[data.pagamento]&gt;=R$3) *
    (tb_desp[data.pagamento]&lt;EOMONTH(R$3,0)+1)
  )
)</f>
        <v>0</v>
      </c>
      <c r="S41" s="184" cm="1">
        <f t="array" ref="S41">IF($A$2&lt;&gt;"Outros",
  -SUMPRODUCT(
    tb_desp[valor] *
    (tb_desp[nucleo]=$B$2) *
    (tb_desp[centro.negocio]=$B41)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(tb_desp[data.pagamento]&gt;=S$3) *
    (tb_desp[data.pagamento]&lt;EOMONTH(S$3,0)+1)
  )
)</f>
        <v>0</v>
      </c>
      <c r="T41" s="184" cm="1">
        <f t="array" ref="T41">IF($A$2&lt;&gt;"Outros",
  -SUMPRODUCT(
    tb_desp[valor] *
    (tb_desp[nucleo]=$B$2) *
    (tb_desp[centro.negocio]=$B41)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(tb_desp[data.pagamento]&gt;=T$3) *
    (tb_desp[data.pagamento]&lt;EOMONTH(T$3,0)+1)
  )
)</f>
        <v>0</v>
      </c>
      <c r="U41" s="184" cm="1">
        <f t="array" ref="U41">IF($A$2&lt;&gt;"Outros",
  -SUMPRODUCT(
    tb_desp[valor] *
    (tb_desp[nucleo]=$B$2) *
    (tb_desp[centro.negocio]=$B41)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(tb_desp[data.pagamento]&gt;=U$3) *
    (tb_desp[data.pagamento]&lt;EOMONTH(U$3,0)+1)
  )
)</f>
        <v>0</v>
      </c>
      <c r="V41" s="184" cm="1">
        <f t="array" ref="V41">IF($A$2&lt;&gt;"Outros",
  -SUMPRODUCT(
    tb_desp[valor] *
    (tb_desp[nucleo]=$B$2) *
    (tb_desp[centro.negocio]=$B41)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(tb_desp[data.pagamento]&gt;=V$3) *
    (tb_desp[data.pagamento]&lt;EOMONTH(V$3,0)+1)
  )
)</f>
        <v>0</v>
      </c>
      <c r="W41" s="184" cm="1">
        <f t="array" ref="W41">IF($A$2&lt;&gt;"Outros",
  -SUMPRODUCT(
    tb_desp[valor] *
    (tb_desp[nucleo]=$B$2) *
    (tb_desp[centro.negocio]=$B41)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(tb_desp[data.pagamento]&gt;=W$3) *
    (tb_desp[data.pagamento]&lt;EOMONTH(W$3,0)+1)
  )
)</f>
        <v>0</v>
      </c>
      <c r="X41" s="184" cm="1">
        <f t="array" ref="X41">IF($A$2&lt;&gt;"Outros",
  -SUMPRODUCT(
    tb_desp[valor] *
    (tb_desp[nucleo]=$B$2) *
    (tb_desp[centro.negocio]=$B41)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(tb_desp[data.pagamento]&gt;=X$3) *
    (tb_desp[data.pagamento]&lt;EOMONTH(X$3,0)+1)
  )
)</f>
        <v>0</v>
      </c>
      <c r="Y41" s="184" cm="1">
        <f t="array" ref="Y41">IF($A$2&lt;&gt;"Outros",
  -SUMPRODUCT(
    tb_desp[valor] *
    (tb_desp[nucleo]=$B$2) *
    (tb_desp[centro.negocio]=$B41)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(tb_desp[data.pagamento]&gt;=Y$3) *
    (tb_desp[data.pagamento]&lt;EOMONTH(Y$3,0)+1)
  )
)</f>
        <v>0</v>
      </c>
      <c r="Z41" s="184" cm="1">
        <f t="array" ref="Z41">IF($A$2&lt;&gt;"Outros",
  -SUMPRODUCT(
    tb_desp[valor] *
    (tb_desp[nucleo]=$B$2) *
    (tb_desp[centro.negocio]=$B41)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(tb_desp[data.pagamento]&gt;=Z$3) *
    (tb_desp[data.pagamento]&lt;EOMONTH(Z$3,0)+1)
  )
)</f>
        <v>0</v>
      </c>
      <c r="AA41" s="184" cm="1">
        <f t="array" ref="AA41">IF($A$2&lt;&gt;"Outros",
  -SUMPRODUCT(
    tb_desp[valor] *
    (tb_desp[nucleo]=$B$2) *
    (tb_desp[centro.negocio]=$B41)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(tb_desp[centro.negocio]=$B41) *
    (tb_desp[data.pagamento]&gt;=AA$3) *
    (tb_desp[data.pagamento]&lt;EOMONTH(AA$3,0)+1)
  )
)</f>
        <v>0</v>
      </c>
      <c r="AC41" s="280">
        <f t="shared" si="4"/>
        <v>0</v>
      </c>
      <c r="AE41" s="280">
        <f t="shared" ref="AE41:AE44" si="22">SUM(D41:AA41)</f>
        <v>0</v>
      </c>
    </row>
    <row r="42" spans="1:31" outlineLevel="1" x14ac:dyDescent="0.25">
      <c r="A42" s="182" t="s">
        <v>661</v>
      </c>
      <c r="B42" s="261" t="s">
        <v>1077</v>
      </c>
      <c r="C42" s="183" t="s">
        <v>514</v>
      </c>
      <c r="D42" s="184" cm="1">
        <f t="array" ref="D42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2" s="184" cm="1">
        <f t="array" ref="E42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2" s="184" cm="1">
        <f t="array" ref="F42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2" s="184" cm="1">
        <f t="array" ref="G42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2" s="184" cm="1">
        <f t="array" ref="H42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2" s="184" cm="1">
        <f t="array" ref="I42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2" s="184" cm="1">
        <f t="array" ref="J42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2" s="184" cm="1">
        <f t="array" ref="K42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2" s="184" cm="1">
        <f t="array" ref="L42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2" s="184" cm="1">
        <f t="array" ref="M42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2" s="184" cm="1">
        <f t="array" ref="N42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2" s="184" cm="1">
        <f t="array" ref="O42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2" s="184" cm="1">
        <f t="array" ref="P42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2" s="184" cm="1">
        <f t="array" ref="Q42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2" s="184" cm="1">
        <f t="array" ref="R42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2" s="184" cm="1">
        <f t="array" ref="S42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2" s="184" cm="1">
        <f t="array" ref="T42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2" s="184" cm="1">
        <f t="array" ref="U42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2" s="184" cm="1">
        <f t="array" ref="V42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2" s="184" cm="1">
        <f t="array" ref="W42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2" s="184" cm="1">
        <f t="array" ref="X42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2" s="184" cm="1">
        <f t="array" ref="Y42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2" s="184" cm="1">
        <f t="array" ref="Z42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2" s="184" cm="1">
        <f t="array" ref="AA42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2" s="280">
        <f t="shared" si="4"/>
        <v>0</v>
      </c>
      <c r="AE42" s="280">
        <f t="shared" ref="AE42" si="23">SUM(D42:AA42)</f>
        <v>0</v>
      </c>
    </row>
    <row r="43" spans="1:31" outlineLevel="1" x14ac:dyDescent="0.25">
      <c r="A43" s="182" t="s">
        <v>1060</v>
      </c>
      <c r="B43" s="192" t="s">
        <v>1080</v>
      </c>
      <c r="C43" s="138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AC43" s="280">
        <f t="shared" si="4"/>
        <v>0</v>
      </c>
    </row>
    <row r="44" spans="1:31" ht="15.75" thickBot="1" x14ac:dyDescent="0.3">
      <c r="A44" s="236" t="s">
        <v>917</v>
      </c>
      <c r="B44" s="236" t="s">
        <v>681</v>
      </c>
      <c r="C44" s="23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 cm="1">
        <f t="array" ref="P44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-P45</f>
        <v>-1384097.96</v>
      </c>
      <c r="Q44" s="177" cm="1">
        <f t="array" ref="Q44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-Q45</f>
        <v>-68473.510000000009</v>
      </c>
      <c r="R44" s="177" cm="1">
        <f t="array" ref="R44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-R45</f>
        <v>1480032.7599999998</v>
      </c>
      <c r="S44" s="177" cm="1">
        <f t="array" ref="S44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-S45</f>
        <v>-1488953.21</v>
      </c>
      <c r="T44" s="177" cm="1">
        <f t="array" ref="T44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-T45</f>
        <v>22256.510000000002</v>
      </c>
      <c r="U44" s="177" cm="1">
        <f t="array" ref="U44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-U45</f>
        <v>54733.51</v>
      </c>
      <c r="V44" s="177" cm="1">
        <f t="array" ref="V44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-V45</f>
        <v>-70542.19</v>
      </c>
      <c r="W44" s="177" cm="1">
        <f t="array" ref="W44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-W45</f>
        <v>0</v>
      </c>
      <c r="X44" s="177" cm="1">
        <f t="array" ref="X44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-X45</f>
        <v>0</v>
      </c>
      <c r="Y44" s="177" cm="1">
        <f t="array" ref="Y44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-Y45</f>
        <v>0</v>
      </c>
      <c r="Z44" s="177" cm="1">
        <f t="array" ref="Z44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-Z45</f>
        <v>0</v>
      </c>
      <c r="AA44" s="177" cm="1">
        <f t="array" ref="AA44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-AA45</f>
        <v>0</v>
      </c>
      <c r="AC44" s="288">
        <f t="shared" si="4"/>
        <v>-1384501.9000000001</v>
      </c>
      <c r="AE44" s="288">
        <f t="shared" si="22"/>
        <v>-1455044.09</v>
      </c>
    </row>
    <row r="45" spans="1:31" outlineLevel="1" x14ac:dyDescent="0.25">
      <c r="A45" s="344" t="s">
        <v>918</v>
      </c>
      <c r="B45" s="340" t="s">
        <v>663</v>
      </c>
      <c r="C45" s="337"/>
      <c r="D45" s="341"/>
      <c r="E45" s="341"/>
      <c r="F45" s="341"/>
      <c r="G45" s="341"/>
      <c r="H45" s="341"/>
      <c r="I45" s="341"/>
      <c r="J45" s="341"/>
      <c r="K45" s="341"/>
      <c r="L45" s="341"/>
      <c r="M45" s="341"/>
      <c r="N45" s="341"/>
      <c r="O45" s="341"/>
      <c r="P45" s="341" cm="1">
        <f t="array" ref="P45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1455044.0899999999</v>
      </c>
      <c r="Q45" s="341" cm="1">
        <f t="array" ref="Q45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70946.13</v>
      </c>
      <c r="R45" s="341" cm="1">
        <f t="array" ref="R45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2472.6200000000026</v>
      </c>
      <c r="S45" s="341" cm="1">
        <f t="array" ref="S45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1482505.38</v>
      </c>
      <c r="T45" s="341" cm="1">
        <f t="array" ref="T45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-6447.83</v>
      </c>
      <c r="U45" s="341" cm="1">
        <f t="array" ref="U45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15808.68</v>
      </c>
      <c r="V45" s="341" cm="1">
        <f t="array" ref="V45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70542.19</v>
      </c>
      <c r="W45" s="341" cm="1">
        <f t="array" ref="W45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0</v>
      </c>
      <c r="X45" s="341" cm="1">
        <f t="array" ref="X45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0</v>
      </c>
      <c r="Y45" s="341" cm="1">
        <f t="array" ref="Y45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5" s="341" cm="1">
        <f t="array" ref="Z45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5" s="341" cm="1">
        <f t="array" ref="AA45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5" s="342"/>
      <c r="AC45" s="349"/>
      <c r="AD45" s="342"/>
      <c r="AE45" s="349"/>
    </row>
    <row r="46" spans="1:31" x14ac:dyDescent="0.25">
      <c r="A46" s="173"/>
      <c r="B46" s="173" t="s">
        <v>662</v>
      </c>
      <c r="C46" s="198"/>
      <c r="D46" s="199">
        <f t="shared" ref="D46:AA46" ca="1" si="24">D$4+D$25+D$33</f>
        <v>0</v>
      </c>
      <c r="E46" s="199">
        <f t="shared" ca="1" si="24"/>
        <v>0</v>
      </c>
      <c r="F46" s="199">
        <f t="shared" ca="1" si="24"/>
        <v>236708.67</v>
      </c>
      <c r="G46" s="199">
        <f t="shared" ca="1" si="24"/>
        <v>273233.02</v>
      </c>
      <c r="H46" s="199">
        <f t="shared" ca="1" si="24"/>
        <v>0</v>
      </c>
      <c r="I46" s="199">
        <f t="shared" ca="1" si="24"/>
        <v>0</v>
      </c>
      <c r="J46" s="199">
        <f t="shared" ca="1" si="24"/>
        <v>504350.63</v>
      </c>
      <c r="K46" s="199">
        <f t="shared" ca="1" si="24"/>
        <v>249520.85</v>
      </c>
      <c r="L46" s="199">
        <f t="shared" ca="1" si="24"/>
        <v>315799.90000000002</v>
      </c>
      <c r="M46" s="199">
        <f t="shared" ca="1" si="24"/>
        <v>165252.20000000001</v>
      </c>
      <c r="N46" s="199">
        <f t="shared" ca="1" si="24"/>
        <v>200573.37</v>
      </c>
      <c r="O46" s="199">
        <f t="shared" ca="1" si="24"/>
        <v>0</v>
      </c>
      <c r="P46" s="199">
        <f t="shared" ca="1" si="24"/>
        <v>311984.76</v>
      </c>
      <c r="Q46" s="199">
        <f t="shared" ca="1" si="24"/>
        <v>3378029.5300000003</v>
      </c>
      <c r="R46" s="199">
        <f t="shared" ca="1" si="24"/>
        <v>472296.31</v>
      </c>
      <c r="S46" s="199">
        <f t="shared" ca="1" si="24"/>
        <v>437711.45</v>
      </c>
      <c r="T46" s="199">
        <f t="shared" ca="1" si="24"/>
        <v>478515.22</v>
      </c>
      <c r="U46" s="199">
        <f t="shared" ca="1" si="24"/>
        <v>364294.47</v>
      </c>
      <c r="V46" s="199">
        <f t="shared" ca="1" si="24"/>
        <v>0</v>
      </c>
      <c r="W46" s="199">
        <f t="shared" ca="1" si="24"/>
        <v>0</v>
      </c>
      <c r="X46" s="199">
        <f t="shared" ca="1" si="24"/>
        <v>0</v>
      </c>
      <c r="Y46" s="199">
        <f t="shared" ca="1" si="24"/>
        <v>0</v>
      </c>
      <c r="Z46" s="199">
        <f t="shared" ca="1" si="24"/>
        <v>0</v>
      </c>
      <c r="AA46" s="199">
        <f t="shared" ca="1" si="24"/>
        <v>0</v>
      </c>
      <c r="AC46" s="287">
        <f t="shared" ref="AC46" ca="1" si="25">SUM(D46:U46)</f>
        <v>7388270.3799999999</v>
      </c>
      <c r="AE46" s="287">
        <f t="shared" ca="1" si="5"/>
        <v>7388270.3799999999</v>
      </c>
    </row>
  </sheetData>
  <conditionalFormatting sqref="A11:A24">
    <cfRule type="endsWith" dxfId="22" priority="1" operator="endsWith" text="..">
      <formula>RIGHT(A11,LEN(".."))=".."</formula>
    </cfRule>
  </conditionalFormatting>
  <dataValidations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29" t="s">
        <v>1064</v>
      </c>
      <c r="C1" s="429"/>
      <c r="D1" s="429"/>
      <c r="E1" s="429"/>
      <c r="F1" s="428" t="s">
        <v>1065</v>
      </c>
      <c r="G1" s="428"/>
      <c r="H1" s="428"/>
      <c r="I1" s="428"/>
      <c r="K1" t="s">
        <v>965</v>
      </c>
      <c r="L1" t="s">
        <v>1069</v>
      </c>
      <c r="M1" t="s">
        <v>1070</v>
      </c>
      <c r="N1" t="s">
        <v>1071</v>
      </c>
      <c r="O1" t="s">
        <v>1072</v>
      </c>
      <c r="P1" t="s">
        <v>1073</v>
      </c>
      <c r="Q1" t="s">
        <v>1074</v>
      </c>
      <c r="R1" t="s">
        <v>1075</v>
      </c>
      <c r="S1" t="s">
        <v>1076</v>
      </c>
    </row>
    <row r="2" spans="1:19" x14ac:dyDescent="0.25">
      <c r="A2" s="183" t="s">
        <v>965</v>
      </c>
      <c r="B2" s="430" t="s">
        <v>1066</v>
      </c>
      <c r="C2" s="430" t="s">
        <v>1067</v>
      </c>
      <c r="D2" s="430" t="s">
        <v>676</v>
      </c>
      <c r="E2" s="430" t="s">
        <v>1068</v>
      </c>
      <c r="F2" s="431" t="s">
        <v>1066</v>
      </c>
      <c r="G2" s="431" t="s">
        <v>1067</v>
      </c>
      <c r="H2" s="431" t="s">
        <v>676</v>
      </c>
      <c r="I2" s="431" t="s">
        <v>1068</v>
      </c>
      <c r="K2" s="277">
        <v>46082</v>
      </c>
      <c r="L2">
        <v>115</v>
      </c>
      <c r="M2">
        <v>806</v>
      </c>
      <c r="N2" s="412">
        <v>4411739.1799999988</v>
      </c>
      <c r="O2" s="412">
        <v>7885767.0499999998</v>
      </c>
      <c r="P2" s="456">
        <v>0.1248642779587405</v>
      </c>
      <c r="Q2" s="456">
        <v>0.87513572204125945</v>
      </c>
      <c r="R2" s="456">
        <v>0.35875071721756674</v>
      </c>
      <c r="S2" s="456">
        <v>0.64124928278243232</v>
      </c>
    </row>
    <row r="3" spans="1:19" x14ac:dyDescent="0.25">
      <c r="A3" s="453">
        <v>46082</v>
      </c>
      <c r="B3" s="432">
        <v>806</v>
      </c>
      <c r="C3" s="433">
        <v>0.87513572204125945</v>
      </c>
      <c r="D3" s="434">
        <v>7885767.0499999998</v>
      </c>
      <c r="E3" s="433">
        <v>0.64124928278243232</v>
      </c>
      <c r="F3" s="435">
        <v>115</v>
      </c>
      <c r="G3" s="436">
        <v>0.1248642779587405</v>
      </c>
      <c r="H3" s="437">
        <v>4411739.1799999988</v>
      </c>
      <c r="I3" s="438">
        <v>0.35875071721756674</v>
      </c>
      <c r="K3" s="277">
        <v>46113</v>
      </c>
      <c r="L3">
        <v>88</v>
      </c>
      <c r="M3">
        <v>819</v>
      </c>
      <c r="N3" s="412">
        <v>413016.37</v>
      </c>
      <c r="O3" s="412">
        <v>13346831.511763999</v>
      </c>
      <c r="P3" s="456">
        <v>9.7023153252480704E-2</v>
      </c>
      <c r="Q3" s="456">
        <v>0.90297684674751932</v>
      </c>
      <c r="R3" s="456">
        <v>3.0016056394589419E-2</v>
      </c>
      <c r="S3" s="456">
        <v>0.96998394360541051</v>
      </c>
    </row>
    <row r="4" spans="1:19" x14ac:dyDescent="0.25">
      <c r="A4" s="454">
        <v>46113</v>
      </c>
      <c r="B4" s="439">
        <v>819</v>
      </c>
      <c r="C4" s="440">
        <v>0.90297684674751932</v>
      </c>
      <c r="D4" s="441">
        <v>13346831.511763999</v>
      </c>
      <c r="E4" s="440">
        <v>0.96998394360541051</v>
      </c>
      <c r="F4" s="442">
        <v>88</v>
      </c>
      <c r="G4" s="443">
        <v>9.7023153252480704E-2</v>
      </c>
      <c r="H4" s="444">
        <v>413016.37</v>
      </c>
      <c r="I4" s="445">
        <v>3.0016056394589419E-2</v>
      </c>
      <c r="K4" s="277">
        <v>46143</v>
      </c>
      <c r="L4">
        <v>266</v>
      </c>
      <c r="M4">
        <v>772</v>
      </c>
      <c r="N4" s="412">
        <v>1223402.58</v>
      </c>
      <c r="O4" s="412">
        <v>8980749.2300000042</v>
      </c>
      <c r="P4" s="456">
        <v>0.25626204238921002</v>
      </c>
      <c r="Q4" s="456">
        <v>0.74373795761078998</v>
      </c>
      <c r="R4" s="457">
        <v>0.11989262829283601</v>
      </c>
      <c r="S4" s="457">
        <v>0.88010737170716413</v>
      </c>
    </row>
    <row r="5" spans="1:19" x14ac:dyDescent="0.25">
      <c r="A5" s="455">
        <v>46143</v>
      </c>
      <c r="B5" s="446">
        <v>772</v>
      </c>
      <c r="C5" s="447">
        <v>0.74373795761078998</v>
      </c>
      <c r="D5" s="448">
        <v>8980749.2300000042</v>
      </c>
      <c r="E5" s="447">
        <v>0.88010737170716413</v>
      </c>
      <c r="F5" s="449">
        <v>266</v>
      </c>
      <c r="G5" s="450">
        <v>0.25626204238921002</v>
      </c>
      <c r="H5" s="451">
        <v>1223402.58</v>
      </c>
      <c r="I5" s="452">
        <v>0.11989262829283601</v>
      </c>
      <c r="K5" s="277"/>
      <c r="L5" s="277"/>
      <c r="M5" s="277"/>
      <c r="N5" s="277"/>
      <c r="O5" s="277"/>
      <c r="P5" s="277"/>
      <c r="Q5" s="277"/>
      <c r="R5" s="277"/>
      <c r="S5" s="277"/>
    </row>
    <row r="6" spans="1:19" x14ac:dyDescent="0.25">
      <c r="K6" s="277"/>
      <c r="L6" s="277"/>
      <c r="M6" s="277"/>
      <c r="N6" s="277"/>
      <c r="O6" s="277"/>
      <c r="P6" s="277"/>
      <c r="Q6" s="277"/>
      <c r="R6" s="277"/>
      <c r="S6" s="277"/>
    </row>
    <row r="7" spans="1:19" x14ac:dyDescent="0.25">
      <c r="K7" s="277"/>
      <c r="L7" s="277"/>
      <c r="M7" s="277"/>
      <c r="N7" s="277"/>
      <c r="O7" s="277"/>
      <c r="P7" s="277"/>
      <c r="Q7" s="277"/>
      <c r="R7" s="277"/>
      <c r="S7" s="277"/>
    </row>
    <row r="8" spans="1:19" x14ac:dyDescent="0.25">
      <c r="K8" s="277"/>
      <c r="L8" s="277"/>
      <c r="M8" s="277"/>
      <c r="N8" s="277"/>
      <c r="O8" s="277"/>
      <c r="P8" s="277"/>
      <c r="Q8" s="277"/>
      <c r="R8" s="277"/>
      <c r="S8" s="277"/>
    </row>
    <row r="9" spans="1:19" x14ac:dyDescent="0.25">
      <c r="K9" s="277"/>
      <c r="L9" s="277"/>
      <c r="M9" s="277"/>
      <c r="N9" s="277"/>
      <c r="O9" s="277"/>
      <c r="P9" s="277"/>
      <c r="Q9" s="277"/>
      <c r="R9" s="277"/>
      <c r="S9" s="277"/>
    </row>
    <row r="10" spans="1:19" x14ac:dyDescent="0.25">
      <c r="K10" s="277"/>
      <c r="L10" s="277"/>
      <c r="M10" s="277"/>
      <c r="N10" s="277"/>
      <c r="O10" s="277"/>
      <c r="P10" s="277"/>
      <c r="Q10" s="277"/>
      <c r="R10" s="277"/>
      <c r="S10" s="277"/>
    </row>
    <row r="11" spans="1:19" x14ac:dyDescent="0.25">
      <c r="K11" s="277"/>
      <c r="L11" s="277"/>
      <c r="M11" s="277"/>
      <c r="N11" s="277"/>
      <c r="O11" s="277"/>
      <c r="P11" s="277"/>
      <c r="Q11" s="277"/>
      <c r="R11" s="277"/>
      <c r="S11" s="277"/>
    </row>
    <row r="12" spans="1:19" x14ac:dyDescent="0.25">
      <c r="K12" s="277"/>
      <c r="L12" s="277"/>
      <c r="M12" s="277"/>
      <c r="N12" s="277"/>
      <c r="O12" s="277"/>
      <c r="P12" s="277"/>
      <c r="Q12" s="277"/>
      <c r="R12" s="277"/>
      <c r="S12" s="277"/>
    </row>
    <row r="13" spans="1:19" x14ac:dyDescent="0.25">
      <c r="K13" s="277"/>
      <c r="L13" s="277"/>
      <c r="M13" s="277"/>
      <c r="N13" s="277"/>
      <c r="O13" s="277"/>
      <c r="P13" s="277"/>
      <c r="Q13" s="277"/>
      <c r="R13" s="277"/>
      <c r="S13" s="277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7"/>
  <sheetViews>
    <sheetView showGridLines="0" workbookViewId="0">
      <selection activeCell="F9" sqref="F9"/>
    </sheetView>
  </sheetViews>
  <sheetFormatPr defaultRowHeight="15" x14ac:dyDescent="0.25"/>
  <cols>
    <col min="1" max="1" width="100.7109375" customWidth="1"/>
    <col min="2" max="2" width="15.7109375" style="138" customWidth="1"/>
    <col min="3" max="3" width="15.7109375" customWidth="1"/>
  </cols>
  <sheetData>
    <row r="1" spans="1:5" ht="21" x14ac:dyDescent="0.35">
      <c r="A1" s="233" t="s">
        <v>698</v>
      </c>
      <c r="B1" s="540"/>
      <c r="E1" s="233" t="s">
        <v>697</v>
      </c>
    </row>
    <row r="2" spans="1:5" x14ac:dyDescent="0.25">
      <c r="A2" s="138" t="s">
        <v>499</v>
      </c>
      <c r="B2" s="138" t="s">
        <v>699</v>
      </c>
      <c r="C2" s="138" t="s">
        <v>47</v>
      </c>
    </row>
    <row r="3" spans="1:5" x14ac:dyDescent="0.25">
      <c r="A3" t="s">
        <v>1084</v>
      </c>
      <c r="C3" s="536" t="s">
        <v>1083</v>
      </c>
    </row>
    <row r="4" spans="1:5" ht="45" x14ac:dyDescent="0.25">
      <c r="A4" s="535" t="s">
        <v>1181</v>
      </c>
      <c r="C4" s="537" t="s">
        <v>1083</v>
      </c>
    </row>
    <row r="5" spans="1:5" x14ac:dyDescent="0.25">
      <c r="A5" t="s">
        <v>1062</v>
      </c>
      <c r="C5" s="537" t="s">
        <v>1083</v>
      </c>
    </row>
    <row r="6" spans="1:5" x14ac:dyDescent="0.25">
      <c r="A6" t="s">
        <v>1063</v>
      </c>
      <c r="C6" s="537" t="s">
        <v>1083</v>
      </c>
    </row>
    <row r="7" spans="1:5" x14ac:dyDescent="0.25">
      <c r="A7" t="s">
        <v>1290</v>
      </c>
      <c r="C7" s="537" t="s">
        <v>1083</v>
      </c>
    </row>
    <row r="8" spans="1:5" x14ac:dyDescent="0.25">
      <c r="A8" t="s">
        <v>1185</v>
      </c>
      <c r="C8" s="537" t="s">
        <v>1083</v>
      </c>
    </row>
    <row r="9" spans="1:5" x14ac:dyDescent="0.25">
      <c r="A9" t="s">
        <v>1292</v>
      </c>
      <c r="C9" s="537" t="s">
        <v>1083</v>
      </c>
    </row>
    <row r="10" spans="1:5" x14ac:dyDescent="0.25">
      <c r="A10" t="s">
        <v>1180</v>
      </c>
      <c r="C10" s="537" t="s">
        <v>1083</v>
      </c>
    </row>
    <row r="11" spans="1:5" x14ac:dyDescent="0.25">
      <c r="A11" t="s">
        <v>1291</v>
      </c>
      <c r="B11" s="541">
        <v>46204</v>
      </c>
      <c r="C11" s="538" t="s">
        <v>703</v>
      </c>
    </row>
    <row r="12" spans="1:5" x14ac:dyDescent="0.25">
      <c r="A12" t="s">
        <v>702</v>
      </c>
      <c r="B12" s="541">
        <v>46204</v>
      </c>
      <c r="C12" s="537" t="s">
        <v>703</v>
      </c>
    </row>
    <row r="13" spans="1:5" x14ac:dyDescent="0.25">
      <c r="A13" t="s">
        <v>1061</v>
      </c>
      <c r="C13" s="537" t="s">
        <v>703</v>
      </c>
    </row>
    <row r="14" spans="1:5" x14ac:dyDescent="0.25">
      <c r="A14" t="s">
        <v>696</v>
      </c>
      <c r="B14" s="138" t="s">
        <v>39</v>
      </c>
      <c r="C14" s="537" t="s">
        <v>692</v>
      </c>
    </row>
    <row r="15" spans="1:5" x14ac:dyDescent="0.25">
      <c r="A15" t="s">
        <v>695</v>
      </c>
      <c r="B15" s="138" t="s">
        <v>39</v>
      </c>
      <c r="C15" s="539" t="s">
        <v>692</v>
      </c>
    </row>
    <row r="16" spans="1:5" x14ac:dyDescent="0.25">
      <c r="A16" t="s">
        <v>694</v>
      </c>
      <c r="B16" s="541">
        <v>46204</v>
      </c>
      <c r="C16" s="539" t="s">
        <v>692</v>
      </c>
    </row>
    <row r="17" spans="1:3" x14ac:dyDescent="0.25">
      <c r="A17" t="s">
        <v>693</v>
      </c>
      <c r="B17" s="541">
        <v>46204</v>
      </c>
      <c r="C17" s="539" t="s">
        <v>692</v>
      </c>
    </row>
  </sheetData>
  <conditionalFormatting sqref="C3:C97">
    <cfRule type="cellIs" dxfId="20" priority="1" operator="equal">
      <formula>"Em andamento"</formula>
    </cfRule>
    <cfRule type="cellIs" dxfId="19" priority="2" operator="equal">
      <formula>"Não concluído"</formula>
    </cfRule>
    <cfRule type="cellIs" dxfId="18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45"/>
  <sheetViews>
    <sheetView showGridLines="0" topLeftCell="A78" zoomScale="80" workbookViewId="0">
      <selection activeCell="E232" sqref="E232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4" t="s">
        <v>486</v>
      </c>
      <c r="C1" s="155">
        <f>DATE(2025,1,1)</f>
        <v>45658</v>
      </c>
      <c r="H1" s="156" t="s">
        <v>684</v>
      </c>
      <c r="J1" s="156" t="s">
        <v>487</v>
      </c>
      <c r="O1" s="154" t="s">
        <v>489</v>
      </c>
      <c r="P1" s="154" t="s">
        <v>352</v>
      </c>
      <c r="R1" s="268">
        <v>1</v>
      </c>
      <c r="S1" s="294" t="e" cm="1" vm="1">
        <f t="array" ref="S1">SUMPRODUCT(
tb_desp[valor]*
(tb_desp[centro.negocio]=S$2)*
(tb_desp[data.pagamento]&gt;='n&amp;cn'!$C$1)*
(tb_desp[data.pagamento]&lt;='n&amp;cn'!$C$2)
)</f>
        <v>#VALUE!</v>
      </c>
      <c r="T1" s="268">
        <v>2</v>
      </c>
      <c r="U1" s="294" cm="1">
        <f t="array" ref="U1">SUMPRODUCT(
tb_desp[valor]*
(tb_desp[centro.negocio]=U$2)*
(tb_desp[data.pagamento]&gt;='n&amp;cn'!$C$1)*
(tb_desp[data.pagamento]&lt;='n&amp;cn'!$C$2)
)</f>
        <v>0</v>
      </c>
      <c r="V1" s="268">
        <v>3</v>
      </c>
      <c r="W1" s="294" cm="1">
        <f t="array" ref="W1">SUMPRODUCT(
tb_desp[valor]*
(tb_desp[centro.negocio]=W$2)*
(tb_desp[data.pagamento]&gt;='n&amp;cn'!$C$1)*
(tb_desp[data.pagamento]&lt;='n&amp;cn'!$C$2)
)</f>
        <v>0</v>
      </c>
      <c r="X1" s="268">
        <v>4</v>
      </c>
      <c r="Y1" s="294" cm="1">
        <f t="array" ref="Y1">SUMPRODUCT(
tb_desp[valor]*
(tb_desp[centro.negocio]=Y$2)*
(tb_desp[data.pagamento]&gt;='n&amp;cn'!$C$1)*
(tb_desp[data.pagamento]&lt;='n&amp;cn'!$C$2)
)</f>
        <v>0</v>
      </c>
      <c r="Z1" s="268">
        <v>5</v>
      </c>
      <c r="AA1" s="294" cm="1">
        <f t="array" ref="AA1">SUMPRODUCT(
tb_desp[valor]*
(tb_desp[centro.negocio]=AA$2)*
(tb_desp[data.pagamento]&gt;='n&amp;cn'!$C$1)*
(tb_desp[data.pagamento]&lt;='n&amp;cn'!$C$2)
)</f>
        <v>0</v>
      </c>
      <c r="AB1" s="268">
        <v>6</v>
      </c>
      <c r="AC1" s="294" cm="1">
        <f t="array" ref="AC1">SUMPRODUCT(
tb_desp[valor]*
(tb_desp[centro.negocio]=AC$2)*
(tb_desp[data.pagamento]&gt;='n&amp;cn'!$C$1)*
(tb_desp[data.pagamento]&lt;='n&amp;cn'!$C$2)
)</f>
        <v>0</v>
      </c>
      <c r="AD1" s="268">
        <v>7</v>
      </c>
      <c r="AE1" s="294" cm="1">
        <f t="array" ref="AE1">SUMPRODUCT(
tb_desp[valor]*
(tb_desp[centro.negocio]=AE$2)*
(tb_desp[data.pagamento]&gt;='n&amp;cn'!$C$1)*
(tb_desp[data.pagamento]&lt;='n&amp;cn'!$C$2)
)</f>
        <v>0</v>
      </c>
      <c r="AF1" s="268">
        <v>8</v>
      </c>
      <c r="AG1" s="294" cm="1">
        <f t="array" ref="AG1">SUMPRODUCT(
tb_desp[valor]*
(tb_desp[centro.negocio]=AG$2)*
(tb_desp[data.pagamento]&gt;='n&amp;cn'!$C$1)*
(tb_desp[data.pagamento]&lt;='n&amp;cn'!$C$2)
)</f>
        <v>0</v>
      </c>
      <c r="AH1" s="268">
        <v>9</v>
      </c>
      <c r="AI1" s="294" cm="1">
        <f t="array" ref="AI1">SUMPRODUCT(
tb_desp[valor]*
(tb_desp[centro.negocio]=AI$2)*
(tb_desp[data.pagamento]&gt;='n&amp;cn'!$C$1)*
(tb_desp[data.pagamento]&lt;='n&amp;cn'!$C$2)
)</f>
        <v>0</v>
      </c>
      <c r="AJ1" s="268">
        <v>10</v>
      </c>
      <c r="AK1" s="294" cm="1">
        <f t="array" ref="AK1">SUMPRODUCT(
tb_desp[valor]*
(tb_desp[centro.negocio]=AK$2)*
(tb_desp[data.pagamento]&gt;='n&amp;cn'!$C$1)*
(tb_desp[data.pagamento]&lt;='n&amp;cn'!$C$2)
)</f>
        <v>0</v>
      </c>
      <c r="AL1" s="268">
        <v>11</v>
      </c>
      <c r="AM1" s="294" cm="1">
        <f t="array" ref="AM1">SUMPRODUCT(
tb_desp[valor]*
(tb_desp[centro.negocio]=AM$2)*
(tb_desp[data.pagamento]&gt;='n&amp;cn'!$C$1)*
(tb_desp[data.pagamento]&lt;='n&amp;cn'!$C$2)
)</f>
        <v>0</v>
      </c>
      <c r="AN1" s="268">
        <v>12</v>
      </c>
      <c r="AO1" s="294" cm="1">
        <f t="array" ref="AO1">SUMPRODUCT(
tb_desp[valor]*
(tb_desp[centro.negocio]=AO$2)*
(tb_desp[data.pagamento]&gt;='n&amp;cn'!$C$1)*
(tb_desp[data.pagamento]&lt;='n&amp;cn'!$C$2)
)</f>
        <v>0</v>
      </c>
      <c r="AP1" s="268">
        <v>13</v>
      </c>
      <c r="AQ1" s="294" cm="1">
        <f t="array" ref="AQ1">SUMPRODUCT(
tb_desp[valor]*
(tb_desp[centro.negocio]=AQ$2)*
(tb_desp[data.pagamento]&gt;='n&amp;cn'!$C$1)*
(tb_desp[data.pagamento]&lt;='n&amp;cn'!$C$2)
)</f>
        <v>0</v>
      </c>
      <c r="AR1" s="268">
        <v>14</v>
      </c>
      <c r="AS1" s="294" cm="1">
        <f t="array" ref="AS1">SUMPRODUCT(
tb_desp[valor]*
(tb_desp[centro.negocio]=AS$2)*
(tb_desp[data.pagamento]&gt;='n&amp;cn'!$C$1)*
(tb_desp[data.pagamento]&lt;='n&amp;cn'!$C$2)
)</f>
        <v>0</v>
      </c>
      <c r="AT1" s="268">
        <v>15</v>
      </c>
      <c r="AU1" s="294" cm="1">
        <f t="array" ref="AU1">SUMPRODUCT(
tb_desp[valor]*
(tb_desp[centro.negocio]=AU$2)*
(tb_desp[data.pagamento]&gt;='n&amp;cn'!$C$1)*
(tb_desp[data.pagamento]&lt;='n&amp;cn'!$C$2)
)</f>
        <v>0</v>
      </c>
      <c r="AV1" s="268">
        <v>16</v>
      </c>
      <c r="AW1" s="294" cm="1">
        <f t="array" ref="AW1">SUMPRODUCT(
tb_desp[valor]*
(tb_desp[centro.negocio]=AW$2)*
(tb_desp[data.pagamento]&gt;='n&amp;cn'!$C$1)*
(tb_desp[data.pagamento]&lt;='n&amp;cn'!$C$2)
)</f>
        <v>0</v>
      </c>
      <c r="AX1" s="268">
        <v>17</v>
      </c>
      <c r="AY1" s="294" cm="1">
        <f t="array" ref="AY1">SUMPRODUCT(
tb_desp[valor]*
(tb_desp[centro.negocio]=AY$2)*
(tb_desp[data.pagamento]&gt;='n&amp;cn'!$C$1)*
(tb_desp[data.pagamento]&lt;='n&amp;cn'!$C$2)
)</f>
        <v>0</v>
      </c>
      <c r="AZ1" s="268">
        <v>18</v>
      </c>
      <c r="BA1" s="294" cm="1">
        <f t="array" ref="BA1">SUMPRODUCT(
tb_desp[valor]*
(tb_desp[centro.negocio]=BA$2)*
(tb_desp[data.pagamento]&gt;='n&amp;cn'!$C$1)*
(tb_desp[data.pagamento]&lt;='n&amp;cn'!$C$2)
)</f>
        <v>0</v>
      </c>
      <c r="BB1" s="268">
        <v>19</v>
      </c>
      <c r="BC1" s="294" cm="1">
        <f t="array" ref="BC1">SUMPRODUCT(
tb_desp[valor]*
(tb_desp[centro.negocio]=BC$2)*
(tb_desp[data.pagamento]&gt;='n&amp;cn'!$C$1)*
(tb_desp[data.pagamento]&lt;='n&amp;cn'!$C$2)
)</f>
        <v>0</v>
      </c>
      <c r="BD1" s="268">
        <v>20</v>
      </c>
      <c r="BE1" s="294" cm="1">
        <f t="array" ref="BE1">SUMPRODUCT(
tb_desp[valor]*
(tb_desp[centro.negocio]=BE$2)*
(tb_desp[data.pagamento]&gt;='n&amp;cn'!$C$1)*
(tb_desp[data.pagamento]&lt;='n&amp;cn'!$C$2)
)</f>
        <v>0</v>
      </c>
      <c r="BF1" s="268">
        <v>21</v>
      </c>
      <c r="BG1" s="294" cm="1">
        <f t="array" ref="BG1">SUMPRODUCT(
tb_desp[valor]*
(tb_desp[centro.negocio]=BG$2)*
(tb_desp[data.pagamento]&gt;='n&amp;cn'!$C$1)*
(tb_desp[data.pagamento]&lt;='n&amp;cn'!$C$2)
)</f>
        <v>0</v>
      </c>
      <c r="BH1" s="268">
        <v>22</v>
      </c>
      <c r="BI1" s="294" cm="1">
        <f t="array" ref="BI1">SUMPRODUCT(
tb_desp[valor]*
(tb_desp[centro.negocio]=BI$2)*
(tb_desp[data.pagamento]&gt;='n&amp;cn'!$C$1)*
(tb_desp[data.pagamento]&lt;='n&amp;cn'!$C$2)
)</f>
        <v>0</v>
      </c>
      <c r="BJ1" s="268">
        <v>23</v>
      </c>
      <c r="BK1" s="294" cm="1">
        <f t="array" ref="BK1">SUMPRODUCT(
tb_desp[valor]*
(tb_desp[centro.negocio]=BK$2)*
(tb_desp[data.pagamento]&gt;='n&amp;cn'!$C$1)*
(tb_desp[data.pagamento]&lt;='n&amp;cn'!$C$2)
)</f>
        <v>0</v>
      </c>
      <c r="BL1" s="268">
        <v>24</v>
      </c>
      <c r="BM1" s="294" cm="1">
        <f t="array" ref="BM1">SUMPRODUCT(
tb_desp[valor]*
(tb_desp[centro.negocio]=BM$2)*
(tb_desp[data.pagamento]&gt;='n&amp;cn'!$C$1)*
(tb_desp[data.pagamento]&lt;='n&amp;cn'!$C$2)
)</f>
        <v>0</v>
      </c>
      <c r="BN1" s="268">
        <v>25</v>
      </c>
      <c r="BO1" s="294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4" t="s">
        <v>490</v>
      </c>
      <c r="C2" s="155">
        <f>inputs!A1</f>
        <v>46203</v>
      </c>
      <c r="H2" s="158" t="s">
        <v>685</v>
      </c>
      <c r="J2" s="157" t="s">
        <v>488</v>
      </c>
      <c r="R2" s="269" t="s">
        <v>687</v>
      </c>
      <c r="S2" s="296" t="e" vm="1">
        <f>VLOOKUP(R$1,$I$14:$J$305,2)</f>
        <v>#VALUE!</v>
      </c>
      <c r="T2" s="269" t="s">
        <v>687</v>
      </c>
      <c r="U2" s="296">
        <f>VLOOKUP(T$1,$I$14:$J$305,2)</f>
        <v>0</v>
      </c>
      <c r="V2" s="269" t="s">
        <v>687</v>
      </c>
      <c r="W2" s="296">
        <f>VLOOKUP(V$1,$I$14:$J$305,2)</f>
        <v>0</v>
      </c>
      <c r="X2" s="269" t="s">
        <v>687</v>
      </c>
      <c r="Y2" s="296">
        <f>VLOOKUP(X$1,$I$14:$J$305,2)</f>
        <v>0</v>
      </c>
      <c r="Z2" s="269" t="s">
        <v>687</v>
      </c>
      <c r="AA2" s="296">
        <f>VLOOKUP(Z$1,$I$14:$J$305,2)</f>
        <v>0</v>
      </c>
      <c r="AB2" s="269" t="s">
        <v>687</v>
      </c>
      <c r="AC2" s="296">
        <f>VLOOKUP(AB$1,$I$14:$J$305,2)</f>
        <v>0</v>
      </c>
      <c r="AD2" s="269" t="s">
        <v>687</v>
      </c>
      <c r="AE2" s="296">
        <f>VLOOKUP(AD$1,$I$14:$J$305,2)</f>
        <v>0</v>
      </c>
      <c r="AF2" s="269" t="s">
        <v>687</v>
      </c>
      <c r="AG2" s="296">
        <f>VLOOKUP(AF$1,$I$14:$J$305,2)</f>
        <v>0</v>
      </c>
      <c r="AH2" s="269" t="s">
        <v>687</v>
      </c>
      <c r="AI2" s="296">
        <f>VLOOKUP(AH$1,$I$14:$J$305,2)</f>
        <v>0</v>
      </c>
      <c r="AJ2" s="269" t="s">
        <v>687</v>
      </c>
      <c r="AK2" s="296">
        <f>VLOOKUP(AJ$1,$I$14:$J$305,2)</f>
        <v>0</v>
      </c>
      <c r="AL2" s="269" t="s">
        <v>687</v>
      </c>
      <c r="AM2" s="296">
        <f>VLOOKUP(AL$1,$I$14:$J$305,2)</f>
        <v>0</v>
      </c>
      <c r="AN2" s="269" t="s">
        <v>687</v>
      </c>
      <c r="AO2" s="296">
        <f>VLOOKUP(AN$1,$I$14:$J$305,2)</f>
        <v>0</v>
      </c>
      <c r="AP2" s="269" t="s">
        <v>687</v>
      </c>
      <c r="AQ2" s="296">
        <f>VLOOKUP(AP$1,$I$14:$J$305,2)</f>
        <v>0</v>
      </c>
      <c r="AR2" s="269" t="s">
        <v>687</v>
      </c>
      <c r="AS2" s="296">
        <f>VLOOKUP(AR$1,$I$14:$J$305,2)</f>
        <v>0</v>
      </c>
      <c r="AT2" s="269" t="s">
        <v>687</v>
      </c>
      <c r="AU2" s="296">
        <f>VLOOKUP(AT$1,$I$14:$J$305,2)</f>
        <v>0</v>
      </c>
      <c r="AV2" s="269" t="s">
        <v>687</v>
      </c>
      <c r="AW2" s="296">
        <f>VLOOKUP(AV$1,$I$14:$J$305,2)</f>
        <v>0</v>
      </c>
      <c r="AX2" s="269" t="s">
        <v>687</v>
      </c>
      <c r="AY2" s="296">
        <f>VLOOKUP(AX$1,$I$14:$J$305,2)</f>
        <v>0</v>
      </c>
      <c r="AZ2" s="269" t="s">
        <v>687</v>
      </c>
      <c r="BA2" s="296">
        <f>VLOOKUP(AZ$1,$I$14:$J$305,2)</f>
        <v>0</v>
      </c>
      <c r="BB2" s="269" t="s">
        <v>687</v>
      </c>
      <c r="BC2" s="296">
        <f>VLOOKUP(BB$1,$I$14:$J$305,2)</f>
        <v>0</v>
      </c>
      <c r="BD2" s="269" t="s">
        <v>687</v>
      </c>
      <c r="BE2" s="296">
        <f>VLOOKUP(BD$1,$I$14:$J$305,2)</f>
        <v>0</v>
      </c>
      <c r="BF2" s="269" t="s">
        <v>687</v>
      </c>
      <c r="BG2" s="296">
        <f>VLOOKUP(BF$1,$I$14:$J$305,2)</f>
        <v>0</v>
      </c>
      <c r="BH2" s="269" t="s">
        <v>687</v>
      </c>
      <c r="BI2" s="296">
        <f>VLOOKUP(BH$1,$I$14:$J$305,2)</f>
        <v>0</v>
      </c>
      <c r="BJ2" s="269" t="s">
        <v>687</v>
      </c>
      <c r="BK2" s="296">
        <f>VLOOKUP(BJ$1,$I$14:$J$305,2)</f>
        <v>0</v>
      </c>
      <c r="BL2" s="269" t="s">
        <v>687</v>
      </c>
      <c r="BM2" s="296">
        <f>VLOOKUP(BL$1,$I$14:$J$305,2)</f>
        <v>0</v>
      </c>
      <c r="BN2" s="269" t="s">
        <v>687</v>
      </c>
      <c r="BO2" s="296">
        <f>VLOOKUP(BN$1,$I$14:$J$305,2)</f>
        <v>0</v>
      </c>
    </row>
    <row r="3" spans="1:67" x14ac:dyDescent="0.25">
      <c r="H3" s="159" t="s">
        <v>686</v>
      </c>
      <c r="J3" s="158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9" t="s">
        <v>688</v>
      </c>
      <c r="S3" s="270">
        <f>COUNTA(S$4:S$107)</f>
        <v>1</v>
      </c>
      <c r="T3" s="269" t="s">
        <v>688</v>
      </c>
      <c r="U3" s="270">
        <f>COUNTA(U$4:U$107)</f>
        <v>1</v>
      </c>
      <c r="V3" s="269" t="s">
        <v>688</v>
      </c>
      <c r="W3" s="270">
        <f>COUNTA(W$4:W$107)</f>
        <v>1</v>
      </c>
      <c r="X3" s="269" t="s">
        <v>688</v>
      </c>
      <c r="Y3" s="270">
        <f>COUNTA(Y$4:Y$107)</f>
        <v>1</v>
      </c>
      <c r="Z3" s="269" t="s">
        <v>688</v>
      </c>
      <c r="AA3" s="270">
        <f>COUNTA(AA$4:AA$107)</f>
        <v>1</v>
      </c>
      <c r="AB3" s="269" t="s">
        <v>688</v>
      </c>
      <c r="AC3" s="270">
        <f>COUNTA(AC$4:AC$107)</f>
        <v>1</v>
      </c>
      <c r="AD3" s="269" t="s">
        <v>688</v>
      </c>
      <c r="AE3" s="270">
        <f>COUNTA(AE$4:AE$107)</f>
        <v>1</v>
      </c>
      <c r="AF3" s="269" t="s">
        <v>688</v>
      </c>
      <c r="AG3" s="270">
        <f>COUNTA(AG$4:AG$107)</f>
        <v>1</v>
      </c>
      <c r="AH3" s="269" t="s">
        <v>688</v>
      </c>
      <c r="AI3" s="270">
        <f>COUNTA(AI$4:AI$107)</f>
        <v>1</v>
      </c>
      <c r="AJ3" s="269" t="s">
        <v>688</v>
      </c>
      <c r="AK3" s="270">
        <f>COUNTA(AK$4:AK$107)</f>
        <v>1</v>
      </c>
      <c r="AL3" s="269" t="s">
        <v>688</v>
      </c>
      <c r="AM3" s="270">
        <f>COUNTA(AM$4:AM$107)</f>
        <v>1</v>
      </c>
      <c r="AN3" s="269" t="s">
        <v>688</v>
      </c>
      <c r="AO3" s="270">
        <f>COUNTA(AO$4:AO$107)</f>
        <v>1</v>
      </c>
      <c r="AP3" s="269" t="s">
        <v>688</v>
      </c>
      <c r="AQ3" s="270">
        <f>COUNTA(AQ$4:AQ$107)</f>
        <v>1</v>
      </c>
      <c r="AR3" s="269" t="s">
        <v>688</v>
      </c>
      <c r="AS3" s="270">
        <f>COUNTA(AS$4:AS$107)</f>
        <v>1</v>
      </c>
      <c r="AT3" s="269" t="s">
        <v>688</v>
      </c>
      <c r="AU3" s="270">
        <f>COUNTA(AU$4:AU$107)</f>
        <v>1</v>
      </c>
      <c r="AV3" s="269" t="s">
        <v>688</v>
      </c>
      <c r="AW3" s="270">
        <f>COUNTA(AW$4:AW$107)</f>
        <v>1</v>
      </c>
      <c r="AX3" s="269" t="s">
        <v>688</v>
      </c>
      <c r="AY3" s="270">
        <f>COUNTA(AY$4:AY$107)</f>
        <v>1</v>
      </c>
      <c r="AZ3" s="269" t="s">
        <v>688</v>
      </c>
      <c r="BA3" s="270">
        <f>COUNTA(BA$4:BA$107)</f>
        <v>1</v>
      </c>
      <c r="BB3" s="269" t="s">
        <v>688</v>
      </c>
      <c r="BC3" s="270">
        <f>COUNTA(BC$4:BC$107)</f>
        <v>1</v>
      </c>
      <c r="BD3" s="269" t="s">
        <v>688</v>
      </c>
      <c r="BE3" s="270">
        <f>COUNTA(BE$4:BE$107)</f>
        <v>1</v>
      </c>
      <c r="BF3" s="269" t="s">
        <v>688</v>
      </c>
      <c r="BG3" s="270">
        <f>COUNTA(BG$4:BG$107)</f>
        <v>1</v>
      </c>
      <c r="BH3" s="269" t="s">
        <v>688</v>
      </c>
      <c r="BI3" s="270">
        <f>COUNTA(BI$4:BI$107)</f>
        <v>1</v>
      </c>
      <c r="BJ3" s="269" t="s">
        <v>688</v>
      </c>
      <c r="BK3" s="270">
        <f>COUNTA(BK$4:BK$107)</f>
        <v>1</v>
      </c>
      <c r="BL3" s="269" t="s">
        <v>688</v>
      </c>
      <c r="BM3" s="270">
        <f>COUNTA(BM$4:BM$107)</f>
        <v>1</v>
      </c>
      <c r="BN3" s="269" t="s">
        <v>688</v>
      </c>
      <c r="BO3" s="270">
        <f>COUNTA(BO$4:BO$107)</f>
        <v>1</v>
      </c>
    </row>
    <row r="4" spans="1:67" x14ac:dyDescent="0.25">
      <c r="J4" s="159" t="s">
        <v>492</v>
      </c>
      <c r="R4" s="295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71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5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71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5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71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5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71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5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71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5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71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5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71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5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71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5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71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5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71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5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71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5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71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5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71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5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71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5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71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5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71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5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71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5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71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5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71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5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71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5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71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5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71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5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71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5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71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5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71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5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72"/>
      <c r="T5" s="295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72"/>
      <c r="V5" s="295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72"/>
      <c r="X5" s="295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72"/>
      <c r="Z5" s="295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72"/>
      <c r="AB5" s="295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72"/>
      <c r="AD5" s="295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72"/>
      <c r="AF5" s="295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72"/>
      <c r="AH5" s="295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72"/>
      <c r="AJ5" s="295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72"/>
      <c r="AL5" s="295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72"/>
      <c r="AN5" s="295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72"/>
      <c r="AP5" s="295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72"/>
      <c r="AR5" s="295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72"/>
      <c r="AT5" s="295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72"/>
      <c r="AV5" s="295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72"/>
      <c r="AX5" s="295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72"/>
      <c r="AZ5" s="295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72"/>
      <c r="BB5" s="295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72"/>
      <c r="BD5" s="295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72"/>
      <c r="BF5" s="295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72"/>
      <c r="BH5" s="295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72"/>
      <c r="BJ5" s="295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72"/>
      <c r="BL5" s="295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72"/>
      <c r="BN5" s="295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72"/>
    </row>
    <row r="6" spans="1:67" x14ac:dyDescent="0.25">
      <c r="H6" s="159" t="s">
        <v>729</v>
      </c>
      <c r="R6" s="295"/>
      <c r="S6" s="272"/>
      <c r="T6" s="295"/>
      <c r="U6" s="272"/>
      <c r="V6" s="295"/>
      <c r="W6" s="272"/>
      <c r="X6" s="295"/>
      <c r="Y6" s="272"/>
      <c r="Z6" s="295"/>
      <c r="AA6" s="272"/>
      <c r="AB6" s="295"/>
      <c r="AC6" s="272"/>
      <c r="AD6" s="295"/>
      <c r="AE6" s="272"/>
      <c r="AF6" s="295"/>
      <c r="AG6" s="272"/>
      <c r="AH6" s="295"/>
      <c r="AI6" s="272"/>
      <c r="AJ6" s="295"/>
      <c r="AK6" s="272"/>
      <c r="AL6" s="295"/>
      <c r="AM6" s="272"/>
      <c r="AN6" s="295"/>
      <c r="AO6" s="272"/>
      <c r="AP6" s="295"/>
      <c r="AQ6" s="272"/>
      <c r="AR6" s="295"/>
      <c r="AS6" s="272"/>
      <c r="AT6" s="295"/>
      <c r="AU6" s="272"/>
      <c r="AV6" s="295"/>
      <c r="AW6" s="272"/>
      <c r="AX6" s="295"/>
      <c r="AY6" s="272"/>
      <c r="AZ6" s="295"/>
      <c r="BA6" s="272"/>
      <c r="BB6" s="295"/>
      <c r="BC6" s="272"/>
      <c r="BD6" s="295"/>
      <c r="BE6" s="272"/>
      <c r="BF6" s="295"/>
      <c r="BG6" s="272"/>
      <c r="BH6" s="295"/>
      <c r="BI6" s="272"/>
      <c r="BJ6" s="295"/>
      <c r="BK6" s="272"/>
      <c r="BL6" s="295"/>
      <c r="BM6" s="272"/>
      <c r="BN6" s="295"/>
      <c r="BO6" s="272"/>
    </row>
    <row r="7" spans="1:67" x14ac:dyDescent="0.25">
      <c r="H7" s="159" t="s">
        <v>723</v>
      </c>
      <c r="R7" s="295"/>
      <c r="S7" s="272"/>
      <c r="T7" s="295"/>
      <c r="U7" s="272"/>
      <c r="V7" s="295"/>
      <c r="W7" s="272"/>
      <c r="X7" s="295"/>
      <c r="Y7" s="272"/>
      <c r="Z7" s="295"/>
      <c r="AA7" s="272"/>
      <c r="AB7" s="295"/>
      <c r="AC7" s="272"/>
      <c r="AD7" s="295"/>
      <c r="AE7" s="272"/>
      <c r="AF7" s="295"/>
      <c r="AG7" s="272"/>
      <c r="AH7" s="295"/>
      <c r="AI7" s="272"/>
      <c r="AJ7" s="295"/>
      <c r="AK7" s="272"/>
      <c r="AL7" s="295"/>
      <c r="AM7" s="272"/>
      <c r="AN7" s="295"/>
      <c r="AO7" s="272"/>
      <c r="AP7" s="295"/>
      <c r="AQ7" s="272"/>
      <c r="AR7" s="295"/>
      <c r="AS7" s="272"/>
      <c r="AT7" s="295"/>
      <c r="AU7" s="272"/>
      <c r="AV7" s="295"/>
      <c r="AW7" s="272"/>
      <c r="AX7" s="295"/>
      <c r="AY7" s="272"/>
      <c r="AZ7" s="295"/>
      <c r="BA7" s="272"/>
      <c r="BB7" s="295"/>
      <c r="BC7" s="272"/>
      <c r="BD7" s="295"/>
      <c r="BE7" s="272"/>
      <c r="BF7" s="295"/>
      <c r="BG7" s="272"/>
      <c r="BH7" s="295"/>
      <c r="BI7" s="272"/>
      <c r="BJ7" s="295"/>
      <c r="BK7" s="272"/>
      <c r="BL7" s="295"/>
      <c r="BM7" s="272"/>
      <c r="BN7" s="295"/>
      <c r="BO7" s="272"/>
    </row>
    <row r="8" spans="1:67" x14ac:dyDescent="0.25">
      <c r="H8" s="159" t="s">
        <v>1029</v>
      </c>
      <c r="R8" s="295"/>
      <c r="S8" s="272"/>
      <c r="T8" s="295"/>
      <c r="U8" s="272"/>
      <c r="V8" s="295"/>
      <c r="W8" s="272"/>
      <c r="X8" s="295"/>
      <c r="Y8" s="272"/>
      <c r="Z8" s="295"/>
      <c r="AA8" s="272"/>
      <c r="AB8" s="295"/>
      <c r="AC8" s="272"/>
      <c r="AD8" s="295"/>
      <c r="AE8" s="272"/>
      <c r="AF8" s="295"/>
      <c r="AG8" s="272"/>
      <c r="AH8" s="295"/>
      <c r="AI8" s="272"/>
      <c r="AJ8" s="295"/>
      <c r="AK8" s="272"/>
      <c r="AL8" s="295"/>
      <c r="AM8" s="272"/>
      <c r="AN8" s="295"/>
      <c r="AO8" s="272"/>
      <c r="AP8" s="295"/>
      <c r="AQ8" s="272"/>
      <c r="AR8" s="295"/>
      <c r="AS8" s="272"/>
      <c r="AT8" s="295"/>
      <c r="AU8" s="272"/>
      <c r="AV8" s="295"/>
      <c r="AW8" s="272"/>
      <c r="AX8" s="295"/>
      <c r="AY8" s="272"/>
      <c r="AZ8" s="295"/>
      <c r="BA8" s="272"/>
      <c r="BB8" s="295"/>
      <c r="BC8" s="272"/>
      <c r="BD8" s="295"/>
      <c r="BE8" s="272"/>
      <c r="BF8" s="295"/>
      <c r="BG8" s="272"/>
      <c r="BH8" s="295"/>
      <c r="BI8" s="272"/>
      <c r="BJ8" s="295"/>
      <c r="BK8" s="272"/>
      <c r="BL8" s="295"/>
      <c r="BM8" s="272"/>
      <c r="BN8" s="295"/>
      <c r="BO8" s="272"/>
    </row>
    <row r="9" spans="1:67" x14ac:dyDescent="0.25">
      <c r="H9" s="156" t="s">
        <v>1204</v>
      </c>
      <c r="R9" s="295"/>
      <c r="S9" s="272"/>
      <c r="T9" s="295"/>
      <c r="U9" s="272"/>
      <c r="V9" s="295"/>
      <c r="W9" s="272"/>
      <c r="X9" s="295"/>
      <c r="Y9" s="272"/>
      <c r="Z9" s="295"/>
      <c r="AA9" s="272"/>
      <c r="AB9" s="295"/>
      <c r="AC9" s="272"/>
      <c r="AD9" s="295"/>
      <c r="AE9" s="272"/>
      <c r="AF9" s="295"/>
      <c r="AG9" s="272"/>
      <c r="AH9" s="295"/>
      <c r="AI9" s="272"/>
      <c r="AJ9" s="295"/>
      <c r="AK9" s="272"/>
      <c r="AL9" s="295"/>
      <c r="AM9" s="272"/>
      <c r="AN9" s="295"/>
      <c r="AO9" s="272"/>
      <c r="AP9" s="295"/>
      <c r="AQ9" s="272"/>
      <c r="AR9" s="295"/>
      <c r="AS9" s="272"/>
      <c r="AT9" s="295"/>
      <c r="AU9" s="272"/>
      <c r="AV9" s="295"/>
      <c r="AW9" s="272"/>
      <c r="AX9" s="295"/>
      <c r="AY9" s="272"/>
      <c r="AZ9" s="295"/>
      <c r="BA9" s="272"/>
      <c r="BB9" s="295"/>
      <c r="BC9" s="272"/>
      <c r="BD9" s="295"/>
      <c r="BE9" s="272"/>
      <c r="BF9" s="295"/>
      <c r="BG9" s="272"/>
      <c r="BH9" s="295"/>
      <c r="BI9" s="272"/>
      <c r="BJ9" s="295"/>
      <c r="BK9" s="272"/>
      <c r="BL9" s="295"/>
      <c r="BM9" s="272"/>
      <c r="BN9" s="295"/>
      <c r="BO9" s="272"/>
    </row>
    <row r="10" spans="1:67" x14ac:dyDescent="0.25">
      <c r="H10" s="156" t="s">
        <v>1205</v>
      </c>
      <c r="R10" s="295"/>
      <c r="S10" s="272"/>
      <c r="T10" s="295"/>
      <c r="U10" s="272"/>
      <c r="V10" s="295"/>
      <c r="W10" s="272"/>
      <c r="X10" s="295"/>
      <c r="Y10" s="272"/>
      <c r="Z10" s="295"/>
      <c r="AA10" s="272"/>
      <c r="AB10" s="295"/>
      <c r="AC10" s="272"/>
      <c r="AD10" s="295"/>
      <c r="AE10" s="272"/>
      <c r="AF10" s="295"/>
      <c r="AG10" s="272"/>
      <c r="AH10" s="295"/>
      <c r="AI10" s="272"/>
      <c r="AJ10" s="295"/>
      <c r="AK10" s="272"/>
      <c r="AL10" s="295"/>
      <c r="AM10" s="272"/>
      <c r="AN10" s="295"/>
      <c r="AO10" s="272"/>
      <c r="AP10" s="295"/>
      <c r="AQ10" s="272"/>
      <c r="AR10" s="295"/>
      <c r="AS10" s="272"/>
      <c r="AT10" s="295"/>
      <c r="AU10" s="272"/>
      <c r="AV10" s="295"/>
      <c r="AW10" s="272"/>
      <c r="AX10" s="295"/>
      <c r="AY10" s="272"/>
      <c r="AZ10" s="295"/>
      <c r="BA10" s="272"/>
      <c r="BB10" s="295"/>
      <c r="BC10" s="272"/>
      <c r="BD10" s="295"/>
      <c r="BE10" s="272"/>
      <c r="BF10" s="295"/>
      <c r="BG10" s="272"/>
      <c r="BH10" s="295"/>
      <c r="BI10" s="272"/>
      <c r="BJ10" s="295"/>
      <c r="BK10" s="272"/>
      <c r="BL10" s="295"/>
      <c r="BM10" s="272"/>
      <c r="BN10" s="295"/>
      <c r="BO10" s="272"/>
    </row>
    <row r="11" spans="1:67" x14ac:dyDescent="0.25">
      <c r="R11" s="295"/>
      <c r="S11" s="272"/>
      <c r="T11" s="295"/>
      <c r="U11" s="272"/>
      <c r="V11" s="295"/>
      <c r="W11" s="272"/>
      <c r="X11" s="295"/>
      <c r="Y11" s="272"/>
      <c r="Z11" s="295"/>
      <c r="AA11" s="272"/>
      <c r="AB11" s="295"/>
      <c r="AC11" s="272"/>
      <c r="AD11" s="295"/>
      <c r="AE11" s="272"/>
      <c r="AF11" s="295"/>
      <c r="AG11" s="272"/>
      <c r="AH11" s="295"/>
      <c r="AI11" s="272"/>
      <c r="AJ11" s="295"/>
      <c r="AK11" s="272"/>
      <c r="AL11" s="295"/>
      <c r="AM11" s="272"/>
      <c r="AN11" s="295"/>
      <c r="AO11" s="272"/>
      <c r="AP11" s="295"/>
      <c r="AQ11" s="272"/>
      <c r="AR11" s="295"/>
      <c r="AS11" s="272"/>
      <c r="AT11" s="295"/>
      <c r="AU11" s="272"/>
      <c r="AV11" s="295"/>
      <c r="AW11" s="272"/>
      <c r="AX11" s="295"/>
      <c r="AY11" s="272"/>
      <c r="AZ11" s="295"/>
      <c r="BA11" s="272"/>
      <c r="BB11" s="295"/>
      <c r="BC11" s="272"/>
      <c r="BD11" s="295"/>
      <c r="BE11" s="272"/>
      <c r="BF11" s="295"/>
      <c r="BG11" s="272"/>
      <c r="BH11" s="295"/>
      <c r="BI11" s="272"/>
      <c r="BJ11" s="295"/>
      <c r="BK11" s="272"/>
      <c r="BL11" s="295"/>
      <c r="BM11" s="272"/>
      <c r="BN11" s="295"/>
      <c r="BO11" s="272"/>
    </row>
    <row r="12" spans="1:67" x14ac:dyDescent="0.25">
      <c r="B12" s="160" t="s">
        <v>493</v>
      </c>
      <c r="C12" s="160"/>
      <c r="H12" s="160" t="s">
        <v>495</v>
      </c>
      <c r="R12" s="295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72"/>
      <c r="T12" s="295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72"/>
      <c r="V12" s="295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72"/>
      <c r="X12" s="295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72"/>
      <c r="Z12" s="295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72"/>
      <c r="AB12" s="295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72"/>
      <c r="AD12" s="295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72"/>
      <c r="AF12" s="295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72"/>
      <c r="AH12" s="295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72"/>
      <c r="AJ12" s="295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72"/>
      <c r="AL12" s="295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72"/>
      <c r="AN12" s="295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72"/>
      <c r="AP12" s="295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72"/>
      <c r="AR12" s="295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72"/>
      <c r="AT12" s="295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72"/>
      <c r="AV12" s="295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72"/>
      <c r="AX12" s="295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72"/>
      <c r="AZ12" s="295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72"/>
      <c r="BB12" s="295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72"/>
      <c r="BD12" s="295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72"/>
      <c r="BF12" s="295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72"/>
      <c r="BH12" s="295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72"/>
      <c r="BJ12" s="295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72"/>
      <c r="BL12" s="295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72"/>
      <c r="BN12" s="295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72"/>
    </row>
    <row r="13" spans="1:67" x14ac:dyDescent="0.25">
      <c r="B13" s="161" t="s">
        <v>496</v>
      </c>
      <c r="C13" s="162" t="s">
        <v>497</v>
      </c>
      <c r="D13" s="163"/>
      <c r="H13" s="290" t="s">
        <v>496</v>
      </c>
      <c r="I13" s="291" t="s">
        <v>497</v>
      </c>
      <c r="J13" s="289"/>
      <c r="K13" s="163"/>
      <c r="R13" s="295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72"/>
      <c r="T13" s="295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72"/>
      <c r="V13" s="295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72"/>
      <c r="X13" s="295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72"/>
      <c r="Z13" s="295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72"/>
      <c r="AB13" s="295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72"/>
      <c r="AD13" s="295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72"/>
      <c r="AF13" s="295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72"/>
      <c r="AH13" s="295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72"/>
      <c r="AJ13" s="295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72"/>
      <c r="AL13" s="295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72"/>
      <c r="AN13" s="295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72"/>
      <c r="AP13" s="295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72"/>
      <c r="AR13" s="295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72"/>
      <c r="AT13" s="295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72"/>
      <c r="AV13" s="295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72"/>
      <c r="AX13" s="295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72"/>
      <c r="AZ13" s="295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72"/>
      <c r="BB13" s="295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72"/>
      <c r="BD13" s="295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72"/>
      <c r="BF13" s="295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72"/>
      <c r="BH13" s="295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72"/>
      <c r="BJ13" s="295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72"/>
      <c r="BL13" s="295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72"/>
      <c r="BN13" s="295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72"/>
    </row>
    <row r="14" spans="1:67" x14ac:dyDescent="0.25">
      <c r="A14">
        <v>1</v>
      </c>
      <c r="B14" s="164" t="e" cm="1" vm="2">
        <f t="array" ref="B14">_xlfn._xlws.SORT(
   _xlfn.UNIQUE(
      _xlfn._xlws.FILTER(
         tb_desp[nucleo],
         (tb_desp[data.pagamento] &gt;= C1) *
         (tb_desp[data.pagamento] &lt;= C2)
      )
   )
)</f>
        <v>#VALUE!</v>
      </c>
      <c r="C14" s="166" t="e" cm="1" vm="2">
        <f t="array" ref="C14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14" s="167"/>
      <c r="E14" s="170" t="e">
        <f>$D14/SUM($D$14:$D$51)</f>
        <v>#DIV/0!</v>
      </c>
      <c r="F14" s="170" t="e">
        <f>SUM($E$14:$E14)</f>
        <v>#DIV/0!</v>
      </c>
      <c r="G14" s="170"/>
      <c r="H14" s="171" t="e" cm="1" vm="2">
        <f t="array" ref="H14">_xlfn._xlws.SORT(
   _xlfn.UNIQUE(
      _xlfn._xlws.FILTER(
         tb_desp[centro.negocio],
         (tb_desp[data.pagamento] &gt;= $C$1) *
         (tb_desp[data.pagamento] &lt;= $C$2)
      )
   )
)</f>
        <v>#VALUE!</v>
      </c>
      <c r="I14" s="292">
        <v>1</v>
      </c>
      <c r="J14" t="e" cm="1" vm="2">
        <f t="array" ref="J14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14" s="167"/>
      <c r="L14" s="170" t="e">
        <f>$K14/SUM($K$14:$K$88)</f>
        <v>#DIV/0!</v>
      </c>
      <c r="M14" s="170" t="e">
        <f>SUM($L$14:$L14)</f>
        <v>#DIV/0!</v>
      </c>
      <c r="R14" s="295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72"/>
      <c r="T14" s="295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72"/>
      <c r="V14" s="295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72"/>
      <c r="X14" s="295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72"/>
      <c r="Z14" s="295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72"/>
      <c r="AB14" s="295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72"/>
      <c r="AD14" s="295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72"/>
      <c r="AF14" s="295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72"/>
      <c r="AH14" s="295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72"/>
      <c r="AJ14" s="295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72"/>
      <c r="AL14" s="295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72"/>
      <c r="AN14" s="295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72"/>
      <c r="AP14" s="295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72"/>
      <c r="AR14" s="295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72"/>
      <c r="AT14" s="295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72"/>
      <c r="AV14" s="295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72"/>
      <c r="AX14" s="295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72"/>
      <c r="AZ14" s="295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72"/>
      <c r="BB14" s="295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72"/>
      <c r="BD14" s="295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72"/>
      <c r="BF14" s="295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72"/>
      <c r="BH14" s="295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72"/>
      <c r="BJ14" s="295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72"/>
      <c r="BL14" s="295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72"/>
      <c r="BN14" s="295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72"/>
    </row>
    <row r="15" spans="1:67" x14ac:dyDescent="0.25">
      <c r="A15">
        <f>A14+1</f>
        <v>2</v>
      </c>
      <c r="B15" s="164"/>
      <c r="C15" s="166"/>
      <c r="D15" s="167"/>
      <c r="E15" s="170" t="e">
        <f t="shared" ref="E15:E54" si="0">$D15/SUM($D$14:$D$51)</f>
        <v>#DIV/0!</v>
      </c>
      <c r="F15" s="170" t="e">
        <f>SUM($E$14:$E15)</f>
        <v>#DIV/0!</v>
      </c>
      <c r="G15" s="170"/>
      <c r="H15" s="171"/>
      <c r="I15" s="166">
        <f>I14+1</f>
        <v>2</v>
      </c>
      <c r="K15" s="167"/>
      <c r="L15" s="170" t="e">
        <f t="shared" ref="L15:L78" si="1">$K15/SUM($K$14:$K$88)</f>
        <v>#DIV/0!</v>
      </c>
      <c r="M15" s="170" t="e">
        <f>SUM($L$14:$L15)</f>
        <v>#DIV/0!</v>
      </c>
      <c r="R15" s="295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72"/>
      <c r="T15" s="295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72"/>
      <c r="V15" s="295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72"/>
      <c r="X15" s="295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72"/>
      <c r="Z15" s="295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72"/>
      <c r="AB15" s="295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72"/>
      <c r="AD15" s="295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72"/>
      <c r="AF15" s="295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72"/>
      <c r="AH15" s="295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72"/>
      <c r="AJ15" s="295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72"/>
      <c r="AL15" s="295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72"/>
      <c r="AN15" s="295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72"/>
      <c r="AP15" s="295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72"/>
      <c r="AR15" s="295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72"/>
      <c r="AT15" s="295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72"/>
      <c r="AV15" s="295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72"/>
      <c r="AX15" s="295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72"/>
      <c r="AZ15" s="295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72"/>
      <c r="BB15" s="295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72"/>
      <c r="BD15" s="295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72"/>
      <c r="BF15" s="295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72"/>
      <c r="BH15" s="295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72"/>
      <c r="BJ15" s="295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72"/>
      <c r="BL15" s="295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72"/>
      <c r="BN15" s="295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72"/>
    </row>
    <row r="16" spans="1:67" x14ac:dyDescent="0.25">
      <c r="A16">
        <f t="shared" ref="A16:A54" si="2">A15+1</f>
        <v>3</v>
      </c>
      <c r="B16" s="164"/>
      <c r="C16" s="166"/>
      <c r="D16" s="167"/>
      <c r="E16" s="170" t="e">
        <f t="shared" si="0"/>
        <v>#DIV/0!</v>
      </c>
      <c r="F16" s="170" t="e">
        <f>SUM($E$14:$E16)</f>
        <v>#DIV/0!</v>
      </c>
      <c r="G16" s="170"/>
      <c r="H16" s="171"/>
      <c r="I16" s="166">
        <f t="shared" ref="I16:I79" si="3">I15+1</f>
        <v>3</v>
      </c>
      <c r="K16" s="167"/>
      <c r="L16" s="170" t="e">
        <f t="shared" si="1"/>
        <v>#DIV/0!</v>
      </c>
      <c r="M16" s="170" t="e">
        <f>SUM($L$14:$L16)</f>
        <v>#DIV/0!</v>
      </c>
      <c r="R16" s="295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72"/>
      <c r="T16" s="295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72"/>
      <c r="V16" s="295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72"/>
      <c r="X16" s="295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72"/>
      <c r="Z16" s="295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72"/>
      <c r="AB16" s="295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72"/>
      <c r="AD16" s="295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72"/>
      <c r="AF16" s="295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72"/>
      <c r="AH16" s="295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72"/>
      <c r="AJ16" s="295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72"/>
      <c r="AL16" s="295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72"/>
      <c r="AN16" s="295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72"/>
      <c r="AP16" s="295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72"/>
      <c r="AR16" s="295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72"/>
      <c r="AT16" s="295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72"/>
      <c r="AV16" s="295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72"/>
      <c r="AX16" s="295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72"/>
      <c r="AZ16" s="295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72"/>
      <c r="BB16" s="295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72"/>
      <c r="BD16" s="295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72"/>
      <c r="BF16" s="295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72"/>
      <c r="BH16" s="295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72"/>
      <c r="BJ16" s="295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72"/>
      <c r="BL16" s="295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72"/>
      <c r="BN16" s="295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72"/>
    </row>
    <row r="17" spans="1:67" x14ac:dyDescent="0.25">
      <c r="A17">
        <f t="shared" si="2"/>
        <v>4</v>
      </c>
      <c r="B17" s="164"/>
      <c r="C17" s="166"/>
      <c r="D17" s="167"/>
      <c r="E17" s="170" t="e">
        <f t="shared" si="0"/>
        <v>#DIV/0!</v>
      </c>
      <c r="F17" s="170" t="e">
        <f>SUM($E$14:$E17)</f>
        <v>#DIV/0!</v>
      </c>
      <c r="G17" s="170"/>
      <c r="H17" s="171"/>
      <c r="I17" s="166">
        <f t="shared" si="3"/>
        <v>4</v>
      </c>
      <c r="K17" s="167"/>
      <c r="L17" s="170" t="e">
        <f t="shared" si="1"/>
        <v>#DIV/0!</v>
      </c>
      <c r="M17" s="170" t="e">
        <f>SUM($L$14:$L17)</f>
        <v>#DIV/0!</v>
      </c>
      <c r="R17" s="295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72"/>
      <c r="T17" s="295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72"/>
      <c r="V17" s="295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72"/>
      <c r="X17" s="295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72"/>
      <c r="Z17" s="295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72"/>
      <c r="AB17" s="295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72"/>
      <c r="AD17" s="295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72"/>
      <c r="AF17" s="295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72"/>
      <c r="AH17" s="295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72"/>
      <c r="AJ17" s="295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72"/>
      <c r="AL17" s="295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72"/>
      <c r="AN17" s="295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72"/>
      <c r="AP17" s="295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72"/>
      <c r="AR17" s="295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72"/>
      <c r="AT17" s="295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72"/>
      <c r="AV17" s="295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72"/>
      <c r="AX17" s="295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72"/>
      <c r="AZ17" s="295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72"/>
      <c r="BB17" s="295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72"/>
      <c r="BD17" s="295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72"/>
      <c r="BF17" s="295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72"/>
      <c r="BH17" s="295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72"/>
      <c r="BJ17" s="295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72"/>
      <c r="BL17" s="295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72"/>
      <c r="BN17" s="295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72"/>
    </row>
    <row r="18" spans="1:67" x14ac:dyDescent="0.25">
      <c r="A18">
        <f t="shared" si="2"/>
        <v>5</v>
      </c>
      <c r="B18" s="164"/>
      <c r="C18" s="166"/>
      <c r="D18" s="167"/>
      <c r="E18" s="170" t="e">
        <f t="shared" si="0"/>
        <v>#DIV/0!</v>
      </c>
      <c r="F18" s="170" t="e">
        <f>SUM($E$14:$E18)</f>
        <v>#DIV/0!</v>
      </c>
      <c r="G18" s="170"/>
      <c r="H18" s="171"/>
      <c r="I18" s="166">
        <f t="shared" si="3"/>
        <v>5</v>
      </c>
      <c r="K18" s="167"/>
      <c r="L18" s="170" t="e">
        <f t="shared" si="1"/>
        <v>#DIV/0!</v>
      </c>
      <c r="M18" s="170" t="e">
        <f>SUM($L$14:$L18)</f>
        <v>#DIV/0!</v>
      </c>
      <c r="R18" s="295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72"/>
      <c r="T18" s="295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72"/>
      <c r="V18" s="295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72"/>
      <c r="X18" s="295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72"/>
      <c r="Z18" s="295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72"/>
      <c r="AB18" s="295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72"/>
      <c r="AD18" s="295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72"/>
      <c r="AF18" s="295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72"/>
      <c r="AH18" s="295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72"/>
      <c r="AJ18" s="295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72"/>
      <c r="AL18" s="295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72"/>
      <c r="AN18" s="295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72"/>
      <c r="AP18" s="295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72"/>
      <c r="AR18" s="295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72"/>
      <c r="AT18" s="295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72"/>
      <c r="AV18" s="295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72"/>
      <c r="AX18" s="295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72"/>
      <c r="AZ18" s="295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72"/>
      <c r="BB18" s="295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72"/>
      <c r="BD18" s="295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72"/>
      <c r="BF18" s="295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72"/>
      <c r="BH18" s="295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72"/>
      <c r="BJ18" s="295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72"/>
      <c r="BL18" s="295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72"/>
      <c r="BN18" s="295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72"/>
    </row>
    <row r="19" spans="1:67" x14ac:dyDescent="0.25">
      <c r="A19">
        <f t="shared" si="2"/>
        <v>6</v>
      </c>
      <c r="B19" s="164"/>
      <c r="C19" s="166"/>
      <c r="D19" s="167"/>
      <c r="E19" s="170" t="e">
        <f t="shared" si="0"/>
        <v>#DIV/0!</v>
      </c>
      <c r="F19" s="170" t="e">
        <f>SUM($E$14:$E19)</f>
        <v>#DIV/0!</v>
      </c>
      <c r="G19" s="170"/>
      <c r="H19" s="171"/>
      <c r="I19" s="166">
        <f t="shared" si="3"/>
        <v>6</v>
      </c>
      <c r="K19" s="167"/>
      <c r="L19" s="170" t="e">
        <f t="shared" si="1"/>
        <v>#DIV/0!</v>
      </c>
      <c r="M19" s="170" t="e">
        <f>SUM($L$14:$L19)</f>
        <v>#DIV/0!</v>
      </c>
      <c r="R19" s="295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72"/>
      <c r="T19" s="295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72"/>
      <c r="V19" s="295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72"/>
      <c r="X19" s="295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72"/>
      <c r="Z19" s="295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72"/>
      <c r="AB19" s="295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72"/>
      <c r="AD19" s="295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72"/>
      <c r="AF19" s="295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72"/>
      <c r="AH19" s="295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72"/>
      <c r="AJ19" s="295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72"/>
      <c r="AL19" s="295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72"/>
      <c r="AN19" s="295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72"/>
      <c r="AP19" s="295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72"/>
      <c r="AR19" s="295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72"/>
      <c r="AT19" s="295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72"/>
      <c r="AV19" s="295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72"/>
      <c r="AX19" s="295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72"/>
      <c r="AZ19" s="295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72"/>
      <c r="BB19" s="295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72"/>
      <c r="BD19" s="295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72"/>
      <c r="BF19" s="295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72"/>
      <c r="BH19" s="295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72"/>
      <c r="BJ19" s="295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72"/>
      <c r="BL19" s="295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72"/>
      <c r="BN19" s="295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72"/>
    </row>
    <row r="20" spans="1:67" x14ac:dyDescent="0.25">
      <c r="A20">
        <f t="shared" si="2"/>
        <v>7</v>
      </c>
      <c r="B20" s="164"/>
      <c r="C20" s="166"/>
      <c r="D20" s="167"/>
      <c r="E20" s="170" t="e">
        <f t="shared" si="0"/>
        <v>#DIV/0!</v>
      </c>
      <c r="F20" s="170" t="e">
        <f>SUM($E$14:$E20)</f>
        <v>#DIV/0!</v>
      </c>
      <c r="G20" s="170"/>
      <c r="H20" s="171"/>
      <c r="I20" s="166">
        <f t="shared" si="3"/>
        <v>7</v>
      </c>
      <c r="K20" s="167"/>
      <c r="L20" s="170" t="e">
        <f t="shared" si="1"/>
        <v>#DIV/0!</v>
      </c>
      <c r="M20" s="170" t="e">
        <f>SUM($L$14:$L20)</f>
        <v>#DIV/0!</v>
      </c>
      <c r="R20" s="295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72"/>
      <c r="T20" s="295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72"/>
      <c r="V20" s="295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72"/>
      <c r="X20" s="295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72"/>
      <c r="Z20" s="295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72"/>
      <c r="AB20" s="295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72"/>
      <c r="AD20" s="295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72"/>
      <c r="AF20" s="295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72"/>
      <c r="AH20" s="295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72"/>
      <c r="AJ20" s="295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72"/>
      <c r="AL20" s="295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72"/>
      <c r="AN20" s="295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72"/>
      <c r="AP20" s="295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72"/>
      <c r="AR20" s="295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72"/>
      <c r="AT20" s="295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72"/>
      <c r="AV20" s="295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72"/>
      <c r="AX20" s="295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72"/>
      <c r="AZ20" s="295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72"/>
      <c r="BB20" s="295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72"/>
      <c r="BD20" s="295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72"/>
      <c r="BF20" s="295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72"/>
      <c r="BH20" s="295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72"/>
      <c r="BJ20" s="295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72"/>
      <c r="BL20" s="295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72"/>
      <c r="BN20" s="295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72"/>
    </row>
    <row r="21" spans="1:67" x14ac:dyDescent="0.25">
      <c r="A21">
        <f t="shared" si="2"/>
        <v>8</v>
      </c>
      <c r="B21" s="164"/>
      <c r="C21" s="166"/>
      <c r="D21" s="167"/>
      <c r="E21" s="170" t="e">
        <f t="shared" si="0"/>
        <v>#DIV/0!</v>
      </c>
      <c r="F21" s="170" t="e">
        <f>SUM($E$14:$E21)</f>
        <v>#DIV/0!</v>
      </c>
      <c r="G21" s="170"/>
      <c r="H21" s="171"/>
      <c r="I21" s="166">
        <f t="shared" si="3"/>
        <v>8</v>
      </c>
      <c r="K21" s="167"/>
      <c r="L21" s="170" t="e">
        <f t="shared" si="1"/>
        <v>#DIV/0!</v>
      </c>
      <c r="M21" s="170" t="e">
        <f>SUM($L$14:$L21)</f>
        <v>#DIV/0!</v>
      </c>
      <c r="R21" s="295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72"/>
      <c r="T21" s="295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72"/>
      <c r="V21" s="295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72"/>
      <c r="X21" s="295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72"/>
      <c r="Z21" s="295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72"/>
      <c r="AB21" s="295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72"/>
      <c r="AD21" s="295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72"/>
      <c r="AF21" s="295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72"/>
      <c r="AH21" s="295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72"/>
      <c r="AJ21" s="295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72"/>
      <c r="AL21" s="295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72"/>
      <c r="AN21" s="295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72"/>
      <c r="AP21" s="295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72"/>
      <c r="AR21" s="295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72"/>
      <c r="AT21" s="295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72"/>
      <c r="AV21" s="295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72"/>
      <c r="AX21" s="295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72"/>
      <c r="AZ21" s="295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72"/>
      <c r="BB21" s="295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72"/>
      <c r="BD21" s="295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72"/>
      <c r="BF21" s="295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72"/>
      <c r="BH21" s="295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72"/>
      <c r="BJ21" s="295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72"/>
      <c r="BL21" s="295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72"/>
      <c r="BN21" s="295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72"/>
    </row>
    <row r="22" spans="1:67" x14ac:dyDescent="0.25">
      <c r="A22">
        <f t="shared" si="2"/>
        <v>9</v>
      </c>
      <c r="B22" s="164"/>
      <c r="C22" s="166"/>
      <c r="D22" s="167"/>
      <c r="E22" s="170" t="e">
        <f t="shared" si="0"/>
        <v>#DIV/0!</v>
      </c>
      <c r="F22" s="170" t="e">
        <f>SUM($E$14:$E22)</f>
        <v>#DIV/0!</v>
      </c>
      <c r="G22" s="170"/>
      <c r="H22" s="171"/>
      <c r="I22" s="166">
        <f t="shared" si="3"/>
        <v>9</v>
      </c>
      <c r="K22" s="167"/>
      <c r="L22" s="170" t="e">
        <f t="shared" si="1"/>
        <v>#DIV/0!</v>
      </c>
      <c r="M22" s="170" t="e">
        <f>SUM($L$14:$L22)</f>
        <v>#DIV/0!</v>
      </c>
      <c r="R22" s="295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72"/>
      <c r="T22" s="295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72"/>
      <c r="V22" s="295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72"/>
      <c r="X22" s="295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72"/>
      <c r="Z22" s="295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72"/>
      <c r="AB22" s="295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72"/>
      <c r="AD22" s="295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72"/>
      <c r="AF22" s="295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72"/>
      <c r="AH22" s="295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72"/>
      <c r="AJ22" s="295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72"/>
      <c r="AL22" s="295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72"/>
      <c r="AN22" s="295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72"/>
      <c r="AP22" s="295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72"/>
      <c r="AR22" s="295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72"/>
      <c r="AT22" s="295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72"/>
      <c r="AV22" s="295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72"/>
      <c r="AX22" s="295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72"/>
      <c r="AZ22" s="295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72"/>
      <c r="BB22" s="295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72"/>
      <c r="BD22" s="295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72"/>
      <c r="BF22" s="295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72"/>
      <c r="BH22" s="295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72"/>
      <c r="BJ22" s="295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72"/>
      <c r="BL22" s="295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72"/>
      <c r="BN22" s="295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72"/>
    </row>
    <row r="23" spans="1:67" x14ac:dyDescent="0.25">
      <c r="A23">
        <f t="shared" si="2"/>
        <v>10</v>
      </c>
      <c r="B23" s="164"/>
      <c r="C23" s="166"/>
      <c r="D23" s="167"/>
      <c r="E23" s="170" t="e">
        <f t="shared" si="0"/>
        <v>#DIV/0!</v>
      </c>
      <c r="F23" s="170" t="e">
        <f>SUM($E$14:$E23)</f>
        <v>#DIV/0!</v>
      </c>
      <c r="G23" s="170"/>
      <c r="H23" s="171"/>
      <c r="I23" s="166">
        <f t="shared" si="3"/>
        <v>10</v>
      </c>
      <c r="K23" s="167"/>
      <c r="L23" s="170" t="e">
        <f t="shared" si="1"/>
        <v>#DIV/0!</v>
      </c>
      <c r="M23" s="170" t="e">
        <f>SUM($L$14:$L23)</f>
        <v>#DIV/0!</v>
      </c>
      <c r="R23" s="295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72"/>
      <c r="T23" s="295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72"/>
      <c r="V23" s="295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72"/>
      <c r="X23" s="295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72"/>
      <c r="Z23" s="295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72"/>
      <c r="AB23" s="295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72"/>
      <c r="AD23" s="295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72"/>
      <c r="AF23" s="295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72"/>
      <c r="AH23" s="295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72"/>
      <c r="AJ23" s="295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72"/>
      <c r="AL23" s="295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72"/>
      <c r="AN23" s="295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72"/>
      <c r="AP23" s="295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72"/>
      <c r="AR23" s="295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72"/>
      <c r="AT23" s="295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72"/>
      <c r="AV23" s="295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72"/>
      <c r="AX23" s="295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72"/>
      <c r="AZ23" s="295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72"/>
      <c r="BB23" s="295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72"/>
      <c r="BD23" s="295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72"/>
      <c r="BF23" s="295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72"/>
      <c r="BH23" s="295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72"/>
      <c r="BJ23" s="295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72"/>
      <c r="BL23" s="295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72"/>
      <c r="BN23" s="295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72"/>
    </row>
    <row r="24" spans="1:67" x14ac:dyDescent="0.25">
      <c r="A24">
        <f t="shared" si="2"/>
        <v>11</v>
      </c>
      <c r="B24" s="164"/>
      <c r="C24" s="166"/>
      <c r="D24" s="167"/>
      <c r="E24" s="170" t="e">
        <f t="shared" si="0"/>
        <v>#DIV/0!</v>
      </c>
      <c r="F24" s="170" t="e">
        <f>SUM($E$14:$E24)</f>
        <v>#DIV/0!</v>
      </c>
      <c r="G24" s="170"/>
      <c r="H24" s="171"/>
      <c r="I24" s="166">
        <f t="shared" si="3"/>
        <v>11</v>
      </c>
      <c r="K24" s="167"/>
      <c r="L24" s="170" t="e">
        <f t="shared" si="1"/>
        <v>#DIV/0!</v>
      </c>
      <c r="M24" s="170" t="e">
        <f>SUM($L$14:$L24)</f>
        <v>#DIV/0!</v>
      </c>
      <c r="R24" s="295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72"/>
      <c r="T24" s="295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72"/>
      <c r="V24" s="295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72"/>
      <c r="X24" s="295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72"/>
      <c r="Z24" s="295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72"/>
      <c r="AB24" s="295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72"/>
      <c r="AD24" s="295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72"/>
      <c r="AF24" s="295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72"/>
      <c r="AH24" s="295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72"/>
      <c r="AJ24" s="295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72"/>
      <c r="AL24" s="295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72"/>
      <c r="AN24" s="295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72"/>
      <c r="AP24" s="295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72"/>
      <c r="AR24" s="295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72"/>
      <c r="AT24" s="295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72"/>
      <c r="AV24" s="295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72"/>
      <c r="AX24" s="295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72"/>
      <c r="AZ24" s="295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72"/>
      <c r="BB24" s="295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72"/>
      <c r="BD24" s="295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72"/>
      <c r="BF24" s="295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72"/>
      <c r="BH24" s="295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72"/>
      <c r="BJ24" s="295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72"/>
      <c r="BL24" s="295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72"/>
      <c r="BN24" s="295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72"/>
    </row>
    <row r="25" spans="1:67" x14ac:dyDescent="0.25">
      <c r="A25">
        <f t="shared" si="2"/>
        <v>12</v>
      </c>
      <c r="B25" s="164"/>
      <c r="C25" s="166"/>
      <c r="D25" s="167"/>
      <c r="E25" s="170" t="e">
        <f t="shared" si="0"/>
        <v>#DIV/0!</v>
      </c>
      <c r="F25" s="170" t="e">
        <f>SUM($E$14:$E25)</f>
        <v>#DIV/0!</v>
      </c>
      <c r="G25" s="170"/>
      <c r="H25" s="171"/>
      <c r="I25" s="166">
        <f t="shared" si="3"/>
        <v>12</v>
      </c>
      <c r="K25" s="167"/>
      <c r="L25" s="170" t="e">
        <f t="shared" si="1"/>
        <v>#DIV/0!</v>
      </c>
      <c r="M25" s="170" t="e">
        <f>SUM($L$14:$L25)</f>
        <v>#DIV/0!</v>
      </c>
      <c r="R25" s="295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72"/>
      <c r="T25" s="295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72"/>
      <c r="V25" s="295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72"/>
      <c r="X25" s="295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72"/>
      <c r="Z25" s="295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72"/>
      <c r="AB25" s="295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72"/>
      <c r="AD25" s="295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72"/>
      <c r="AF25" s="295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72"/>
      <c r="AH25" s="295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72"/>
      <c r="AJ25" s="295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72"/>
      <c r="AL25" s="295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72"/>
      <c r="AN25" s="295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72"/>
      <c r="AP25" s="295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72"/>
      <c r="AR25" s="295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72"/>
      <c r="AT25" s="295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72"/>
      <c r="AV25" s="295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72"/>
      <c r="AX25" s="295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72"/>
      <c r="AZ25" s="295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72"/>
      <c r="BB25" s="295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72"/>
      <c r="BD25" s="295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72"/>
      <c r="BF25" s="295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72"/>
      <c r="BH25" s="295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72"/>
      <c r="BJ25" s="295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72"/>
      <c r="BL25" s="295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72"/>
      <c r="BN25" s="295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72"/>
    </row>
    <row r="26" spans="1:67" x14ac:dyDescent="0.25">
      <c r="A26">
        <f t="shared" si="2"/>
        <v>13</v>
      </c>
      <c r="B26" s="164"/>
      <c r="C26" s="166"/>
      <c r="D26" s="167"/>
      <c r="E26" s="170" t="e">
        <f t="shared" si="0"/>
        <v>#DIV/0!</v>
      </c>
      <c r="F26" s="170" t="e">
        <f>SUM($E$14:$E26)</f>
        <v>#DIV/0!</v>
      </c>
      <c r="G26" s="170"/>
      <c r="H26" s="171"/>
      <c r="I26" s="166">
        <f t="shared" si="3"/>
        <v>13</v>
      </c>
      <c r="K26" s="167"/>
      <c r="L26" s="170" t="e">
        <f t="shared" si="1"/>
        <v>#DIV/0!</v>
      </c>
      <c r="M26" s="170" t="e">
        <f>SUM($L$14:$L26)</f>
        <v>#DIV/0!</v>
      </c>
      <c r="R26" s="295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72"/>
      <c r="T26" s="295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72"/>
      <c r="V26" s="295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72"/>
      <c r="X26" s="295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72"/>
      <c r="Z26" s="295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72"/>
      <c r="AB26" s="295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72"/>
      <c r="AD26" s="295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72"/>
      <c r="AF26" s="295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72"/>
      <c r="AH26" s="295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72"/>
      <c r="AJ26" s="295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72"/>
      <c r="AL26" s="295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72"/>
      <c r="AN26" s="295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72"/>
      <c r="AP26" s="295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72"/>
      <c r="AR26" s="295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72"/>
      <c r="AT26" s="295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72"/>
      <c r="AV26" s="295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72"/>
      <c r="AX26" s="295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72"/>
      <c r="AZ26" s="295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72"/>
      <c r="BB26" s="295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72"/>
      <c r="BD26" s="295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72"/>
      <c r="BF26" s="295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72"/>
      <c r="BH26" s="295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72"/>
      <c r="BJ26" s="295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72"/>
      <c r="BL26" s="295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72"/>
      <c r="BN26" s="295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72"/>
    </row>
    <row r="27" spans="1:67" x14ac:dyDescent="0.25">
      <c r="A27">
        <f t="shared" si="2"/>
        <v>14</v>
      </c>
      <c r="B27" s="164"/>
      <c r="C27" s="166"/>
      <c r="D27" s="167"/>
      <c r="E27" s="170" t="e">
        <f t="shared" si="0"/>
        <v>#DIV/0!</v>
      </c>
      <c r="F27" s="170" t="e">
        <f>SUM($E$14:$E27)</f>
        <v>#DIV/0!</v>
      </c>
      <c r="G27" s="170"/>
      <c r="H27" s="171"/>
      <c r="I27" s="166">
        <f t="shared" si="3"/>
        <v>14</v>
      </c>
      <c r="K27" s="167"/>
      <c r="L27" s="170" t="e">
        <f t="shared" si="1"/>
        <v>#DIV/0!</v>
      </c>
      <c r="M27" s="170" t="e">
        <f>SUM($L$14:$L27)</f>
        <v>#DIV/0!</v>
      </c>
      <c r="R27" s="295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72"/>
      <c r="T27" s="295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72"/>
      <c r="V27" s="295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72"/>
      <c r="X27" s="295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72"/>
      <c r="Z27" s="295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72"/>
      <c r="AB27" s="295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72"/>
      <c r="AD27" s="295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72"/>
      <c r="AF27" s="295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72"/>
      <c r="AH27" s="295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72"/>
      <c r="AJ27" s="295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72"/>
      <c r="AL27" s="295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72"/>
      <c r="AN27" s="295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72"/>
      <c r="AP27" s="295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72"/>
      <c r="AR27" s="295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72"/>
      <c r="AT27" s="295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72"/>
      <c r="AV27" s="295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72"/>
      <c r="AX27" s="295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72"/>
      <c r="AZ27" s="295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72"/>
      <c r="BB27" s="295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72"/>
      <c r="BD27" s="295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72"/>
      <c r="BF27" s="295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72"/>
      <c r="BH27" s="295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72"/>
      <c r="BJ27" s="295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72"/>
      <c r="BL27" s="295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72"/>
      <c r="BN27" s="295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72"/>
    </row>
    <row r="28" spans="1:67" x14ac:dyDescent="0.25">
      <c r="A28">
        <f t="shared" si="2"/>
        <v>15</v>
      </c>
      <c r="B28" s="164"/>
      <c r="C28" s="166"/>
      <c r="D28" s="167"/>
      <c r="E28" s="170" t="e">
        <f t="shared" si="0"/>
        <v>#DIV/0!</v>
      </c>
      <c r="F28" s="170" t="e">
        <f>SUM($E$14:$E28)</f>
        <v>#DIV/0!</v>
      </c>
      <c r="G28" s="170"/>
      <c r="H28" s="171"/>
      <c r="I28" s="166">
        <f t="shared" si="3"/>
        <v>15</v>
      </c>
      <c r="K28" s="167"/>
      <c r="L28" s="170" t="e">
        <f t="shared" si="1"/>
        <v>#DIV/0!</v>
      </c>
      <c r="M28" s="170" t="e">
        <f>SUM($L$14:$L28)</f>
        <v>#DIV/0!</v>
      </c>
      <c r="R28" s="295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72"/>
      <c r="T28" s="295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72"/>
      <c r="V28" s="295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72"/>
      <c r="X28" s="295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72"/>
      <c r="Z28" s="295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72"/>
      <c r="AB28" s="295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72"/>
      <c r="AD28" s="295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72"/>
      <c r="AF28" s="295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72"/>
      <c r="AH28" s="295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72"/>
      <c r="AJ28" s="295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72"/>
      <c r="AL28" s="295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72"/>
      <c r="AN28" s="295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72"/>
      <c r="AP28" s="295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72"/>
      <c r="AR28" s="295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72"/>
      <c r="AT28" s="295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72"/>
      <c r="AV28" s="295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72"/>
      <c r="AX28" s="295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72"/>
      <c r="AZ28" s="295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72"/>
      <c r="BB28" s="295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72"/>
      <c r="BD28" s="295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72"/>
      <c r="BF28" s="295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72"/>
      <c r="BH28" s="295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72"/>
      <c r="BJ28" s="295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72"/>
      <c r="BL28" s="295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72"/>
      <c r="BN28" s="295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72"/>
    </row>
    <row r="29" spans="1:67" x14ac:dyDescent="0.25">
      <c r="A29">
        <f t="shared" si="2"/>
        <v>16</v>
      </c>
      <c r="B29" s="164"/>
      <c r="C29" s="166"/>
      <c r="D29" s="167"/>
      <c r="E29" s="170" t="e">
        <f t="shared" si="0"/>
        <v>#DIV/0!</v>
      </c>
      <c r="F29" s="170" t="e">
        <f>SUM($E$14:$E29)</f>
        <v>#DIV/0!</v>
      </c>
      <c r="G29" s="170"/>
      <c r="H29" s="171"/>
      <c r="I29" s="166">
        <f t="shared" si="3"/>
        <v>16</v>
      </c>
      <c r="K29" s="167"/>
      <c r="L29" s="170" t="e">
        <f t="shared" si="1"/>
        <v>#DIV/0!</v>
      </c>
      <c r="M29" s="170" t="e">
        <f>SUM($L$14:$L29)</f>
        <v>#DIV/0!</v>
      </c>
      <c r="R29" s="295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72"/>
      <c r="T29" s="295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72"/>
      <c r="V29" s="295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72"/>
      <c r="X29" s="295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72"/>
      <c r="Z29" s="295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72"/>
      <c r="AB29" s="295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72"/>
      <c r="AD29" s="295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72"/>
      <c r="AF29" s="295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72"/>
      <c r="AH29" s="295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72"/>
      <c r="AJ29" s="295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72"/>
      <c r="AL29" s="295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72"/>
      <c r="AN29" s="295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72"/>
      <c r="AP29" s="295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72"/>
      <c r="AR29" s="295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72"/>
      <c r="AT29" s="295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72"/>
      <c r="AV29" s="295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72"/>
      <c r="AX29" s="295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72"/>
      <c r="AZ29" s="295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72"/>
      <c r="BB29" s="295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72"/>
      <c r="BD29" s="295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72"/>
      <c r="BF29" s="295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72"/>
      <c r="BH29" s="295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72"/>
      <c r="BJ29" s="295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72"/>
      <c r="BL29" s="295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72"/>
      <c r="BN29" s="295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72"/>
    </row>
    <row r="30" spans="1:67" x14ac:dyDescent="0.25">
      <c r="A30">
        <f t="shared" si="2"/>
        <v>17</v>
      </c>
      <c r="B30" s="164"/>
      <c r="C30" s="166"/>
      <c r="D30" s="167"/>
      <c r="E30" s="170" t="e">
        <f t="shared" si="0"/>
        <v>#DIV/0!</v>
      </c>
      <c r="F30" s="170" t="e">
        <f>SUM($E$14:$E30)</f>
        <v>#DIV/0!</v>
      </c>
      <c r="G30" s="170"/>
      <c r="H30" s="171"/>
      <c r="I30" s="166">
        <f t="shared" si="3"/>
        <v>17</v>
      </c>
      <c r="K30" s="167"/>
      <c r="L30" s="170" t="e">
        <f t="shared" si="1"/>
        <v>#DIV/0!</v>
      </c>
      <c r="M30" s="170" t="e">
        <f>SUM($L$14:$L30)</f>
        <v>#DIV/0!</v>
      </c>
      <c r="R30" s="295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72"/>
      <c r="T30" s="295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72"/>
      <c r="V30" s="295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72"/>
      <c r="X30" s="295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72"/>
      <c r="Z30" s="295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72"/>
      <c r="AB30" s="295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72"/>
      <c r="AD30" s="295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72"/>
      <c r="AF30" s="295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72"/>
      <c r="AH30" s="295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72"/>
      <c r="AJ30" s="295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72"/>
      <c r="AL30" s="295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72"/>
      <c r="AN30" s="295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72"/>
      <c r="AP30" s="295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72"/>
      <c r="AR30" s="295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72"/>
      <c r="AT30" s="295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72"/>
      <c r="AV30" s="295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72"/>
      <c r="AX30" s="295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72"/>
      <c r="AZ30" s="295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72"/>
      <c r="BB30" s="295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72"/>
      <c r="BD30" s="295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72"/>
      <c r="BF30" s="295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72"/>
      <c r="BH30" s="295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72"/>
      <c r="BJ30" s="295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72"/>
      <c r="BL30" s="295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72"/>
      <c r="BN30" s="295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72"/>
    </row>
    <row r="31" spans="1:67" x14ac:dyDescent="0.25">
      <c r="A31">
        <f t="shared" si="2"/>
        <v>18</v>
      </c>
      <c r="B31" s="164"/>
      <c r="C31" s="166"/>
      <c r="D31" s="167"/>
      <c r="E31" s="170" t="e">
        <f t="shared" si="0"/>
        <v>#DIV/0!</v>
      </c>
      <c r="F31" s="170" t="e">
        <f>SUM($E$14:$E31)</f>
        <v>#DIV/0!</v>
      </c>
      <c r="G31" s="170"/>
      <c r="H31" s="171"/>
      <c r="I31" s="166">
        <f t="shared" si="3"/>
        <v>18</v>
      </c>
      <c r="K31" s="167"/>
      <c r="L31" s="170" t="e">
        <f t="shared" si="1"/>
        <v>#DIV/0!</v>
      </c>
      <c r="M31" s="170" t="e">
        <f>SUM($L$14:$L31)</f>
        <v>#DIV/0!</v>
      </c>
      <c r="R31" s="295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72"/>
      <c r="T31" s="295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72"/>
      <c r="V31" s="295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72"/>
      <c r="X31" s="295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72"/>
      <c r="Z31" s="295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72"/>
      <c r="AB31" s="295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72"/>
      <c r="AD31" s="295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72"/>
      <c r="AF31" s="295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72"/>
      <c r="AH31" s="295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72"/>
      <c r="AJ31" s="295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72"/>
      <c r="AL31" s="295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72"/>
      <c r="AN31" s="295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72"/>
      <c r="AP31" s="295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72"/>
      <c r="AR31" s="295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72"/>
      <c r="AT31" s="295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72"/>
      <c r="AV31" s="295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72"/>
      <c r="AX31" s="295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72"/>
      <c r="AZ31" s="295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72"/>
      <c r="BB31" s="295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72"/>
      <c r="BD31" s="295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72"/>
      <c r="BF31" s="295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72"/>
      <c r="BH31" s="295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72"/>
      <c r="BJ31" s="295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72"/>
      <c r="BL31" s="295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72"/>
      <c r="BN31" s="295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72"/>
    </row>
    <row r="32" spans="1:67" x14ac:dyDescent="0.25">
      <c r="A32">
        <f t="shared" si="2"/>
        <v>19</v>
      </c>
      <c r="B32" s="164"/>
      <c r="C32" s="166"/>
      <c r="D32" s="167"/>
      <c r="E32" s="170" t="e">
        <f t="shared" si="0"/>
        <v>#DIV/0!</v>
      </c>
      <c r="F32" s="170" t="e">
        <f>SUM($E$14:$E32)</f>
        <v>#DIV/0!</v>
      </c>
      <c r="G32" s="170"/>
      <c r="H32" s="171"/>
      <c r="I32" s="166">
        <f t="shared" si="3"/>
        <v>19</v>
      </c>
      <c r="K32" s="167"/>
      <c r="L32" s="170" t="e">
        <f t="shared" si="1"/>
        <v>#DIV/0!</v>
      </c>
      <c r="M32" s="170" t="e">
        <f>SUM($L$14:$L32)</f>
        <v>#DIV/0!</v>
      </c>
      <c r="R32" s="295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72"/>
      <c r="T32" s="295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72"/>
      <c r="V32" s="295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72"/>
      <c r="X32" s="295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72"/>
      <c r="Z32" s="295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72"/>
      <c r="AB32" s="295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72"/>
      <c r="AD32" s="295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72"/>
      <c r="AF32" s="295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72"/>
      <c r="AH32" s="295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72"/>
      <c r="AJ32" s="295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72"/>
      <c r="AL32" s="295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72"/>
      <c r="AN32" s="295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72"/>
      <c r="AP32" s="295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72"/>
      <c r="AR32" s="295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72"/>
      <c r="AT32" s="295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72"/>
      <c r="AV32" s="295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72"/>
      <c r="AX32" s="295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72"/>
      <c r="AZ32" s="295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72"/>
      <c r="BB32" s="295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72"/>
      <c r="BD32" s="295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72"/>
      <c r="BF32" s="295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72"/>
      <c r="BH32" s="295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72"/>
      <c r="BJ32" s="295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72"/>
      <c r="BL32" s="295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72"/>
      <c r="BN32" s="295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72"/>
    </row>
    <row r="33" spans="1:67" x14ac:dyDescent="0.25">
      <c r="A33">
        <f t="shared" si="2"/>
        <v>20</v>
      </c>
      <c r="B33" s="164"/>
      <c r="C33" s="166"/>
      <c r="D33" s="167"/>
      <c r="E33" s="170" t="e">
        <f t="shared" si="0"/>
        <v>#DIV/0!</v>
      </c>
      <c r="F33" s="170" t="e">
        <f>SUM($E$14:$E33)</f>
        <v>#DIV/0!</v>
      </c>
      <c r="G33" s="170"/>
      <c r="H33" s="171"/>
      <c r="I33" s="166">
        <f t="shared" si="3"/>
        <v>20</v>
      </c>
      <c r="K33" s="167"/>
      <c r="L33" s="170" t="e">
        <f t="shared" si="1"/>
        <v>#DIV/0!</v>
      </c>
      <c r="M33" s="170" t="e">
        <f>SUM($L$14:$L33)</f>
        <v>#DIV/0!</v>
      </c>
      <c r="R33" s="295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72"/>
      <c r="T33" s="295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72"/>
      <c r="V33" s="295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72"/>
      <c r="X33" s="295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72"/>
      <c r="Z33" s="295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72"/>
      <c r="AB33" s="295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72"/>
      <c r="AD33" s="295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72"/>
      <c r="AF33" s="295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72"/>
      <c r="AH33" s="295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72"/>
      <c r="AJ33" s="295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72"/>
      <c r="AL33" s="295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72"/>
      <c r="AN33" s="295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72"/>
      <c r="AP33" s="295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72"/>
      <c r="AR33" s="295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72"/>
      <c r="AT33" s="295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72"/>
      <c r="AV33" s="295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72"/>
      <c r="AX33" s="295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72"/>
      <c r="AZ33" s="295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72"/>
      <c r="BB33" s="295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72"/>
      <c r="BD33" s="295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72"/>
      <c r="BF33" s="295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72"/>
      <c r="BH33" s="295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72"/>
      <c r="BJ33" s="295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72"/>
      <c r="BL33" s="295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72"/>
      <c r="BN33" s="295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72"/>
    </row>
    <row r="34" spans="1:67" x14ac:dyDescent="0.25">
      <c r="A34">
        <f t="shared" si="2"/>
        <v>21</v>
      </c>
      <c r="B34" s="164"/>
      <c r="C34" s="166"/>
      <c r="D34" s="167"/>
      <c r="E34" s="170" t="e">
        <f t="shared" si="0"/>
        <v>#DIV/0!</v>
      </c>
      <c r="F34" s="170" t="e">
        <f>SUM($E$14:$E34)</f>
        <v>#DIV/0!</v>
      </c>
      <c r="G34" s="170"/>
      <c r="H34" s="171"/>
      <c r="I34" s="166">
        <f t="shared" si="3"/>
        <v>21</v>
      </c>
      <c r="K34" s="167"/>
      <c r="L34" s="170" t="e">
        <f t="shared" si="1"/>
        <v>#DIV/0!</v>
      </c>
      <c r="M34" s="170" t="e">
        <f>SUM($L$14:$L34)</f>
        <v>#DIV/0!</v>
      </c>
      <c r="R34" s="295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72"/>
      <c r="T34" s="295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72"/>
      <c r="V34" s="295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72"/>
      <c r="X34" s="295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72"/>
      <c r="Z34" s="295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72"/>
      <c r="AB34" s="295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72"/>
      <c r="AD34" s="295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72"/>
      <c r="AF34" s="295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72"/>
      <c r="AH34" s="295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72"/>
      <c r="AJ34" s="295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72"/>
      <c r="AL34" s="295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72"/>
      <c r="AN34" s="295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72"/>
      <c r="AP34" s="295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72"/>
      <c r="AR34" s="295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72"/>
      <c r="AT34" s="295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72"/>
      <c r="AV34" s="295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72"/>
      <c r="AX34" s="295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72"/>
      <c r="AZ34" s="295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72"/>
      <c r="BB34" s="295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72"/>
      <c r="BD34" s="295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72"/>
      <c r="BF34" s="295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72"/>
      <c r="BH34" s="295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72"/>
      <c r="BJ34" s="295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72"/>
      <c r="BL34" s="295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72"/>
      <c r="BN34" s="295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72"/>
    </row>
    <row r="35" spans="1:67" x14ac:dyDescent="0.25">
      <c r="A35">
        <f t="shared" si="2"/>
        <v>22</v>
      </c>
      <c r="B35" s="164"/>
      <c r="C35" s="166"/>
      <c r="D35" s="167"/>
      <c r="E35" s="170" t="e">
        <f t="shared" si="0"/>
        <v>#DIV/0!</v>
      </c>
      <c r="F35" s="170" t="e">
        <f>SUM($E$14:$E35)</f>
        <v>#DIV/0!</v>
      </c>
      <c r="G35" s="170"/>
      <c r="H35" s="171"/>
      <c r="I35" s="166">
        <f t="shared" si="3"/>
        <v>22</v>
      </c>
      <c r="K35" s="167"/>
      <c r="L35" s="170" t="e">
        <f t="shared" si="1"/>
        <v>#DIV/0!</v>
      </c>
      <c r="M35" s="170" t="e">
        <f>SUM($L$14:$L35)</f>
        <v>#DIV/0!</v>
      </c>
      <c r="R35" s="295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72"/>
      <c r="T35" s="295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72"/>
      <c r="V35" s="295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72"/>
      <c r="X35" s="295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72"/>
      <c r="Z35" s="295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72"/>
      <c r="AB35" s="295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72"/>
      <c r="AD35" s="295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72"/>
      <c r="AF35" s="295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72"/>
      <c r="AH35" s="295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72"/>
      <c r="AJ35" s="295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72"/>
      <c r="AL35" s="295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72"/>
      <c r="AN35" s="295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72"/>
      <c r="AP35" s="295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72"/>
      <c r="AR35" s="295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72"/>
      <c r="AT35" s="295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72"/>
      <c r="AV35" s="295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72"/>
      <c r="AX35" s="295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72"/>
      <c r="AZ35" s="295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72"/>
      <c r="BB35" s="295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72"/>
      <c r="BD35" s="295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72"/>
      <c r="BF35" s="295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72"/>
      <c r="BH35" s="295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72"/>
      <c r="BJ35" s="295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72"/>
      <c r="BL35" s="295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72"/>
      <c r="BN35" s="295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72"/>
    </row>
    <row r="36" spans="1:67" x14ac:dyDescent="0.25">
      <c r="A36">
        <f t="shared" si="2"/>
        <v>23</v>
      </c>
      <c r="B36" s="164"/>
      <c r="C36" s="166"/>
      <c r="D36" s="167"/>
      <c r="E36" s="170" t="e">
        <f t="shared" si="0"/>
        <v>#DIV/0!</v>
      </c>
      <c r="F36" s="170" t="e">
        <f>SUM($E$14:$E36)</f>
        <v>#DIV/0!</v>
      </c>
      <c r="G36" s="170"/>
      <c r="H36" s="171"/>
      <c r="I36" s="166">
        <f t="shared" si="3"/>
        <v>23</v>
      </c>
      <c r="K36" s="167"/>
      <c r="L36" s="170" t="e">
        <f t="shared" si="1"/>
        <v>#DIV/0!</v>
      </c>
      <c r="M36" s="170" t="e">
        <f>SUM($L$14:$L36)</f>
        <v>#DIV/0!</v>
      </c>
      <c r="R36" s="295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72"/>
      <c r="T36" s="295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72"/>
      <c r="V36" s="295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72"/>
      <c r="X36" s="295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72"/>
      <c r="Z36" s="295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72"/>
      <c r="AB36" s="295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72"/>
      <c r="AD36" s="295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72"/>
      <c r="AF36" s="295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72"/>
      <c r="AH36" s="295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72"/>
      <c r="AJ36" s="295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72"/>
      <c r="AL36" s="295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72"/>
      <c r="AN36" s="295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72"/>
      <c r="AP36" s="295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72"/>
      <c r="AR36" s="295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72"/>
      <c r="AT36" s="295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72"/>
      <c r="AV36" s="295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72"/>
      <c r="AX36" s="295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72"/>
      <c r="AZ36" s="295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72"/>
      <c r="BB36" s="295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72"/>
      <c r="BD36" s="295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72"/>
      <c r="BF36" s="295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72"/>
      <c r="BH36" s="295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72"/>
      <c r="BJ36" s="295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72"/>
      <c r="BL36" s="295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72"/>
      <c r="BN36" s="295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72"/>
    </row>
    <row r="37" spans="1:67" x14ac:dyDescent="0.25">
      <c r="A37">
        <f t="shared" si="2"/>
        <v>24</v>
      </c>
      <c r="B37" s="164"/>
      <c r="C37" s="166"/>
      <c r="D37" s="167"/>
      <c r="E37" s="170" t="e">
        <f t="shared" si="0"/>
        <v>#DIV/0!</v>
      </c>
      <c r="F37" s="170" t="e">
        <f>SUM($E$14:$E37)</f>
        <v>#DIV/0!</v>
      </c>
      <c r="G37" s="170"/>
      <c r="H37" s="171"/>
      <c r="I37" s="166">
        <f t="shared" si="3"/>
        <v>24</v>
      </c>
      <c r="K37" s="167"/>
      <c r="L37" s="170" t="e">
        <f t="shared" si="1"/>
        <v>#DIV/0!</v>
      </c>
      <c r="M37" s="170" t="e">
        <f>SUM($L$14:$L37)</f>
        <v>#DIV/0!</v>
      </c>
      <c r="R37" s="295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72"/>
      <c r="T37" s="295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72"/>
      <c r="V37" s="295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72"/>
      <c r="X37" s="295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72"/>
      <c r="Z37" s="295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72"/>
      <c r="AB37" s="295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72"/>
      <c r="AD37" s="295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72"/>
      <c r="AF37" s="295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72"/>
      <c r="AH37" s="295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72"/>
      <c r="AJ37" s="295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72"/>
      <c r="AL37" s="295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72"/>
      <c r="AN37" s="295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72"/>
      <c r="AP37" s="295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72"/>
      <c r="AR37" s="295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72"/>
      <c r="AT37" s="295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72"/>
      <c r="AV37" s="295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72"/>
      <c r="AX37" s="295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72"/>
      <c r="AZ37" s="295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72"/>
      <c r="BB37" s="295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72"/>
      <c r="BD37" s="295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72"/>
      <c r="BF37" s="295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72"/>
      <c r="BH37" s="295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72"/>
      <c r="BJ37" s="295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72"/>
      <c r="BL37" s="295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72"/>
      <c r="BN37" s="295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72"/>
    </row>
    <row r="38" spans="1:67" x14ac:dyDescent="0.25">
      <c r="A38">
        <f t="shared" si="2"/>
        <v>25</v>
      </c>
      <c r="B38" s="164"/>
      <c r="C38" s="166"/>
      <c r="D38" s="167"/>
      <c r="E38" s="170" t="e">
        <f t="shared" si="0"/>
        <v>#DIV/0!</v>
      </c>
      <c r="F38" s="170" t="e">
        <f>SUM($E$14:$E38)</f>
        <v>#DIV/0!</v>
      </c>
      <c r="G38" s="170"/>
      <c r="H38" s="171"/>
      <c r="I38" s="166">
        <f t="shared" si="3"/>
        <v>25</v>
      </c>
      <c r="K38" s="167"/>
      <c r="L38" s="170" t="e">
        <f t="shared" si="1"/>
        <v>#DIV/0!</v>
      </c>
      <c r="M38" s="170" t="e">
        <f>SUM($L$14:$L38)</f>
        <v>#DIV/0!</v>
      </c>
      <c r="R38" s="295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72"/>
      <c r="T38" s="295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72"/>
      <c r="V38" s="295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72"/>
      <c r="X38" s="295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72"/>
      <c r="Z38" s="295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72"/>
      <c r="AB38" s="295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72"/>
      <c r="AD38" s="295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72"/>
      <c r="AF38" s="295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72"/>
      <c r="AH38" s="295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72"/>
      <c r="AJ38" s="295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72"/>
      <c r="AL38" s="295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72"/>
      <c r="AN38" s="295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72"/>
      <c r="AP38" s="295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72"/>
      <c r="AR38" s="295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72"/>
      <c r="AT38" s="295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72"/>
      <c r="AV38" s="295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72"/>
      <c r="AX38" s="295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72"/>
      <c r="AZ38" s="295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72"/>
      <c r="BB38" s="295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72"/>
      <c r="BD38" s="295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72"/>
      <c r="BF38" s="295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72"/>
      <c r="BH38" s="295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72"/>
      <c r="BJ38" s="295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72"/>
      <c r="BL38" s="295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72"/>
      <c r="BN38" s="295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72"/>
    </row>
    <row r="39" spans="1:67" x14ac:dyDescent="0.25">
      <c r="A39">
        <f t="shared" si="2"/>
        <v>26</v>
      </c>
      <c r="B39" s="164"/>
      <c r="C39" s="166"/>
      <c r="D39" s="167"/>
      <c r="E39" s="170" t="e">
        <f t="shared" si="0"/>
        <v>#DIV/0!</v>
      </c>
      <c r="F39" s="170" t="e">
        <f>SUM($E$14:$E39)</f>
        <v>#DIV/0!</v>
      </c>
      <c r="G39" s="170"/>
      <c r="H39" s="171"/>
      <c r="I39" s="166">
        <f t="shared" si="3"/>
        <v>26</v>
      </c>
      <c r="K39" s="167"/>
      <c r="L39" s="170" t="e">
        <f t="shared" si="1"/>
        <v>#DIV/0!</v>
      </c>
      <c r="M39" s="170" t="e">
        <f>SUM($L$14:$L39)</f>
        <v>#DIV/0!</v>
      </c>
      <c r="R39" s="295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72"/>
      <c r="T39" s="295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72"/>
      <c r="V39" s="295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72"/>
      <c r="X39" s="295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72"/>
      <c r="Z39" s="295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72"/>
      <c r="AB39" s="295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72"/>
      <c r="AD39" s="295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72"/>
      <c r="AF39" s="295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72"/>
      <c r="AH39" s="295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72"/>
      <c r="AJ39" s="295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72"/>
      <c r="AL39" s="295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72"/>
      <c r="AN39" s="295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72"/>
      <c r="AP39" s="295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72"/>
      <c r="AR39" s="295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72"/>
      <c r="AT39" s="295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72"/>
      <c r="AV39" s="295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72"/>
      <c r="AX39" s="295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72"/>
      <c r="AZ39" s="295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72"/>
      <c r="BB39" s="295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72"/>
      <c r="BD39" s="295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72"/>
      <c r="BF39" s="295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72"/>
      <c r="BH39" s="295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72"/>
      <c r="BJ39" s="295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72"/>
      <c r="BL39" s="295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72"/>
      <c r="BN39" s="295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72"/>
    </row>
    <row r="40" spans="1:67" x14ac:dyDescent="0.25">
      <c r="A40">
        <f t="shared" si="2"/>
        <v>27</v>
      </c>
      <c r="B40" s="164"/>
      <c r="C40" s="166"/>
      <c r="D40" s="167"/>
      <c r="E40" s="170" t="e">
        <f t="shared" si="0"/>
        <v>#DIV/0!</v>
      </c>
      <c r="F40" s="170" t="e">
        <f>SUM($E$14:$E40)</f>
        <v>#DIV/0!</v>
      </c>
      <c r="G40" s="170"/>
      <c r="H40" s="171"/>
      <c r="I40" s="166">
        <f t="shared" si="3"/>
        <v>27</v>
      </c>
      <c r="K40" s="167"/>
      <c r="L40" s="170" t="e">
        <f t="shared" si="1"/>
        <v>#DIV/0!</v>
      </c>
      <c r="M40" s="170" t="e">
        <f>SUM($L$14:$L40)</f>
        <v>#DIV/0!</v>
      </c>
      <c r="R40" s="295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72"/>
      <c r="T40" s="295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72"/>
      <c r="V40" s="295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72"/>
      <c r="X40" s="295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72"/>
      <c r="Z40" s="295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72"/>
      <c r="AB40" s="295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72"/>
      <c r="AD40" s="295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72"/>
      <c r="AF40" s="295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72"/>
      <c r="AH40" s="295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72"/>
      <c r="AJ40" s="295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72"/>
      <c r="AL40" s="295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72"/>
      <c r="AN40" s="295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72"/>
      <c r="AP40" s="295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72"/>
      <c r="AR40" s="295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72"/>
      <c r="AT40" s="295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72"/>
      <c r="AV40" s="295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72"/>
      <c r="AX40" s="295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72"/>
      <c r="AZ40" s="295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72"/>
      <c r="BB40" s="295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72"/>
      <c r="BD40" s="295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72"/>
      <c r="BF40" s="295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72"/>
      <c r="BH40" s="295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72"/>
      <c r="BJ40" s="295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72"/>
      <c r="BL40" s="295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72"/>
      <c r="BN40" s="295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72"/>
    </row>
    <row r="41" spans="1:67" x14ac:dyDescent="0.25">
      <c r="A41">
        <f t="shared" si="2"/>
        <v>28</v>
      </c>
      <c r="B41" s="164"/>
      <c r="C41" s="166"/>
      <c r="D41" s="167"/>
      <c r="E41" s="170" t="e">
        <f t="shared" si="0"/>
        <v>#DIV/0!</v>
      </c>
      <c r="F41" s="170" t="e">
        <f>SUM($E$14:$E41)</f>
        <v>#DIV/0!</v>
      </c>
      <c r="G41" s="170"/>
      <c r="H41" s="171"/>
      <c r="I41" s="166">
        <f t="shared" si="3"/>
        <v>28</v>
      </c>
      <c r="K41" s="167"/>
      <c r="L41" s="170" t="e">
        <f t="shared" si="1"/>
        <v>#DIV/0!</v>
      </c>
      <c r="M41" s="170" t="e">
        <f>SUM($L$14:$L41)</f>
        <v>#DIV/0!</v>
      </c>
      <c r="R41" s="295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72"/>
      <c r="T41" s="295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72"/>
      <c r="V41" s="295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72"/>
      <c r="X41" s="295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72"/>
      <c r="Z41" s="295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72"/>
      <c r="AB41" s="295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72"/>
      <c r="AD41" s="295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72"/>
      <c r="AF41" s="295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72"/>
      <c r="AH41" s="295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72"/>
      <c r="AJ41" s="295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72"/>
      <c r="AL41" s="295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72"/>
      <c r="AN41" s="295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72"/>
      <c r="AP41" s="295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72"/>
      <c r="AR41" s="295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72"/>
      <c r="AT41" s="295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72"/>
      <c r="AV41" s="295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72"/>
      <c r="AX41" s="295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72"/>
      <c r="AZ41" s="295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72"/>
      <c r="BB41" s="295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72"/>
      <c r="BD41" s="295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72"/>
      <c r="BF41" s="295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72"/>
      <c r="BH41" s="295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72"/>
      <c r="BJ41" s="295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72"/>
      <c r="BL41" s="295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72"/>
      <c r="BN41" s="295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72"/>
    </row>
    <row r="42" spans="1:67" x14ac:dyDescent="0.25">
      <c r="A42">
        <f t="shared" si="2"/>
        <v>29</v>
      </c>
      <c r="B42" s="164"/>
      <c r="C42" s="166"/>
      <c r="D42" s="167"/>
      <c r="E42" s="170" t="e">
        <f t="shared" si="0"/>
        <v>#DIV/0!</v>
      </c>
      <c r="F42" s="170" t="e">
        <f>SUM($E$14:$E42)</f>
        <v>#DIV/0!</v>
      </c>
      <c r="G42" s="170"/>
      <c r="H42" s="171"/>
      <c r="I42" s="166">
        <f t="shared" si="3"/>
        <v>29</v>
      </c>
      <c r="K42" s="167"/>
      <c r="L42" s="170" t="e">
        <f t="shared" si="1"/>
        <v>#DIV/0!</v>
      </c>
      <c r="M42" s="170" t="e">
        <f>SUM($L$14:$L42)</f>
        <v>#DIV/0!</v>
      </c>
      <c r="R42" s="295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72"/>
      <c r="T42" s="295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72"/>
      <c r="V42" s="295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72"/>
      <c r="X42" s="295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72"/>
      <c r="Z42" s="295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72"/>
      <c r="AB42" s="295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72"/>
      <c r="AD42" s="295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72"/>
      <c r="AF42" s="295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72"/>
      <c r="AH42" s="295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72"/>
      <c r="AJ42" s="295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72"/>
      <c r="AL42" s="295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72"/>
      <c r="AN42" s="295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72"/>
      <c r="AP42" s="295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72"/>
      <c r="AR42" s="295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72"/>
      <c r="AT42" s="295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72"/>
      <c r="AV42" s="295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72"/>
      <c r="AX42" s="295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72"/>
      <c r="AZ42" s="295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72"/>
      <c r="BB42" s="295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72"/>
      <c r="BD42" s="295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72"/>
      <c r="BF42" s="295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72"/>
      <c r="BH42" s="295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72"/>
      <c r="BJ42" s="295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72"/>
      <c r="BL42" s="295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72"/>
      <c r="BN42" s="295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72"/>
    </row>
    <row r="43" spans="1:67" x14ac:dyDescent="0.25">
      <c r="A43">
        <f t="shared" si="2"/>
        <v>30</v>
      </c>
      <c r="B43" s="164"/>
      <c r="C43" s="166"/>
      <c r="D43" s="167"/>
      <c r="E43" s="170" t="e">
        <f t="shared" si="0"/>
        <v>#DIV/0!</v>
      </c>
      <c r="F43" s="170" t="e">
        <f>SUM($E$14:$E43)</f>
        <v>#DIV/0!</v>
      </c>
      <c r="G43" s="170"/>
      <c r="H43" s="171"/>
      <c r="I43" s="166">
        <f t="shared" si="3"/>
        <v>30</v>
      </c>
      <c r="K43" s="167"/>
      <c r="L43" s="170" t="e">
        <f t="shared" si="1"/>
        <v>#DIV/0!</v>
      </c>
      <c r="M43" s="170" t="e">
        <f>SUM($L$14:$L43)</f>
        <v>#DIV/0!</v>
      </c>
      <c r="R43" s="295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72"/>
      <c r="T43" s="295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72"/>
      <c r="V43" s="295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72"/>
      <c r="X43" s="295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72"/>
      <c r="Z43" s="295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72"/>
      <c r="AB43" s="295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72"/>
      <c r="AD43" s="295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72"/>
      <c r="AF43" s="295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72"/>
      <c r="AH43" s="295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72"/>
      <c r="AJ43" s="295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72"/>
      <c r="AL43" s="295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72"/>
      <c r="AN43" s="295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72"/>
      <c r="AP43" s="295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72"/>
      <c r="AR43" s="295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72"/>
      <c r="AT43" s="295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72"/>
      <c r="AV43" s="295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72"/>
      <c r="AX43" s="295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72"/>
      <c r="AZ43" s="295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72"/>
      <c r="BB43" s="295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72"/>
      <c r="BD43" s="295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72"/>
      <c r="BF43" s="295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72"/>
      <c r="BH43" s="295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72"/>
      <c r="BJ43" s="295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72"/>
      <c r="BL43" s="295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72"/>
      <c r="BN43" s="295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72"/>
    </row>
    <row r="44" spans="1:67" x14ac:dyDescent="0.25">
      <c r="A44">
        <f t="shared" si="2"/>
        <v>31</v>
      </c>
      <c r="B44" s="164"/>
      <c r="C44" s="166"/>
      <c r="D44" s="167"/>
      <c r="E44" s="170" t="e">
        <f t="shared" si="0"/>
        <v>#DIV/0!</v>
      </c>
      <c r="F44" s="170" t="e">
        <f>SUM($E$14:$E44)</f>
        <v>#DIV/0!</v>
      </c>
      <c r="G44" s="170"/>
      <c r="H44" s="171"/>
      <c r="I44" s="166">
        <f t="shared" si="3"/>
        <v>31</v>
      </c>
      <c r="K44" s="167"/>
      <c r="L44" s="170" t="e">
        <f t="shared" si="1"/>
        <v>#DIV/0!</v>
      </c>
      <c r="M44" s="170" t="e">
        <f>SUM($L$14:$L44)</f>
        <v>#DIV/0!</v>
      </c>
      <c r="R44" s="295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72"/>
      <c r="T44" s="295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72"/>
      <c r="V44" s="295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72"/>
      <c r="X44" s="295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72"/>
      <c r="Z44" s="295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72"/>
      <c r="AB44" s="295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72"/>
      <c r="AD44" s="295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72"/>
      <c r="AF44" s="295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72"/>
      <c r="AH44" s="295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72"/>
      <c r="AJ44" s="295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72"/>
      <c r="AL44" s="295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72"/>
      <c r="AN44" s="295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72"/>
      <c r="AP44" s="295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72"/>
      <c r="AR44" s="295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72"/>
      <c r="AT44" s="295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72"/>
      <c r="AV44" s="295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72"/>
      <c r="AX44" s="295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72"/>
      <c r="AZ44" s="295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72"/>
      <c r="BB44" s="295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72"/>
      <c r="BD44" s="295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72"/>
      <c r="BF44" s="295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72"/>
      <c r="BH44" s="295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72"/>
      <c r="BJ44" s="295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72"/>
      <c r="BL44" s="295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72"/>
      <c r="BN44" s="295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72"/>
    </row>
    <row r="45" spans="1:67" x14ac:dyDescent="0.25">
      <c r="A45">
        <f t="shared" si="2"/>
        <v>32</v>
      </c>
      <c r="B45" s="164"/>
      <c r="C45" s="166"/>
      <c r="D45" s="167"/>
      <c r="E45" s="170" t="e">
        <f t="shared" si="0"/>
        <v>#DIV/0!</v>
      </c>
      <c r="F45" s="170" t="e">
        <f>SUM($E$14:$E45)</f>
        <v>#DIV/0!</v>
      </c>
      <c r="G45" s="170"/>
      <c r="H45" s="171"/>
      <c r="I45" s="166">
        <f t="shared" si="3"/>
        <v>32</v>
      </c>
      <c r="K45" s="167"/>
      <c r="L45" s="170" t="e">
        <f t="shared" si="1"/>
        <v>#DIV/0!</v>
      </c>
      <c r="M45" s="170" t="e">
        <f>SUM($L$14:$L45)</f>
        <v>#DIV/0!</v>
      </c>
      <c r="R45" s="295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72"/>
      <c r="T45" s="295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72"/>
      <c r="V45" s="295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72"/>
      <c r="X45" s="295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72"/>
      <c r="Z45" s="295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72"/>
      <c r="AB45" s="295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72"/>
      <c r="AD45" s="295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72"/>
      <c r="AF45" s="295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72"/>
      <c r="AH45" s="295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72"/>
      <c r="AJ45" s="295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72"/>
      <c r="AL45" s="295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72"/>
      <c r="AN45" s="295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72"/>
      <c r="AP45" s="295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72"/>
      <c r="AR45" s="295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72"/>
      <c r="AT45" s="295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72"/>
      <c r="AV45" s="295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72"/>
      <c r="AX45" s="295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72"/>
      <c r="AZ45" s="295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72"/>
      <c r="BB45" s="295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72"/>
      <c r="BD45" s="295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72"/>
      <c r="BF45" s="295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72"/>
      <c r="BH45" s="295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72"/>
      <c r="BJ45" s="295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72"/>
      <c r="BL45" s="295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72"/>
      <c r="BN45" s="295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72"/>
    </row>
    <row r="46" spans="1:67" x14ac:dyDescent="0.25">
      <c r="A46">
        <f t="shared" si="2"/>
        <v>33</v>
      </c>
      <c r="B46" s="164"/>
      <c r="C46" s="166"/>
      <c r="D46" s="167"/>
      <c r="E46" s="170" t="e">
        <f t="shared" si="0"/>
        <v>#DIV/0!</v>
      </c>
      <c r="F46" s="170" t="e">
        <f>SUM($E$14:$E46)</f>
        <v>#DIV/0!</v>
      </c>
      <c r="G46" s="170"/>
      <c r="H46" s="171"/>
      <c r="I46" s="166">
        <f t="shared" si="3"/>
        <v>33</v>
      </c>
      <c r="K46" s="167"/>
      <c r="L46" s="170" t="e">
        <f t="shared" si="1"/>
        <v>#DIV/0!</v>
      </c>
      <c r="M46" s="170" t="e">
        <f>SUM($L$14:$L46)</f>
        <v>#DIV/0!</v>
      </c>
      <c r="R46" s="295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72"/>
      <c r="T46" s="295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72"/>
      <c r="V46" s="295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72"/>
      <c r="X46" s="295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72"/>
      <c r="Z46" s="295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72"/>
      <c r="AB46" s="295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72"/>
      <c r="AD46" s="295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72"/>
      <c r="AF46" s="295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72"/>
      <c r="AH46" s="295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72"/>
      <c r="AJ46" s="295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72"/>
      <c r="AL46" s="295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72"/>
      <c r="AN46" s="295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72"/>
      <c r="AP46" s="295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72"/>
      <c r="AR46" s="295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72"/>
      <c r="AT46" s="295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72"/>
      <c r="AV46" s="295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72"/>
      <c r="AX46" s="295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72"/>
      <c r="AZ46" s="295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72"/>
      <c r="BB46" s="295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72"/>
      <c r="BD46" s="295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72"/>
      <c r="BF46" s="295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72"/>
      <c r="BH46" s="295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72"/>
      <c r="BJ46" s="295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72"/>
      <c r="BL46" s="295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72"/>
      <c r="BN46" s="295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72"/>
    </row>
    <row r="47" spans="1:67" x14ac:dyDescent="0.25">
      <c r="A47">
        <f t="shared" si="2"/>
        <v>34</v>
      </c>
      <c r="B47" s="164"/>
      <c r="C47" s="166"/>
      <c r="D47" s="167"/>
      <c r="E47" s="170" t="e">
        <f t="shared" si="0"/>
        <v>#DIV/0!</v>
      </c>
      <c r="F47" s="170" t="e">
        <f>SUM($E$14:$E47)</f>
        <v>#DIV/0!</v>
      </c>
      <c r="G47" s="170"/>
      <c r="H47" s="171"/>
      <c r="I47" s="166">
        <f t="shared" si="3"/>
        <v>34</v>
      </c>
      <c r="K47" s="167"/>
      <c r="L47" s="170" t="e">
        <f t="shared" si="1"/>
        <v>#DIV/0!</v>
      </c>
      <c r="M47" s="170" t="e">
        <f>SUM($L$14:$L47)</f>
        <v>#DIV/0!</v>
      </c>
      <c r="R47" s="295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72"/>
      <c r="T47" s="295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72"/>
      <c r="V47" s="295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72"/>
      <c r="X47" s="295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72"/>
      <c r="Z47" s="295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72"/>
      <c r="AB47" s="295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72"/>
      <c r="AD47" s="295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72"/>
      <c r="AF47" s="295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72"/>
      <c r="AH47" s="295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72"/>
      <c r="AJ47" s="295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72"/>
      <c r="AL47" s="295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72"/>
      <c r="AN47" s="295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72"/>
      <c r="AP47" s="295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72"/>
      <c r="AR47" s="295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72"/>
      <c r="AT47" s="295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72"/>
      <c r="AV47" s="295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72"/>
      <c r="AX47" s="295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72"/>
      <c r="AZ47" s="295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72"/>
      <c r="BB47" s="295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72"/>
      <c r="BD47" s="295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72"/>
      <c r="BF47" s="295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72"/>
      <c r="BH47" s="295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72"/>
      <c r="BJ47" s="295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72"/>
      <c r="BL47" s="295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72"/>
      <c r="BN47" s="295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72"/>
    </row>
    <row r="48" spans="1:67" x14ac:dyDescent="0.25">
      <c r="A48">
        <f t="shared" si="2"/>
        <v>35</v>
      </c>
      <c r="B48" s="164"/>
      <c r="C48" s="166"/>
      <c r="D48" s="167"/>
      <c r="E48" s="170" t="e">
        <f t="shared" si="0"/>
        <v>#DIV/0!</v>
      </c>
      <c r="F48" s="170" t="e">
        <f>SUM($E$14:$E48)</f>
        <v>#DIV/0!</v>
      </c>
      <c r="G48" s="170"/>
      <c r="H48" s="171"/>
      <c r="I48" s="166">
        <f t="shared" si="3"/>
        <v>35</v>
      </c>
      <c r="K48" s="167"/>
      <c r="L48" s="170" t="e">
        <f t="shared" si="1"/>
        <v>#DIV/0!</v>
      </c>
      <c r="M48" s="170" t="e">
        <f>SUM($L$14:$L48)</f>
        <v>#DIV/0!</v>
      </c>
      <c r="R48" s="295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72"/>
      <c r="T48" s="295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72"/>
      <c r="V48" s="295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72"/>
      <c r="X48" s="295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72"/>
      <c r="Z48" s="295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72"/>
      <c r="AB48" s="295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72"/>
      <c r="AD48" s="295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72"/>
      <c r="AF48" s="295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72"/>
      <c r="AH48" s="295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72"/>
      <c r="AJ48" s="295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72"/>
      <c r="AL48" s="295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72"/>
      <c r="AN48" s="295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72"/>
      <c r="AP48" s="295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72"/>
      <c r="AR48" s="295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72"/>
      <c r="AT48" s="295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72"/>
      <c r="AV48" s="295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72"/>
      <c r="AX48" s="295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72"/>
      <c r="AZ48" s="295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72"/>
      <c r="BB48" s="295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72"/>
      <c r="BD48" s="295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72"/>
      <c r="BF48" s="295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72"/>
      <c r="BH48" s="295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72"/>
      <c r="BJ48" s="295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72"/>
      <c r="BL48" s="295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72"/>
      <c r="BN48" s="295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72"/>
    </row>
    <row r="49" spans="1:67" x14ac:dyDescent="0.25">
      <c r="A49">
        <f t="shared" si="2"/>
        <v>36</v>
      </c>
      <c r="B49" s="164"/>
      <c r="C49" s="166"/>
      <c r="D49" s="167"/>
      <c r="E49" s="170" t="e">
        <f t="shared" si="0"/>
        <v>#DIV/0!</v>
      </c>
      <c r="F49" s="170" t="e">
        <f>SUM($E$14:$E49)</f>
        <v>#DIV/0!</v>
      </c>
      <c r="G49" s="170"/>
      <c r="H49" s="171"/>
      <c r="I49" s="166">
        <f t="shared" si="3"/>
        <v>36</v>
      </c>
      <c r="K49" s="167"/>
      <c r="L49" s="170" t="e">
        <f t="shared" si="1"/>
        <v>#DIV/0!</v>
      </c>
      <c r="M49" s="170" t="e">
        <f>SUM($L$14:$L49)</f>
        <v>#DIV/0!</v>
      </c>
      <c r="R49" s="295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72"/>
      <c r="T49" s="295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72"/>
      <c r="V49" s="295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72"/>
      <c r="X49" s="295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72"/>
      <c r="Z49" s="295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72"/>
      <c r="AB49" s="295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72"/>
      <c r="AD49" s="295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72"/>
      <c r="AF49" s="295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72"/>
      <c r="AH49" s="295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72"/>
      <c r="AJ49" s="295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72"/>
      <c r="AL49" s="295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72"/>
      <c r="AN49" s="295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72"/>
      <c r="AP49" s="295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72"/>
      <c r="AR49" s="295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72"/>
      <c r="AT49" s="295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72"/>
      <c r="AV49" s="295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72"/>
      <c r="AX49" s="295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72"/>
      <c r="AZ49" s="295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72"/>
      <c r="BB49" s="295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72"/>
      <c r="BD49" s="295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72"/>
      <c r="BF49" s="295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72"/>
      <c r="BH49" s="295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72"/>
      <c r="BJ49" s="295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72"/>
      <c r="BL49" s="295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72"/>
      <c r="BN49" s="295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72"/>
    </row>
    <row r="50" spans="1:67" x14ac:dyDescent="0.25">
      <c r="A50">
        <f t="shared" si="2"/>
        <v>37</v>
      </c>
      <c r="B50" s="164"/>
      <c r="C50" s="166"/>
      <c r="D50" s="167"/>
      <c r="E50" s="170" t="e">
        <f t="shared" si="0"/>
        <v>#DIV/0!</v>
      </c>
      <c r="F50" s="170" t="e">
        <f>SUM($E$14:$E50)</f>
        <v>#DIV/0!</v>
      </c>
      <c r="G50" s="170"/>
      <c r="H50" s="171"/>
      <c r="I50" s="166">
        <f t="shared" si="3"/>
        <v>37</v>
      </c>
      <c r="K50" s="167"/>
      <c r="L50" s="170" t="e">
        <f t="shared" si="1"/>
        <v>#DIV/0!</v>
      </c>
      <c r="M50" s="170" t="e">
        <f>SUM($L$14:$L50)</f>
        <v>#DIV/0!</v>
      </c>
      <c r="R50" s="295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72"/>
      <c r="T50" s="295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72"/>
      <c r="V50" s="295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72"/>
      <c r="X50" s="295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72"/>
      <c r="Z50" s="295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72"/>
      <c r="AB50" s="295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72"/>
      <c r="AD50" s="295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72"/>
      <c r="AF50" s="295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72"/>
      <c r="AH50" s="295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72"/>
      <c r="AJ50" s="295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72"/>
      <c r="AL50" s="295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72"/>
      <c r="AN50" s="295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72"/>
      <c r="AP50" s="295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72"/>
      <c r="AR50" s="295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72"/>
      <c r="AT50" s="295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72"/>
      <c r="AV50" s="295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72"/>
      <c r="AX50" s="295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72"/>
      <c r="AZ50" s="295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72"/>
      <c r="BB50" s="295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72"/>
      <c r="BD50" s="295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72"/>
      <c r="BF50" s="295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72"/>
      <c r="BH50" s="295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72"/>
      <c r="BJ50" s="295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72"/>
      <c r="BL50" s="295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72"/>
      <c r="BN50" s="295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72"/>
    </row>
    <row r="51" spans="1:67" x14ac:dyDescent="0.25">
      <c r="A51">
        <f t="shared" si="2"/>
        <v>38</v>
      </c>
      <c r="B51" s="164"/>
      <c r="C51" s="166"/>
      <c r="D51" s="167"/>
      <c r="E51" s="170" t="e">
        <f t="shared" si="0"/>
        <v>#DIV/0!</v>
      </c>
      <c r="F51" s="170" t="e">
        <f>SUM($E$14:$E51)</f>
        <v>#DIV/0!</v>
      </c>
      <c r="G51" s="170"/>
      <c r="H51" s="171"/>
      <c r="I51" s="166">
        <f t="shared" si="3"/>
        <v>38</v>
      </c>
      <c r="K51" s="167"/>
      <c r="L51" s="170" t="e">
        <f t="shared" si="1"/>
        <v>#DIV/0!</v>
      </c>
      <c r="M51" s="170" t="e">
        <f>SUM($L$14:$L51)</f>
        <v>#DIV/0!</v>
      </c>
      <c r="R51" s="295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72"/>
      <c r="T51" s="295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72"/>
      <c r="V51" s="295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72"/>
      <c r="X51" s="295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72"/>
      <c r="Z51" s="295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72"/>
      <c r="AB51" s="295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72"/>
      <c r="AD51" s="295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72"/>
      <c r="AF51" s="295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72"/>
      <c r="AH51" s="295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72"/>
      <c r="AJ51" s="295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72"/>
      <c r="AL51" s="295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72"/>
      <c r="AN51" s="295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72"/>
      <c r="AP51" s="295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72"/>
      <c r="AR51" s="295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72"/>
      <c r="AT51" s="295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72"/>
      <c r="AV51" s="295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72"/>
      <c r="AX51" s="295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72"/>
      <c r="AZ51" s="295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72"/>
      <c r="BB51" s="295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72"/>
      <c r="BD51" s="295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72"/>
      <c r="BF51" s="295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72"/>
      <c r="BH51" s="295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72"/>
      <c r="BJ51" s="295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72"/>
      <c r="BL51" s="295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72"/>
      <c r="BN51" s="295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72"/>
    </row>
    <row r="52" spans="1:67" x14ac:dyDescent="0.25">
      <c r="A52">
        <f t="shared" si="2"/>
        <v>39</v>
      </c>
      <c r="B52" s="164"/>
      <c r="C52" s="166"/>
      <c r="D52" s="167"/>
      <c r="E52" s="170" t="e">
        <f t="shared" si="0"/>
        <v>#DIV/0!</v>
      </c>
      <c r="F52" s="170" t="e">
        <f>SUM($E$14:$E52)</f>
        <v>#DIV/0!</v>
      </c>
      <c r="H52" s="171"/>
      <c r="I52" s="166">
        <f t="shared" si="3"/>
        <v>39</v>
      </c>
      <c r="K52" s="167"/>
      <c r="L52" s="170" t="e">
        <f t="shared" si="1"/>
        <v>#DIV/0!</v>
      </c>
      <c r="M52" s="170" t="e">
        <f>SUM($L$14:$L52)</f>
        <v>#DIV/0!</v>
      </c>
      <c r="R52" s="295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72"/>
      <c r="T52" s="295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72"/>
      <c r="V52" s="295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72"/>
      <c r="X52" s="295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72"/>
      <c r="Z52" s="295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72"/>
      <c r="AB52" s="295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72"/>
      <c r="AD52" s="295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72"/>
      <c r="AF52" s="295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72"/>
      <c r="AH52" s="295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72"/>
      <c r="AJ52" s="295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72"/>
      <c r="AL52" s="295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72"/>
      <c r="AN52" s="295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72"/>
      <c r="AP52" s="295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72"/>
      <c r="AR52" s="295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72"/>
      <c r="AT52" s="295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72"/>
      <c r="AV52" s="295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72"/>
      <c r="AX52" s="295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72"/>
      <c r="AZ52" s="295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72"/>
      <c r="BB52" s="295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72"/>
      <c r="BD52" s="295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72"/>
      <c r="BF52" s="295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72"/>
      <c r="BH52" s="295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72"/>
      <c r="BJ52" s="295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72"/>
      <c r="BL52" s="295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72"/>
      <c r="BN52" s="295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72"/>
    </row>
    <row r="53" spans="1:67" x14ac:dyDescent="0.25">
      <c r="A53">
        <f t="shared" si="2"/>
        <v>40</v>
      </c>
      <c r="B53" s="164"/>
      <c r="C53" s="166"/>
      <c r="D53" s="167"/>
      <c r="E53" s="170" t="e">
        <f t="shared" si="0"/>
        <v>#DIV/0!</v>
      </c>
      <c r="F53" s="170" t="e">
        <f>SUM($E$14:$E53)</f>
        <v>#DIV/0!</v>
      </c>
      <c r="H53" s="171"/>
      <c r="I53" s="166">
        <f t="shared" si="3"/>
        <v>40</v>
      </c>
      <c r="K53" s="167"/>
      <c r="L53" s="170" t="e">
        <f t="shared" si="1"/>
        <v>#DIV/0!</v>
      </c>
      <c r="M53" s="170" t="e">
        <f>SUM($L$14:$L53)</f>
        <v>#DIV/0!</v>
      </c>
      <c r="R53" s="295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72"/>
      <c r="T53" s="295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72"/>
      <c r="V53" s="295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72"/>
      <c r="X53" s="295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72"/>
      <c r="Z53" s="295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72"/>
      <c r="AB53" s="295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72"/>
      <c r="AD53" s="295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72"/>
      <c r="AF53" s="295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72"/>
      <c r="AH53" s="295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72"/>
      <c r="AJ53" s="295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72"/>
      <c r="AL53" s="295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72"/>
      <c r="AN53" s="295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72"/>
      <c r="AP53" s="295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72"/>
      <c r="AR53" s="295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72"/>
      <c r="AT53" s="295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72"/>
      <c r="AV53" s="295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72"/>
      <c r="AX53" s="295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72"/>
      <c r="AZ53" s="295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72"/>
      <c r="BB53" s="295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72"/>
      <c r="BD53" s="295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72"/>
      <c r="BF53" s="295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72"/>
      <c r="BH53" s="295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72"/>
      <c r="BJ53" s="295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72"/>
      <c r="BL53" s="295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72"/>
      <c r="BN53" s="295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72"/>
    </row>
    <row r="54" spans="1:67" x14ac:dyDescent="0.25">
      <c r="A54">
        <f t="shared" si="2"/>
        <v>41</v>
      </c>
      <c r="B54" s="164"/>
      <c r="C54" s="166"/>
      <c r="D54" s="167"/>
      <c r="E54" s="170" t="e">
        <f t="shared" si="0"/>
        <v>#DIV/0!</v>
      </c>
      <c r="F54" s="170" t="e">
        <f>SUM($E$14:$E54)</f>
        <v>#DIV/0!</v>
      </c>
      <c r="H54" s="171"/>
      <c r="I54" s="166">
        <f t="shared" si="3"/>
        <v>41</v>
      </c>
      <c r="K54" s="167"/>
      <c r="L54" s="170" t="e">
        <f t="shared" si="1"/>
        <v>#DIV/0!</v>
      </c>
      <c r="M54" s="170" t="e">
        <f>SUM($L$14:$L54)</f>
        <v>#DIV/0!</v>
      </c>
      <c r="R54" s="295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72"/>
      <c r="T54" s="295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72"/>
      <c r="V54" s="295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72"/>
      <c r="X54" s="295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72"/>
      <c r="Z54" s="295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72"/>
      <c r="AB54" s="295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72"/>
      <c r="AD54" s="295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72"/>
      <c r="AF54" s="295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72"/>
      <c r="AH54" s="295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72"/>
      <c r="AJ54" s="295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72"/>
      <c r="AL54" s="295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72"/>
      <c r="AN54" s="295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72"/>
      <c r="AP54" s="295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72"/>
      <c r="AR54" s="295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72"/>
      <c r="AT54" s="295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72"/>
      <c r="AV54" s="295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72"/>
      <c r="AX54" s="295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72"/>
      <c r="AZ54" s="295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72"/>
      <c r="BB54" s="295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72"/>
      <c r="BD54" s="295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72"/>
      <c r="BF54" s="295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72"/>
      <c r="BH54" s="295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72"/>
      <c r="BJ54" s="295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72"/>
      <c r="BL54" s="295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72"/>
      <c r="BN54" s="295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72"/>
    </row>
    <row r="55" spans="1:67" x14ac:dyDescent="0.25">
      <c r="A55">
        <f>A54+1</f>
        <v>42</v>
      </c>
      <c r="B55" s="165"/>
      <c r="C55" s="168"/>
      <c r="D55" s="169"/>
      <c r="E55" s="170" t="e">
        <f>$D55/SUM($D$14:$D$51)</f>
        <v>#DIV/0!</v>
      </c>
      <c r="F55" s="170" t="e">
        <f>SUM($E$14:$E55)</f>
        <v>#DIV/0!</v>
      </c>
      <c r="H55" s="171"/>
      <c r="I55" s="166">
        <f t="shared" si="3"/>
        <v>42</v>
      </c>
      <c r="K55" s="167"/>
      <c r="L55" s="170" t="e">
        <f t="shared" si="1"/>
        <v>#DIV/0!</v>
      </c>
      <c r="M55" s="170" t="e">
        <f>SUM($L$14:$L55)</f>
        <v>#DIV/0!</v>
      </c>
      <c r="R55" s="295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72"/>
      <c r="T55" s="295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72"/>
      <c r="V55" s="295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72"/>
      <c r="X55" s="295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72"/>
      <c r="Z55" s="295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72"/>
      <c r="AB55" s="295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72"/>
      <c r="AD55" s="295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72"/>
      <c r="AF55" s="295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72"/>
      <c r="AH55" s="295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72"/>
      <c r="AJ55" s="295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72"/>
      <c r="AL55" s="295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72"/>
      <c r="AN55" s="295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72"/>
      <c r="AP55" s="295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72"/>
      <c r="AR55" s="295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72"/>
      <c r="AT55" s="295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72"/>
      <c r="AV55" s="295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72"/>
      <c r="AX55" s="295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72"/>
      <c r="AZ55" s="295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72"/>
      <c r="BB55" s="295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72"/>
      <c r="BD55" s="295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72"/>
      <c r="BF55" s="295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72"/>
      <c r="BH55" s="295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72"/>
      <c r="BJ55" s="295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72"/>
      <c r="BL55" s="295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72"/>
      <c r="BN55" s="295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72"/>
    </row>
    <row r="56" spans="1:67" x14ac:dyDescent="0.25">
      <c r="H56" s="171"/>
      <c r="I56" s="166">
        <f t="shared" si="3"/>
        <v>43</v>
      </c>
      <c r="K56" s="167"/>
      <c r="L56" s="170" t="e">
        <f t="shared" si="1"/>
        <v>#DIV/0!</v>
      </c>
      <c r="M56" s="170" t="e">
        <f>SUM($L$14:$L56)</f>
        <v>#DIV/0!</v>
      </c>
      <c r="R56" s="295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72"/>
      <c r="T56" s="295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72"/>
      <c r="V56" s="295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72"/>
      <c r="X56" s="295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72"/>
      <c r="Z56" s="295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72"/>
      <c r="AB56" s="295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72"/>
      <c r="AD56" s="295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72"/>
      <c r="AF56" s="295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72"/>
      <c r="AH56" s="295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72"/>
      <c r="AJ56" s="295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72"/>
      <c r="AL56" s="295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72"/>
      <c r="AN56" s="295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72"/>
      <c r="AP56" s="295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72"/>
      <c r="AR56" s="295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72"/>
      <c r="AT56" s="295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72"/>
      <c r="AV56" s="295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72"/>
      <c r="AX56" s="295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72"/>
      <c r="AZ56" s="295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72"/>
      <c r="BB56" s="295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72"/>
      <c r="BD56" s="295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72"/>
      <c r="BF56" s="295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72"/>
      <c r="BH56" s="295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72"/>
      <c r="BJ56" s="295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72"/>
      <c r="BL56" s="295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72"/>
      <c r="BN56" s="295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72"/>
    </row>
    <row r="57" spans="1:67" x14ac:dyDescent="0.25">
      <c r="H57" s="171"/>
      <c r="I57" s="166">
        <f t="shared" si="3"/>
        <v>44</v>
      </c>
      <c r="K57" s="167"/>
      <c r="L57" s="170" t="e">
        <f t="shared" si="1"/>
        <v>#DIV/0!</v>
      </c>
      <c r="M57" s="170" t="e">
        <f>SUM($L$14:$L57)</f>
        <v>#DIV/0!</v>
      </c>
      <c r="R57" s="295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72"/>
      <c r="T57" s="295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72"/>
      <c r="V57" s="295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72"/>
      <c r="X57" s="295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72"/>
      <c r="Z57" s="295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72"/>
      <c r="AB57" s="295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72"/>
      <c r="AD57" s="295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72"/>
      <c r="AF57" s="295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72"/>
      <c r="AH57" s="295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72"/>
      <c r="AJ57" s="295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72"/>
      <c r="AL57" s="295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72"/>
      <c r="AN57" s="295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72"/>
      <c r="AP57" s="295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72"/>
      <c r="AR57" s="295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72"/>
      <c r="AT57" s="295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72"/>
      <c r="AV57" s="295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72"/>
      <c r="AX57" s="295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72"/>
      <c r="AZ57" s="295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72"/>
      <c r="BB57" s="295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72"/>
      <c r="BD57" s="295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72"/>
      <c r="BF57" s="295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72"/>
      <c r="BH57" s="295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72"/>
      <c r="BJ57" s="295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72"/>
      <c r="BL57" s="295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72"/>
      <c r="BN57" s="295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72"/>
    </row>
    <row r="58" spans="1:67" x14ac:dyDescent="0.25">
      <c r="H58" s="171"/>
      <c r="I58" s="166">
        <f t="shared" si="3"/>
        <v>45</v>
      </c>
      <c r="K58" s="167"/>
      <c r="L58" s="170" t="e">
        <f t="shared" si="1"/>
        <v>#DIV/0!</v>
      </c>
      <c r="M58" s="170" t="e">
        <f>SUM($L$14:$L58)</f>
        <v>#DIV/0!</v>
      </c>
      <c r="R58" s="295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72"/>
      <c r="T58" s="295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72"/>
      <c r="V58" s="295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72"/>
      <c r="X58" s="295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72"/>
      <c r="Z58" s="295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72"/>
      <c r="AB58" s="295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72"/>
      <c r="AD58" s="295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72"/>
      <c r="AF58" s="295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72"/>
      <c r="AH58" s="295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72"/>
      <c r="AJ58" s="295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72"/>
      <c r="AL58" s="295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72"/>
      <c r="AN58" s="295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72"/>
      <c r="AP58" s="295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72"/>
      <c r="AR58" s="295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72"/>
      <c r="AT58" s="295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72"/>
      <c r="AV58" s="295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72"/>
      <c r="AX58" s="295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72"/>
      <c r="AZ58" s="295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72"/>
      <c r="BB58" s="295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72"/>
      <c r="BD58" s="295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72"/>
      <c r="BF58" s="295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72"/>
      <c r="BH58" s="295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72"/>
      <c r="BJ58" s="295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72"/>
      <c r="BL58" s="295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72"/>
      <c r="BN58" s="295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72"/>
    </row>
    <row r="59" spans="1:67" x14ac:dyDescent="0.25">
      <c r="H59" s="171"/>
      <c r="I59" s="166">
        <f t="shared" si="3"/>
        <v>46</v>
      </c>
      <c r="K59" s="167"/>
      <c r="L59" s="170" t="e">
        <f t="shared" si="1"/>
        <v>#DIV/0!</v>
      </c>
      <c r="M59" s="170" t="e">
        <f>SUM($L$14:$L59)</f>
        <v>#DIV/0!</v>
      </c>
      <c r="R59" s="295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72"/>
      <c r="T59" s="295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72"/>
      <c r="V59" s="295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72"/>
      <c r="X59" s="295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72"/>
      <c r="Z59" s="295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72"/>
      <c r="AB59" s="295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72"/>
      <c r="AD59" s="295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72"/>
      <c r="AF59" s="295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72"/>
      <c r="AH59" s="295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72"/>
      <c r="AJ59" s="295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72"/>
      <c r="AL59" s="295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72"/>
      <c r="AN59" s="295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72"/>
      <c r="AP59" s="295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72"/>
      <c r="AR59" s="295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72"/>
      <c r="AT59" s="295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72"/>
      <c r="AV59" s="295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72"/>
      <c r="AX59" s="295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72"/>
      <c r="AZ59" s="295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72"/>
      <c r="BB59" s="295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72"/>
      <c r="BD59" s="295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72"/>
      <c r="BF59" s="295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72"/>
      <c r="BH59" s="295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72"/>
      <c r="BJ59" s="295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72"/>
      <c r="BL59" s="295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72"/>
      <c r="BN59" s="295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72"/>
    </row>
    <row r="60" spans="1:67" x14ac:dyDescent="0.25">
      <c r="H60" s="171"/>
      <c r="I60" s="166">
        <f t="shared" si="3"/>
        <v>47</v>
      </c>
      <c r="K60" s="167"/>
      <c r="L60" s="170" t="e">
        <f t="shared" si="1"/>
        <v>#DIV/0!</v>
      </c>
      <c r="M60" s="170" t="e">
        <f>SUM($L$14:$L60)</f>
        <v>#DIV/0!</v>
      </c>
      <c r="R60" s="295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72"/>
      <c r="T60" s="295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72"/>
      <c r="V60" s="295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72"/>
      <c r="X60" s="295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72"/>
      <c r="Z60" s="295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72"/>
      <c r="AB60" s="295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72"/>
      <c r="AD60" s="295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72"/>
      <c r="AF60" s="295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72"/>
      <c r="AH60" s="295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72"/>
      <c r="AJ60" s="295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72"/>
      <c r="AL60" s="295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72"/>
      <c r="AN60" s="295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72"/>
      <c r="AP60" s="295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72"/>
      <c r="AR60" s="295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72"/>
      <c r="AT60" s="295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72"/>
      <c r="AV60" s="295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72"/>
      <c r="AX60" s="295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72"/>
      <c r="AZ60" s="295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72"/>
      <c r="BB60" s="295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72"/>
      <c r="BD60" s="295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72"/>
      <c r="BF60" s="295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72"/>
      <c r="BH60" s="295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72"/>
      <c r="BJ60" s="295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72"/>
      <c r="BL60" s="295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72"/>
      <c r="BN60" s="295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72"/>
    </row>
    <row r="61" spans="1:67" x14ac:dyDescent="0.25">
      <c r="H61" s="171"/>
      <c r="I61" s="166">
        <f t="shared" si="3"/>
        <v>48</v>
      </c>
      <c r="K61" s="167"/>
      <c r="L61" s="170" t="e">
        <f t="shared" si="1"/>
        <v>#DIV/0!</v>
      </c>
      <c r="M61" s="170" t="e">
        <f>SUM($L$14:$L61)</f>
        <v>#DIV/0!</v>
      </c>
      <c r="R61" s="295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72"/>
      <c r="T61" s="295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72"/>
      <c r="V61" s="295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72"/>
      <c r="X61" s="295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72"/>
      <c r="Z61" s="295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72"/>
      <c r="AB61" s="295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72"/>
      <c r="AD61" s="295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72"/>
      <c r="AF61" s="295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72"/>
      <c r="AH61" s="295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72"/>
      <c r="AJ61" s="295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72"/>
      <c r="AL61" s="295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72"/>
      <c r="AN61" s="295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72"/>
      <c r="AP61" s="295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72"/>
      <c r="AR61" s="295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72"/>
      <c r="AT61" s="295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72"/>
      <c r="AV61" s="295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72"/>
      <c r="AX61" s="295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72"/>
      <c r="AZ61" s="295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72"/>
      <c r="BB61" s="295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72"/>
      <c r="BD61" s="295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72"/>
      <c r="BF61" s="295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72"/>
      <c r="BH61" s="295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72"/>
      <c r="BJ61" s="295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72"/>
      <c r="BL61" s="295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72"/>
      <c r="BN61" s="295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72"/>
    </row>
    <row r="62" spans="1:67" x14ac:dyDescent="0.25">
      <c r="H62" s="171"/>
      <c r="I62" s="166">
        <f t="shared" si="3"/>
        <v>49</v>
      </c>
      <c r="K62" s="167"/>
      <c r="L62" s="170" t="e">
        <f t="shared" si="1"/>
        <v>#DIV/0!</v>
      </c>
      <c r="M62" s="170" t="e">
        <f>SUM($L$14:$L62)</f>
        <v>#DIV/0!</v>
      </c>
      <c r="R62" s="295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72"/>
      <c r="T62" s="295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72"/>
      <c r="V62" s="295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72"/>
      <c r="X62" s="295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72"/>
      <c r="Z62" s="295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72"/>
      <c r="AB62" s="295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72"/>
      <c r="AD62" s="295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72"/>
      <c r="AF62" s="295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72"/>
      <c r="AH62" s="295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72"/>
      <c r="AJ62" s="295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72"/>
      <c r="AL62" s="295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72"/>
      <c r="AN62" s="295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72"/>
      <c r="AP62" s="295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72"/>
      <c r="AR62" s="295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72"/>
      <c r="AT62" s="295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72"/>
      <c r="AV62" s="295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72"/>
      <c r="AX62" s="295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72"/>
      <c r="AZ62" s="295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72"/>
      <c r="BB62" s="295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72"/>
      <c r="BD62" s="295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72"/>
      <c r="BF62" s="295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72"/>
      <c r="BH62" s="295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72"/>
      <c r="BJ62" s="295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72"/>
      <c r="BL62" s="295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72"/>
      <c r="BN62" s="295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72"/>
    </row>
    <row r="63" spans="1:67" x14ac:dyDescent="0.25">
      <c r="H63" s="171"/>
      <c r="I63" s="166">
        <f t="shared" si="3"/>
        <v>50</v>
      </c>
      <c r="K63" s="167"/>
      <c r="L63" s="170" t="e">
        <f t="shared" si="1"/>
        <v>#DIV/0!</v>
      </c>
      <c r="M63" s="170" t="e">
        <f>SUM($L$14:$L63)</f>
        <v>#DIV/0!</v>
      </c>
      <c r="R63" s="295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72"/>
      <c r="T63" s="295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72"/>
      <c r="V63" s="295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72"/>
      <c r="X63" s="295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72"/>
      <c r="Z63" s="295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72"/>
      <c r="AB63" s="295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72"/>
      <c r="AD63" s="295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72"/>
      <c r="AF63" s="295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72"/>
      <c r="AH63" s="295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72"/>
      <c r="AJ63" s="295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72"/>
      <c r="AL63" s="295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72"/>
      <c r="AN63" s="295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72"/>
      <c r="AP63" s="295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72"/>
      <c r="AR63" s="295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72"/>
      <c r="AT63" s="295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72"/>
      <c r="AV63" s="295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72"/>
      <c r="AX63" s="295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72"/>
      <c r="AZ63" s="295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72"/>
      <c r="BB63" s="295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72"/>
      <c r="BD63" s="295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72"/>
      <c r="BF63" s="295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72"/>
      <c r="BH63" s="295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72"/>
      <c r="BJ63" s="295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72"/>
      <c r="BL63" s="295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72"/>
      <c r="BN63" s="295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72"/>
    </row>
    <row r="64" spans="1:67" x14ac:dyDescent="0.25">
      <c r="H64" s="171"/>
      <c r="I64" s="166">
        <f t="shared" si="3"/>
        <v>51</v>
      </c>
      <c r="K64" s="167"/>
      <c r="L64" s="170" t="e">
        <f t="shared" si="1"/>
        <v>#DIV/0!</v>
      </c>
      <c r="M64" s="170" t="e">
        <f>SUM($L$14:$L64)</f>
        <v>#DIV/0!</v>
      </c>
      <c r="R64" s="295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72"/>
      <c r="T64" s="295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72"/>
      <c r="V64" s="295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72"/>
      <c r="X64" s="295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72"/>
      <c r="Z64" s="295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72"/>
      <c r="AB64" s="295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72"/>
      <c r="AD64" s="295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72"/>
      <c r="AF64" s="295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72"/>
      <c r="AH64" s="295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72"/>
      <c r="AJ64" s="295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72"/>
      <c r="AL64" s="295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72"/>
      <c r="AN64" s="295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72"/>
      <c r="AP64" s="295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72"/>
      <c r="AR64" s="295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72"/>
      <c r="AT64" s="295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72"/>
      <c r="AV64" s="295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72"/>
      <c r="AX64" s="295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72"/>
      <c r="AZ64" s="295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72"/>
      <c r="BB64" s="295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72"/>
      <c r="BD64" s="295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72"/>
      <c r="BF64" s="295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72"/>
      <c r="BH64" s="295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72"/>
      <c r="BJ64" s="295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72"/>
      <c r="BL64" s="295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72"/>
      <c r="BN64" s="295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72"/>
    </row>
    <row r="65" spans="8:67" x14ac:dyDescent="0.25">
      <c r="H65" s="171"/>
      <c r="I65" s="166">
        <f t="shared" si="3"/>
        <v>52</v>
      </c>
      <c r="K65" s="167"/>
      <c r="L65" s="170" t="e">
        <f t="shared" si="1"/>
        <v>#DIV/0!</v>
      </c>
      <c r="M65" s="170" t="e">
        <f>SUM($L$14:$L65)</f>
        <v>#DIV/0!</v>
      </c>
      <c r="R65" s="295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72"/>
      <c r="T65" s="295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72"/>
      <c r="V65" s="295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72"/>
      <c r="X65" s="295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72"/>
      <c r="Z65" s="295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72"/>
      <c r="AB65" s="295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72"/>
      <c r="AD65" s="295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72"/>
      <c r="AF65" s="295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72"/>
      <c r="AH65" s="295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72"/>
      <c r="AJ65" s="295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72"/>
      <c r="AL65" s="295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72"/>
      <c r="AN65" s="295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72"/>
      <c r="AP65" s="295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72"/>
      <c r="AR65" s="295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72"/>
      <c r="AT65" s="295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72"/>
      <c r="AV65" s="295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72"/>
      <c r="AX65" s="295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72"/>
      <c r="AZ65" s="295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72"/>
      <c r="BB65" s="295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72"/>
      <c r="BD65" s="295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72"/>
      <c r="BF65" s="295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72"/>
      <c r="BH65" s="295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72"/>
      <c r="BJ65" s="295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72"/>
      <c r="BL65" s="295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72"/>
      <c r="BN65" s="295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72"/>
    </row>
    <row r="66" spans="8:67" x14ac:dyDescent="0.25">
      <c r="H66" s="171"/>
      <c r="I66" s="166">
        <f t="shared" si="3"/>
        <v>53</v>
      </c>
      <c r="K66" s="167"/>
      <c r="L66" s="170" t="e">
        <f t="shared" si="1"/>
        <v>#DIV/0!</v>
      </c>
      <c r="M66" s="170" t="e">
        <f>SUM($L$14:$L66)</f>
        <v>#DIV/0!</v>
      </c>
      <c r="R66" s="295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72"/>
      <c r="T66" s="295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72"/>
      <c r="V66" s="295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72"/>
      <c r="X66" s="295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72"/>
      <c r="Z66" s="295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72"/>
      <c r="AB66" s="295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72"/>
      <c r="AD66" s="295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72"/>
      <c r="AF66" s="295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72"/>
      <c r="AH66" s="295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72"/>
      <c r="AJ66" s="295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72"/>
      <c r="AL66" s="295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72"/>
      <c r="AN66" s="295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72"/>
      <c r="AP66" s="295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72"/>
      <c r="AR66" s="295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72"/>
      <c r="AT66" s="295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72"/>
      <c r="AV66" s="295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72"/>
      <c r="AX66" s="295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72"/>
      <c r="AZ66" s="295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72"/>
      <c r="BB66" s="295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72"/>
      <c r="BD66" s="295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72"/>
      <c r="BF66" s="295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72"/>
      <c r="BH66" s="295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72"/>
      <c r="BJ66" s="295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72"/>
      <c r="BL66" s="295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72"/>
      <c r="BN66" s="295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72"/>
    </row>
    <row r="67" spans="8:67" x14ac:dyDescent="0.25">
      <c r="H67" s="171"/>
      <c r="I67" s="166">
        <f t="shared" si="3"/>
        <v>54</v>
      </c>
      <c r="K67" s="167"/>
      <c r="L67" s="170" t="e">
        <f t="shared" si="1"/>
        <v>#DIV/0!</v>
      </c>
      <c r="M67" s="170" t="e">
        <f>SUM($L$14:$L67)</f>
        <v>#DIV/0!</v>
      </c>
      <c r="R67" s="295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72"/>
      <c r="T67" s="295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72"/>
      <c r="V67" s="295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72"/>
      <c r="X67" s="295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72"/>
      <c r="Z67" s="295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72"/>
      <c r="AB67" s="295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72"/>
      <c r="AD67" s="295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72"/>
      <c r="AF67" s="295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72"/>
      <c r="AH67" s="295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72"/>
      <c r="AJ67" s="295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72"/>
      <c r="AL67" s="295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72"/>
      <c r="AN67" s="295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72"/>
      <c r="AP67" s="295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72"/>
      <c r="AR67" s="295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72"/>
      <c r="AT67" s="295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72"/>
      <c r="AV67" s="295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72"/>
      <c r="AX67" s="295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72"/>
      <c r="AZ67" s="295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72"/>
      <c r="BB67" s="295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72"/>
      <c r="BD67" s="295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72"/>
      <c r="BF67" s="295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72"/>
      <c r="BH67" s="295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72"/>
      <c r="BJ67" s="295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72"/>
      <c r="BL67" s="295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72"/>
      <c r="BN67" s="295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72"/>
    </row>
    <row r="68" spans="8:67" x14ac:dyDescent="0.25">
      <c r="H68" s="171"/>
      <c r="I68" s="166">
        <f t="shared" si="3"/>
        <v>55</v>
      </c>
      <c r="K68" s="167"/>
      <c r="L68" s="170" t="e">
        <f t="shared" si="1"/>
        <v>#DIV/0!</v>
      </c>
      <c r="M68" s="170" t="e">
        <f>SUM($L$14:$L68)</f>
        <v>#DIV/0!</v>
      </c>
      <c r="R68" s="295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72"/>
      <c r="T68" s="295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72"/>
      <c r="V68" s="295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72"/>
      <c r="X68" s="295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72"/>
      <c r="Z68" s="295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72"/>
      <c r="AB68" s="295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72"/>
      <c r="AD68" s="295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72"/>
      <c r="AF68" s="295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72"/>
      <c r="AH68" s="295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72"/>
      <c r="AJ68" s="295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72"/>
      <c r="AL68" s="295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72"/>
      <c r="AN68" s="295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72"/>
      <c r="AP68" s="295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72"/>
      <c r="AR68" s="295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72"/>
      <c r="AT68" s="295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72"/>
      <c r="AV68" s="295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72"/>
      <c r="AX68" s="295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72"/>
      <c r="AZ68" s="295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72"/>
      <c r="BB68" s="295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72"/>
      <c r="BD68" s="295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72"/>
      <c r="BF68" s="295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72"/>
      <c r="BH68" s="295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72"/>
      <c r="BJ68" s="295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72"/>
      <c r="BL68" s="295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72"/>
      <c r="BN68" s="295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72"/>
    </row>
    <row r="69" spans="8:67" x14ac:dyDescent="0.25">
      <c r="H69" s="171"/>
      <c r="I69" s="166">
        <f t="shared" si="3"/>
        <v>56</v>
      </c>
      <c r="K69" s="167"/>
      <c r="L69" s="170" t="e">
        <f t="shared" si="1"/>
        <v>#DIV/0!</v>
      </c>
      <c r="M69" s="170" t="e">
        <f>SUM($L$14:$L69)</f>
        <v>#DIV/0!</v>
      </c>
      <c r="R69" s="295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72"/>
      <c r="T69" s="295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72"/>
      <c r="V69" s="295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72"/>
      <c r="X69" s="295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72"/>
      <c r="Z69" s="295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72"/>
      <c r="AB69" s="295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72"/>
      <c r="AD69" s="295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72"/>
      <c r="AF69" s="295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72"/>
      <c r="AH69" s="295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72"/>
      <c r="AJ69" s="295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72"/>
      <c r="AL69" s="295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72"/>
      <c r="AN69" s="295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72"/>
      <c r="AP69" s="295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72"/>
      <c r="AR69" s="295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72"/>
      <c r="AT69" s="295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72"/>
      <c r="AV69" s="295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72"/>
      <c r="AX69" s="295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72"/>
      <c r="AZ69" s="295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72"/>
      <c r="BB69" s="295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72"/>
      <c r="BD69" s="295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72"/>
      <c r="BF69" s="295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72"/>
      <c r="BH69" s="295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72"/>
      <c r="BJ69" s="295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72"/>
      <c r="BL69" s="295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72"/>
      <c r="BN69" s="295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72"/>
    </row>
    <row r="70" spans="8:67" x14ac:dyDescent="0.25">
      <c r="H70" s="171"/>
      <c r="I70" s="166">
        <f t="shared" si="3"/>
        <v>57</v>
      </c>
      <c r="K70" s="167"/>
      <c r="L70" s="170" t="e">
        <f t="shared" si="1"/>
        <v>#DIV/0!</v>
      </c>
      <c r="M70" s="170" t="e">
        <f>SUM($L$14:$L70)</f>
        <v>#DIV/0!</v>
      </c>
      <c r="R70" s="295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72"/>
      <c r="T70" s="295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72"/>
      <c r="V70" s="295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72"/>
      <c r="X70" s="295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72"/>
      <c r="Z70" s="295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72"/>
      <c r="AB70" s="295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72"/>
      <c r="AD70" s="295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72"/>
      <c r="AF70" s="295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72"/>
      <c r="AH70" s="295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72"/>
      <c r="AJ70" s="295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72"/>
      <c r="AL70" s="295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72"/>
      <c r="AN70" s="295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72"/>
      <c r="AP70" s="295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72"/>
      <c r="AR70" s="295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72"/>
      <c r="AT70" s="295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72"/>
      <c r="AV70" s="295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72"/>
      <c r="AX70" s="295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72"/>
      <c r="AZ70" s="295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72"/>
      <c r="BB70" s="295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72"/>
      <c r="BD70" s="295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72"/>
      <c r="BF70" s="295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72"/>
      <c r="BH70" s="295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72"/>
      <c r="BJ70" s="295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72"/>
      <c r="BL70" s="295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72"/>
      <c r="BN70" s="295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72"/>
    </row>
    <row r="71" spans="8:67" x14ac:dyDescent="0.25">
      <c r="H71" s="171"/>
      <c r="I71" s="166">
        <f t="shared" si="3"/>
        <v>58</v>
      </c>
      <c r="K71" s="167"/>
      <c r="L71" s="170" t="e">
        <f t="shared" si="1"/>
        <v>#DIV/0!</v>
      </c>
      <c r="M71" s="170" t="e">
        <f>SUM($L$14:$L71)</f>
        <v>#DIV/0!</v>
      </c>
      <c r="R71" s="295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72"/>
      <c r="T71" s="295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72"/>
      <c r="V71" s="295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72"/>
      <c r="X71" s="295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72"/>
      <c r="Z71" s="295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72"/>
      <c r="AB71" s="295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72"/>
      <c r="AD71" s="295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72"/>
      <c r="AF71" s="295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72"/>
      <c r="AH71" s="295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72"/>
      <c r="AJ71" s="295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72"/>
      <c r="AL71" s="295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72"/>
      <c r="AN71" s="295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72"/>
      <c r="AP71" s="295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72"/>
      <c r="AR71" s="295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72"/>
      <c r="AT71" s="295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72"/>
      <c r="AV71" s="295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72"/>
      <c r="AX71" s="295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72"/>
      <c r="AZ71" s="295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72"/>
      <c r="BB71" s="295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72"/>
      <c r="BD71" s="295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72"/>
      <c r="BF71" s="295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72"/>
      <c r="BH71" s="295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72"/>
      <c r="BJ71" s="295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72"/>
      <c r="BL71" s="295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72"/>
      <c r="BN71" s="295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72"/>
    </row>
    <row r="72" spans="8:67" x14ac:dyDescent="0.25">
      <c r="H72" s="171"/>
      <c r="I72" s="166">
        <f t="shared" si="3"/>
        <v>59</v>
      </c>
      <c r="K72" s="167"/>
      <c r="L72" s="170" t="e">
        <f t="shared" si="1"/>
        <v>#DIV/0!</v>
      </c>
      <c r="M72" s="170" t="e">
        <f>SUM($L$14:$L72)</f>
        <v>#DIV/0!</v>
      </c>
      <c r="R72" s="295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72"/>
      <c r="T72" s="295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72"/>
      <c r="V72" s="295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72"/>
      <c r="X72" s="295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72"/>
      <c r="Z72" s="295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72"/>
      <c r="AB72" s="295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72"/>
      <c r="AD72" s="295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72"/>
      <c r="AF72" s="295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72"/>
      <c r="AH72" s="295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72"/>
      <c r="AJ72" s="295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72"/>
      <c r="AL72" s="295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72"/>
      <c r="AN72" s="295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72"/>
      <c r="AP72" s="295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72"/>
      <c r="AR72" s="295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72"/>
      <c r="AT72" s="295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72"/>
      <c r="AV72" s="295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72"/>
      <c r="AX72" s="295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72"/>
      <c r="AZ72" s="295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72"/>
      <c r="BB72" s="295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72"/>
      <c r="BD72" s="295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72"/>
      <c r="BF72" s="295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72"/>
      <c r="BH72" s="295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72"/>
      <c r="BJ72" s="295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72"/>
      <c r="BL72" s="295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72"/>
      <c r="BN72" s="295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72"/>
    </row>
    <row r="73" spans="8:67" x14ac:dyDescent="0.25">
      <c r="H73" s="171"/>
      <c r="I73" s="166">
        <f t="shared" si="3"/>
        <v>60</v>
      </c>
      <c r="K73" s="167"/>
      <c r="L73" s="170" t="e">
        <f t="shared" si="1"/>
        <v>#DIV/0!</v>
      </c>
      <c r="M73" s="170" t="e">
        <f>SUM($L$14:$L73)</f>
        <v>#DIV/0!</v>
      </c>
      <c r="R73" s="295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72"/>
      <c r="T73" s="295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72"/>
      <c r="V73" s="295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72"/>
      <c r="X73" s="295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72"/>
      <c r="Z73" s="295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72"/>
      <c r="AB73" s="295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72"/>
      <c r="AD73" s="295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72"/>
      <c r="AF73" s="295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72"/>
      <c r="AH73" s="295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72"/>
      <c r="AJ73" s="295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72"/>
      <c r="AL73" s="295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72"/>
      <c r="AN73" s="295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72"/>
      <c r="AP73" s="295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72"/>
      <c r="AR73" s="295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72"/>
      <c r="AT73" s="295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72"/>
      <c r="AV73" s="295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72"/>
      <c r="AX73" s="295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72"/>
      <c r="AZ73" s="295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72"/>
      <c r="BB73" s="295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72"/>
      <c r="BD73" s="295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72"/>
      <c r="BF73" s="295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72"/>
      <c r="BH73" s="295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72"/>
      <c r="BJ73" s="295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72"/>
      <c r="BL73" s="295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72"/>
      <c r="BN73" s="295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72"/>
    </row>
    <row r="74" spans="8:67" x14ac:dyDescent="0.25">
      <c r="H74" s="171"/>
      <c r="I74" s="166">
        <f t="shared" si="3"/>
        <v>61</v>
      </c>
      <c r="K74" s="167"/>
      <c r="L74" s="170" t="e">
        <f t="shared" si="1"/>
        <v>#DIV/0!</v>
      </c>
      <c r="M74" s="170" t="e">
        <f>SUM($L$14:$L74)</f>
        <v>#DIV/0!</v>
      </c>
      <c r="R74" s="295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72"/>
      <c r="T74" s="295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72"/>
      <c r="V74" s="295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72"/>
      <c r="X74" s="295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72"/>
      <c r="Z74" s="295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72"/>
      <c r="AB74" s="295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72"/>
      <c r="AD74" s="295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72"/>
      <c r="AF74" s="295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72"/>
      <c r="AH74" s="295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72"/>
      <c r="AJ74" s="295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72"/>
      <c r="AL74" s="295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72"/>
      <c r="AN74" s="295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72"/>
      <c r="AP74" s="295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72"/>
      <c r="AR74" s="295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72"/>
      <c r="AT74" s="295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72"/>
      <c r="AV74" s="295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72"/>
      <c r="AX74" s="295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72"/>
      <c r="AZ74" s="295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72"/>
      <c r="BB74" s="295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72"/>
      <c r="BD74" s="295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72"/>
      <c r="BF74" s="295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72"/>
      <c r="BH74" s="295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72"/>
      <c r="BJ74" s="295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72"/>
      <c r="BL74" s="295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72"/>
      <c r="BN74" s="295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72"/>
    </row>
    <row r="75" spans="8:67" x14ac:dyDescent="0.25">
      <c r="H75" s="171"/>
      <c r="I75" s="166">
        <f t="shared" si="3"/>
        <v>62</v>
      </c>
      <c r="K75" s="167"/>
      <c r="L75" s="170" t="e">
        <f t="shared" si="1"/>
        <v>#DIV/0!</v>
      </c>
      <c r="M75" s="170" t="e">
        <f>SUM($L$14:$L75)</f>
        <v>#DIV/0!</v>
      </c>
      <c r="R75" s="295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72"/>
      <c r="T75" s="295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72"/>
      <c r="V75" s="295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72"/>
      <c r="X75" s="295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72"/>
      <c r="Z75" s="295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72"/>
      <c r="AB75" s="295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72"/>
      <c r="AD75" s="295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72"/>
      <c r="AF75" s="295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72"/>
      <c r="AH75" s="295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72"/>
      <c r="AJ75" s="295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72"/>
      <c r="AL75" s="295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72"/>
      <c r="AN75" s="295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72"/>
      <c r="AP75" s="295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72"/>
      <c r="AR75" s="295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72"/>
      <c r="AT75" s="295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72"/>
      <c r="AV75" s="295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72"/>
      <c r="AX75" s="295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72"/>
      <c r="AZ75" s="295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72"/>
      <c r="BB75" s="295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72"/>
      <c r="BD75" s="295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72"/>
      <c r="BF75" s="295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72"/>
      <c r="BH75" s="295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72"/>
      <c r="BJ75" s="295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72"/>
      <c r="BL75" s="295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72"/>
      <c r="BN75" s="295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72"/>
    </row>
    <row r="76" spans="8:67" x14ac:dyDescent="0.25">
      <c r="H76" s="171"/>
      <c r="I76" s="166">
        <f t="shared" si="3"/>
        <v>63</v>
      </c>
      <c r="K76" s="167"/>
      <c r="L76" s="170" t="e">
        <f t="shared" si="1"/>
        <v>#DIV/0!</v>
      </c>
      <c r="M76" s="170" t="e">
        <f>SUM($L$14:$L76)</f>
        <v>#DIV/0!</v>
      </c>
      <c r="R76" s="295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72"/>
      <c r="T76" s="295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72"/>
      <c r="V76" s="295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72"/>
      <c r="X76" s="295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72"/>
      <c r="Z76" s="295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72"/>
      <c r="AB76" s="295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72"/>
      <c r="AD76" s="295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72"/>
      <c r="AF76" s="295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72"/>
      <c r="AH76" s="295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72"/>
      <c r="AJ76" s="295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72"/>
      <c r="AL76" s="295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72"/>
      <c r="AN76" s="295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72"/>
      <c r="AP76" s="295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72"/>
      <c r="AR76" s="295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72"/>
      <c r="AT76" s="295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72"/>
      <c r="AV76" s="295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72"/>
      <c r="AX76" s="295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72"/>
      <c r="AZ76" s="295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72"/>
      <c r="BB76" s="295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72"/>
      <c r="BD76" s="295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72"/>
      <c r="BF76" s="295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72"/>
      <c r="BH76" s="295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72"/>
      <c r="BJ76" s="295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72"/>
      <c r="BL76" s="295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72"/>
      <c r="BN76" s="295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72"/>
    </row>
    <row r="77" spans="8:67" x14ac:dyDescent="0.25">
      <c r="H77" s="171"/>
      <c r="I77" s="166">
        <f t="shared" si="3"/>
        <v>64</v>
      </c>
      <c r="K77" s="167"/>
      <c r="L77" s="170" t="e">
        <f t="shared" si="1"/>
        <v>#DIV/0!</v>
      </c>
      <c r="M77" s="170" t="e">
        <f>SUM($L$14:$L77)</f>
        <v>#DIV/0!</v>
      </c>
      <c r="R77" s="295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72"/>
      <c r="T77" s="295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72"/>
      <c r="V77" s="295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72"/>
      <c r="X77" s="295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72"/>
      <c r="Z77" s="295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72"/>
      <c r="AB77" s="295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72"/>
      <c r="AD77" s="295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72"/>
      <c r="AF77" s="295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72"/>
      <c r="AH77" s="295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72"/>
      <c r="AJ77" s="295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72"/>
      <c r="AL77" s="295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72"/>
      <c r="AN77" s="295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72"/>
      <c r="AP77" s="295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72"/>
      <c r="AR77" s="295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72"/>
      <c r="AT77" s="295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72"/>
      <c r="AV77" s="295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72"/>
      <c r="AX77" s="295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72"/>
      <c r="AZ77" s="295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72"/>
      <c r="BB77" s="295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72"/>
      <c r="BD77" s="295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72"/>
      <c r="BF77" s="295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72"/>
      <c r="BH77" s="295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72"/>
      <c r="BJ77" s="295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72"/>
      <c r="BL77" s="295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72"/>
      <c r="BN77" s="295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72"/>
    </row>
    <row r="78" spans="8:67" x14ac:dyDescent="0.25">
      <c r="H78" s="171"/>
      <c r="I78" s="166">
        <f t="shared" si="3"/>
        <v>65</v>
      </c>
      <c r="K78" s="167"/>
      <c r="L78" s="170" t="e">
        <f t="shared" si="1"/>
        <v>#DIV/0!</v>
      </c>
      <c r="M78" s="170" t="e">
        <f>SUM($L$14:$L78)</f>
        <v>#DIV/0!</v>
      </c>
      <c r="R78" s="295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72"/>
      <c r="T78" s="295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72"/>
      <c r="V78" s="295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72"/>
      <c r="X78" s="295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72"/>
      <c r="Z78" s="295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72"/>
      <c r="AB78" s="295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72"/>
      <c r="AD78" s="295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72"/>
      <c r="AF78" s="295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72"/>
      <c r="AH78" s="295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72"/>
      <c r="AJ78" s="295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72"/>
      <c r="AL78" s="295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72"/>
      <c r="AN78" s="295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72"/>
      <c r="AP78" s="295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72"/>
      <c r="AR78" s="295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72"/>
      <c r="AT78" s="295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72"/>
      <c r="AV78" s="295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72"/>
      <c r="AX78" s="295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72"/>
      <c r="AZ78" s="295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72"/>
      <c r="BB78" s="295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72"/>
      <c r="BD78" s="295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72"/>
      <c r="BF78" s="295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72"/>
      <c r="BH78" s="295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72"/>
      <c r="BJ78" s="295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72"/>
      <c r="BL78" s="295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72"/>
      <c r="BN78" s="295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72"/>
    </row>
    <row r="79" spans="8:67" x14ac:dyDescent="0.25">
      <c r="H79" s="171"/>
      <c r="I79" s="166">
        <f t="shared" si="3"/>
        <v>66</v>
      </c>
      <c r="K79" s="167"/>
      <c r="L79" s="170" t="e">
        <f t="shared" ref="L79:L101" si="4">$K79/SUM($K$14:$K$88)</f>
        <v>#DIV/0!</v>
      </c>
      <c r="M79" s="170" t="e">
        <f>SUM($L$14:$L79)</f>
        <v>#DIV/0!</v>
      </c>
      <c r="R79" s="295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72"/>
      <c r="T79" s="295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72"/>
      <c r="V79" s="295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72"/>
      <c r="X79" s="295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72"/>
      <c r="Z79" s="295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72"/>
      <c r="AB79" s="295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72"/>
      <c r="AD79" s="295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72"/>
      <c r="AF79" s="295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72"/>
      <c r="AH79" s="295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72"/>
      <c r="AJ79" s="295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72"/>
      <c r="AL79" s="295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72"/>
      <c r="AN79" s="295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72"/>
      <c r="AP79" s="295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72"/>
      <c r="AR79" s="295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72"/>
      <c r="AT79" s="295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72"/>
      <c r="AV79" s="295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72"/>
      <c r="AX79" s="295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72"/>
      <c r="AZ79" s="295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72"/>
      <c r="BB79" s="295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72"/>
      <c r="BD79" s="295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72"/>
      <c r="BF79" s="295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72"/>
      <c r="BH79" s="295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72"/>
      <c r="BJ79" s="295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72"/>
      <c r="BL79" s="295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72"/>
      <c r="BN79" s="295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72"/>
    </row>
    <row r="80" spans="8:67" x14ac:dyDescent="0.25">
      <c r="H80" s="171"/>
      <c r="I80" s="166">
        <f t="shared" ref="I80:I102" si="5">I79+1</f>
        <v>67</v>
      </c>
      <c r="K80" s="167"/>
      <c r="L80" s="170" t="e">
        <f t="shared" si="4"/>
        <v>#DIV/0!</v>
      </c>
      <c r="M80" s="170" t="e">
        <f>SUM($L$14:$L80)</f>
        <v>#DIV/0!</v>
      </c>
      <c r="R80" s="295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72"/>
      <c r="T80" s="295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72"/>
      <c r="V80" s="295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72"/>
      <c r="X80" s="295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72"/>
      <c r="Z80" s="295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72"/>
      <c r="AB80" s="295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72"/>
      <c r="AD80" s="295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72"/>
      <c r="AF80" s="295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72"/>
      <c r="AH80" s="295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72"/>
      <c r="AJ80" s="295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72"/>
      <c r="AL80" s="295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72"/>
      <c r="AN80" s="295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72"/>
      <c r="AP80" s="295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72"/>
      <c r="AR80" s="295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72"/>
      <c r="AT80" s="295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72"/>
      <c r="AV80" s="295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72"/>
      <c r="AX80" s="295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72"/>
      <c r="AZ80" s="295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72"/>
      <c r="BB80" s="295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72"/>
      <c r="BD80" s="295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72"/>
      <c r="BF80" s="295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72"/>
      <c r="BH80" s="295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72"/>
      <c r="BJ80" s="295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72"/>
      <c r="BL80" s="295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72"/>
      <c r="BN80" s="295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72"/>
    </row>
    <row r="81" spans="8:67" x14ac:dyDescent="0.25">
      <c r="H81" s="171"/>
      <c r="I81" s="166">
        <f t="shared" si="5"/>
        <v>68</v>
      </c>
      <c r="K81" s="167"/>
      <c r="L81" s="170" t="e">
        <f t="shared" si="4"/>
        <v>#DIV/0!</v>
      </c>
      <c r="M81" s="170" t="e">
        <f>SUM($L$14:$L81)</f>
        <v>#DIV/0!</v>
      </c>
      <c r="R81" s="295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72"/>
      <c r="T81" s="295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72"/>
      <c r="V81" s="295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72"/>
      <c r="X81" s="295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72"/>
      <c r="Z81" s="295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72"/>
      <c r="AB81" s="295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72"/>
      <c r="AD81" s="295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72"/>
      <c r="AF81" s="295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72"/>
      <c r="AH81" s="295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72"/>
      <c r="AJ81" s="295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72"/>
      <c r="AL81" s="295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72"/>
      <c r="AN81" s="295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72"/>
      <c r="AP81" s="295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72"/>
      <c r="AR81" s="295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72"/>
      <c r="AT81" s="295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72"/>
      <c r="AV81" s="295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72"/>
      <c r="AX81" s="295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72"/>
      <c r="AZ81" s="295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72"/>
      <c r="BB81" s="295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72"/>
      <c r="BD81" s="295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72"/>
      <c r="BF81" s="295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72"/>
      <c r="BH81" s="295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72"/>
      <c r="BJ81" s="295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72"/>
      <c r="BL81" s="295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72"/>
      <c r="BN81" s="295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72"/>
    </row>
    <row r="82" spans="8:67" x14ac:dyDescent="0.25">
      <c r="H82" s="171"/>
      <c r="I82" s="166">
        <f t="shared" si="5"/>
        <v>69</v>
      </c>
      <c r="K82" s="167"/>
      <c r="L82" s="170" t="e">
        <f t="shared" si="4"/>
        <v>#DIV/0!</v>
      </c>
      <c r="M82" s="170" t="e">
        <f>SUM($L$14:$L82)</f>
        <v>#DIV/0!</v>
      </c>
      <c r="R82" s="295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72"/>
      <c r="T82" s="295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72"/>
      <c r="V82" s="295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72"/>
      <c r="X82" s="295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72"/>
      <c r="Z82" s="295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72"/>
      <c r="AB82" s="295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72"/>
      <c r="AD82" s="295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72"/>
      <c r="AF82" s="295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72"/>
      <c r="AH82" s="295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72"/>
      <c r="AJ82" s="295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72"/>
      <c r="AL82" s="295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72"/>
      <c r="AN82" s="295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72"/>
      <c r="AP82" s="295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72"/>
      <c r="AR82" s="295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72"/>
      <c r="AT82" s="295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72"/>
      <c r="AV82" s="295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72"/>
      <c r="AX82" s="295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72"/>
      <c r="AZ82" s="295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72"/>
      <c r="BB82" s="295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72"/>
      <c r="BD82" s="295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72"/>
      <c r="BF82" s="295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72"/>
      <c r="BH82" s="295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72"/>
      <c r="BJ82" s="295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72"/>
      <c r="BL82" s="295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72"/>
      <c r="BN82" s="295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72"/>
    </row>
    <row r="83" spans="8:67" x14ac:dyDescent="0.25">
      <c r="H83" s="171"/>
      <c r="I83" s="166">
        <f t="shared" si="5"/>
        <v>70</v>
      </c>
      <c r="K83" s="167"/>
      <c r="L83" s="170" t="e">
        <f t="shared" si="4"/>
        <v>#DIV/0!</v>
      </c>
      <c r="M83" s="170" t="e">
        <f>SUM($L$14:$L83)</f>
        <v>#DIV/0!</v>
      </c>
      <c r="R83" s="295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72"/>
      <c r="T83" s="295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72"/>
      <c r="V83" s="295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72"/>
      <c r="X83" s="295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72"/>
      <c r="Z83" s="295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72"/>
      <c r="AB83" s="295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72"/>
      <c r="AD83" s="295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72"/>
      <c r="AF83" s="295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72"/>
      <c r="AH83" s="295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72"/>
      <c r="AJ83" s="295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72"/>
      <c r="AL83" s="295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72"/>
      <c r="AN83" s="295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72"/>
      <c r="AP83" s="295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72"/>
      <c r="AR83" s="295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72"/>
      <c r="AT83" s="295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72"/>
      <c r="AV83" s="295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72"/>
      <c r="AX83" s="295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72"/>
      <c r="AZ83" s="295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72"/>
      <c r="BB83" s="295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72"/>
      <c r="BD83" s="295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72"/>
      <c r="BF83" s="295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72"/>
      <c r="BH83" s="295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72"/>
      <c r="BJ83" s="295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72"/>
      <c r="BL83" s="295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72"/>
      <c r="BN83" s="295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72"/>
    </row>
    <row r="84" spans="8:67" x14ac:dyDescent="0.25">
      <c r="H84" s="171"/>
      <c r="I84" s="166">
        <f t="shared" si="5"/>
        <v>71</v>
      </c>
      <c r="K84" s="167"/>
      <c r="L84" s="170" t="e">
        <f t="shared" si="4"/>
        <v>#DIV/0!</v>
      </c>
      <c r="M84" s="170" t="e">
        <f>SUM($L$14:$L84)</f>
        <v>#DIV/0!</v>
      </c>
      <c r="R84" s="295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72"/>
      <c r="T84" s="295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72"/>
      <c r="V84" s="295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72"/>
      <c r="X84" s="295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72"/>
      <c r="Z84" s="295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72"/>
      <c r="AB84" s="295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72"/>
      <c r="AD84" s="295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72"/>
      <c r="AF84" s="295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72"/>
      <c r="AH84" s="295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72"/>
      <c r="AJ84" s="295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72"/>
      <c r="AL84" s="295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72"/>
      <c r="AN84" s="295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72"/>
      <c r="AP84" s="295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72"/>
      <c r="AR84" s="295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72"/>
      <c r="AT84" s="295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72"/>
      <c r="AV84" s="295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72"/>
      <c r="AX84" s="295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72"/>
      <c r="AZ84" s="295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72"/>
      <c r="BB84" s="295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72"/>
      <c r="BD84" s="295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72"/>
      <c r="BF84" s="295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72"/>
      <c r="BH84" s="295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72"/>
      <c r="BJ84" s="295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72"/>
      <c r="BL84" s="295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72"/>
      <c r="BN84" s="295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72"/>
    </row>
    <row r="85" spans="8:67" x14ac:dyDescent="0.25">
      <c r="H85" s="171"/>
      <c r="I85" s="166">
        <f t="shared" si="5"/>
        <v>72</v>
      </c>
      <c r="K85" s="167"/>
      <c r="L85" s="170" t="e">
        <f t="shared" si="4"/>
        <v>#DIV/0!</v>
      </c>
      <c r="M85" s="170" t="e">
        <f>SUM($L$14:$L85)</f>
        <v>#DIV/0!</v>
      </c>
      <c r="R85" s="295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72"/>
      <c r="T85" s="295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72"/>
      <c r="V85" s="295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72"/>
      <c r="X85" s="295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72"/>
      <c r="Z85" s="295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72"/>
      <c r="AB85" s="295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72"/>
      <c r="AD85" s="295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72"/>
      <c r="AF85" s="295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72"/>
      <c r="AH85" s="295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72"/>
      <c r="AJ85" s="295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72"/>
      <c r="AL85" s="295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72"/>
      <c r="AN85" s="295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72"/>
      <c r="AP85" s="295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72"/>
      <c r="AR85" s="295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72"/>
      <c r="AT85" s="295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72"/>
      <c r="AV85" s="295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72"/>
      <c r="AX85" s="295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72"/>
      <c r="AZ85" s="295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72"/>
      <c r="BB85" s="295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72"/>
      <c r="BD85" s="295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72"/>
      <c r="BF85" s="295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72"/>
      <c r="BH85" s="295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72"/>
      <c r="BJ85" s="295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72"/>
      <c r="BL85" s="295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72"/>
      <c r="BN85" s="295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72"/>
    </row>
    <row r="86" spans="8:67" x14ac:dyDescent="0.25">
      <c r="H86" s="171"/>
      <c r="I86" s="166">
        <f t="shared" si="5"/>
        <v>73</v>
      </c>
      <c r="K86" s="167"/>
      <c r="L86" s="170" t="e">
        <f t="shared" si="4"/>
        <v>#DIV/0!</v>
      </c>
      <c r="M86" s="170" t="e">
        <f>SUM($L$14:$L86)</f>
        <v>#DIV/0!</v>
      </c>
      <c r="R86" s="295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72"/>
      <c r="T86" s="295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72"/>
      <c r="V86" s="295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72"/>
      <c r="X86" s="295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72"/>
      <c r="Z86" s="295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72"/>
      <c r="AB86" s="295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72"/>
      <c r="AD86" s="295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72"/>
      <c r="AF86" s="295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72"/>
      <c r="AH86" s="295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72"/>
      <c r="AJ86" s="295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72"/>
      <c r="AL86" s="295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72"/>
      <c r="AN86" s="295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72"/>
      <c r="AP86" s="295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72"/>
      <c r="AR86" s="295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72"/>
      <c r="AT86" s="295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72"/>
      <c r="AV86" s="295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72"/>
      <c r="AX86" s="295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72"/>
      <c r="AZ86" s="295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72"/>
      <c r="BB86" s="295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72"/>
      <c r="BD86" s="295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72"/>
      <c r="BF86" s="295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72"/>
      <c r="BH86" s="295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72"/>
      <c r="BJ86" s="295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72"/>
      <c r="BL86" s="295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72"/>
      <c r="BN86" s="295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72"/>
    </row>
    <row r="87" spans="8:67" x14ac:dyDescent="0.25">
      <c r="H87" s="171"/>
      <c r="I87" s="166">
        <f t="shared" si="5"/>
        <v>74</v>
      </c>
      <c r="K87" s="167"/>
      <c r="L87" s="170" t="e">
        <f t="shared" si="4"/>
        <v>#DIV/0!</v>
      </c>
      <c r="M87" s="170" t="e">
        <f>SUM($L$14:$L87)</f>
        <v>#DIV/0!</v>
      </c>
      <c r="R87" s="295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72"/>
      <c r="T87" s="295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72"/>
      <c r="V87" s="295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72"/>
      <c r="X87" s="295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72"/>
      <c r="Z87" s="295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72"/>
      <c r="AB87" s="295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72"/>
      <c r="AD87" s="295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72"/>
      <c r="AF87" s="295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72"/>
      <c r="AH87" s="295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72"/>
      <c r="AJ87" s="295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72"/>
      <c r="AL87" s="295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72"/>
      <c r="AN87" s="295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72"/>
      <c r="AP87" s="295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72"/>
      <c r="AR87" s="295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72"/>
      <c r="AT87" s="295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72"/>
      <c r="AV87" s="295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72"/>
      <c r="AX87" s="295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72"/>
      <c r="AZ87" s="295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72"/>
      <c r="BB87" s="295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72"/>
      <c r="BD87" s="295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72"/>
      <c r="BF87" s="295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72"/>
      <c r="BH87" s="295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72"/>
      <c r="BJ87" s="295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72"/>
      <c r="BL87" s="295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72"/>
      <c r="BN87" s="295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72"/>
    </row>
    <row r="88" spans="8:67" x14ac:dyDescent="0.25">
      <c r="H88" s="171"/>
      <c r="I88" s="166">
        <f t="shared" si="5"/>
        <v>75</v>
      </c>
      <c r="K88" s="167"/>
      <c r="L88" s="170" t="e">
        <f t="shared" si="4"/>
        <v>#DIV/0!</v>
      </c>
      <c r="M88" s="170" t="e">
        <f>SUM($L$14:$L88)</f>
        <v>#DIV/0!</v>
      </c>
      <c r="R88" s="295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72"/>
      <c r="T88" s="295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72"/>
      <c r="V88" s="295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72"/>
      <c r="X88" s="295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72"/>
      <c r="Z88" s="295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72"/>
      <c r="AB88" s="295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72"/>
      <c r="AD88" s="295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72"/>
      <c r="AF88" s="295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72"/>
      <c r="AH88" s="295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72"/>
      <c r="AJ88" s="295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72"/>
      <c r="AL88" s="295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72"/>
      <c r="AN88" s="295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72"/>
      <c r="AP88" s="295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72"/>
      <c r="AR88" s="295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72"/>
      <c r="AT88" s="295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72"/>
      <c r="AV88" s="295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72"/>
      <c r="AX88" s="295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72"/>
      <c r="AZ88" s="295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72"/>
      <c r="BB88" s="295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72"/>
      <c r="BD88" s="295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72"/>
      <c r="BF88" s="295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72"/>
      <c r="BH88" s="295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72"/>
      <c r="BJ88" s="295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72"/>
      <c r="BL88" s="295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72"/>
      <c r="BN88" s="295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72"/>
    </row>
    <row r="89" spans="8:67" x14ac:dyDescent="0.25">
      <c r="H89" s="171"/>
      <c r="I89" s="166">
        <f t="shared" si="5"/>
        <v>76</v>
      </c>
      <c r="K89" s="167"/>
      <c r="L89" s="170" t="e">
        <f t="shared" si="4"/>
        <v>#DIV/0!</v>
      </c>
      <c r="M89" s="170" t="e">
        <f>SUM($L$14:$L89)</f>
        <v>#DIV/0!</v>
      </c>
      <c r="R89" s="295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72"/>
      <c r="T89" s="295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72"/>
      <c r="V89" s="295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72"/>
      <c r="X89" s="295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72"/>
      <c r="Z89" s="295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72"/>
      <c r="AB89" s="295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72"/>
      <c r="AD89" s="295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72"/>
      <c r="AF89" s="295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72"/>
      <c r="AH89" s="295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72"/>
      <c r="AJ89" s="295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72"/>
      <c r="AL89" s="295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72"/>
      <c r="AN89" s="295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72"/>
      <c r="AP89" s="295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72"/>
      <c r="AR89" s="295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72"/>
      <c r="AT89" s="295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72"/>
      <c r="AV89" s="295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72"/>
      <c r="AX89" s="295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72"/>
      <c r="AZ89" s="295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72"/>
      <c r="BB89" s="295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72"/>
      <c r="BD89" s="295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72"/>
      <c r="BF89" s="295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72"/>
      <c r="BH89" s="295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72"/>
      <c r="BJ89" s="295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72"/>
      <c r="BL89" s="295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72"/>
      <c r="BN89" s="295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72"/>
    </row>
    <row r="90" spans="8:67" x14ac:dyDescent="0.25">
      <c r="H90" s="171"/>
      <c r="I90" s="166">
        <f t="shared" si="5"/>
        <v>77</v>
      </c>
      <c r="K90" s="167"/>
      <c r="L90" s="170" t="e">
        <f t="shared" si="4"/>
        <v>#DIV/0!</v>
      </c>
      <c r="M90" s="170" t="e">
        <f>SUM($L$14:$L90)</f>
        <v>#DIV/0!</v>
      </c>
      <c r="R90" s="295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72"/>
      <c r="T90" s="295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72"/>
      <c r="V90" s="295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72"/>
      <c r="X90" s="295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72"/>
      <c r="Z90" s="295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72"/>
      <c r="AB90" s="295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72"/>
      <c r="AD90" s="295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72"/>
      <c r="AF90" s="295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72"/>
      <c r="AH90" s="295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72"/>
      <c r="AJ90" s="295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72"/>
      <c r="AL90" s="295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72"/>
      <c r="AN90" s="295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72"/>
      <c r="AP90" s="295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72"/>
      <c r="AR90" s="295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72"/>
      <c r="AT90" s="295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72"/>
      <c r="AV90" s="295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72"/>
      <c r="AX90" s="295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72"/>
      <c r="AZ90" s="295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72"/>
      <c r="BB90" s="295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72"/>
      <c r="BD90" s="295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72"/>
      <c r="BF90" s="295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72"/>
      <c r="BH90" s="295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72"/>
      <c r="BJ90" s="295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72"/>
      <c r="BL90" s="295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72"/>
      <c r="BN90" s="295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72"/>
    </row>
    <row r="91" spans="8:67" x14ac:dyDescent="0.25">
      <c r="H91" s="171"/>
      <c r="I91" s="166">
        <f t="shared" si="5"/>
        <v>78</v>
      </c>
      <c r="K91" s="167"/>
      <c r="L91" s="170" t="e">
        <f t="shared" si="4"/>
        <v>#DIV/0!</v>
      </c>
      <c r="M91" s="170" t="e">
        <f>SUM($L$14:$L91)</f>
        <v>#DIV/0!</v>
      </c>
      <c r="R91" s="295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72"/>
      <c r="T91" s="295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72"/>
      <c r="V91" s="295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72"/>
      <c r="X91" s="295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72"/>
      <c r="Z91" s="295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72"/>
      <c r="AB91" s="295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72"/>
      <c r="AD91" s="295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72"/>
      <c r="AF91" s="295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72"/>
      <c r="AH91" s="295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72"/>
      <c r="AJ91" s="295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72"/>
      <c r="AL91" s="295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72"/>
      <c r="AN91" s="295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72"/>
      <c r="AP91" s="295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72"/>
      <c r="AR91" s="295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72"/>
      <c r="AT91" s="295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72"/>
      <c r="AV91" s="295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72"/>
      <c r="AX91" s="295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72"/>
      <c r="AZ91" s="295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72"/>
      <c r="BB91" s="295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72"/>
      <c r="BD91" s="295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72"/>
      <c r="BF91" s="295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72"/>
      <c r="BH91" s="295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72"/>
      <c r="BJ91" s="295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72"/>
      <c r="BL91" s="295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72"/>
      <c r="BN91" s="295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72"/>
    </row>
    <row r="92" spans="8:67" x14ac:dyDescent="0.25">
      <c r="H92" s="171"/>
      <c r="I92" s="166">
        <f t="shared" si="5"/>
        <v>79</v>
      </c>
      <c r="K92" s="167"/>
      <c r="L92" s="170" t="e">
        <f t="shared" si="4"/>
        <v>#DIV/0!</v>
      </c>
      <c r="M92" s="170" t="e">
        <f>SUM($L$14:$L92)</f>
        <v>#DIV/0!</v>
      </c>
      <c r="R92" s="295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72"/>
      <c r="T92" s="295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72"/>
      <c r="V92" s="295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72"/>
      <c r="X92" s="295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72"/>
      <c r="Z92" s="295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72"/>
      <c r="AB92" s="295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72"/>
      <c r="AD92" s="295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72"/>
      <c r="AF92" s="295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72"/>
      <c r="AH92" s="295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72"/>
      <c r="AJ92" s="295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72"/>
      <c r="AL92" s="295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72"/>
      <c r="AN92" s="295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72"/>
      <c r="AP92" s="295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72"/>
      <c r="AR92" s="295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72"/>
      <c r="AT92" s="295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72"/>
      <c r="AV92" s="295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72"/>
      <c r="AX92" s="295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72"/>
      <c r="AZ92" s="295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72"/>
      <c r="BB92" s="295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72"/>
      <c r="BD92" s="295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72"/>
      <c r="BF92" s="295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72"/>
      <c r="BH92" s="295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72"/>
      <c r="BJ92" s="295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72"/>
      <c r="BL92" s="295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72"/>
      <c r="BN92" s="295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72"/>
    </row>
    <row r="93" spans="8:67" x14ac:dyDescent="0.25">
      <c r="H93" s="171"/>
      <c r="I93" s="166">
        <f t="shared" si="5"/>
        <v>80</v>
      </c>
      <c r="K93" s="167"/>
      <c r="L93" s="170" t="e">
        <f t="shared" si="4"/>
        <v>#DIV/0!</v>
      </c>
      <c r="M93" s="170" t="e">
        <f>SUM($L$14:$L93)</f>
        <v>#DIV/0!</v>
      </c>
      <c r="R93" s="295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72"/>
      <c r="T93" s="295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72"/>
      <c r="V93" s="295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72"/>
      <c r="X93" s="295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72"/>
      <c r="Z93" s="295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72"/>
      <c r="AB93" s="295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72"/>
      <c r="AD93" s="295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72"/>
      <c r="AF93" s="295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72"/>
      <c r="AH93" s="295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72"/>
      <c r="AJ93" s="295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72"/>
      <c r="AL93" s="295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72"/>
      <c r="AN93" s="295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72"/>
      <c r="AP93" s="295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72"/>
      <c r="AR93" s="295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72"/>
      <c r="AT93" s="295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72"/>
      <c r="AV93" s="295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72"/>
      <c r="AX93" s="295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72"/>
      <c r="AZ93" s="295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72"/>
      <c r="BB93" s="295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72"/>
      <c r="BD93" s="295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72"/>
      <c r="BF93" s="295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72"/>
      <c r="BH93" s="295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72"/>
      <c r="BJ93" s="295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72"/>
      <c r="BL93" s="295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72"/>
      <c r="BN93" s="295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72"/>
    </row>
    <row r="94" spans="8:67" x14ac:dyDescent="0.25">
      <c r="H94" s="171"/>
      <c r="I94" s="166">
        <f t="shared" si="5"/>
        <v>81</v>
      </c>
      <c r="K94" s="167"/>
      <c r="L94" s="170" t="e">
        <f t="shared" si="4"/>
        <v>#DIV/0!</v>
      </c>
      <c r="M94" s="170" t="e">
        <f>SUM($L$14:$L94)</f>
        <v>#DIV/0!</v>
      </c>
      <c r="R94" s="295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72"/>
      <c r="T94" s="295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72"/>
      <c r="V94" s="295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72"/>
      <c r="X94" s="295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72"/>
      <c r="Z94" s="295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72"/>
      <c r="AB94" s="295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72"/>
      <c r="AD94" s="295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72"/>
      <c r="AF94" s="295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72"/>
      <c r="AH94" s="295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72"/>
      <c r="AJ94" s="295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72"/>
      <c r="AL94" s="295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72"/>
      <c r="AN94" s="295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72"/>
      <c r="AP94" s="295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72"/>
      <c r="AR94" s="295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72"/>
      <c r="AT94" s="295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72"/>
      <c r="AV94" s="295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72"/>
      <c r="AX94" s="295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72"/>
      <c r="AZ94" s="295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72"/>
      <c r="BB94" s="295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72"/>
      <c r="BD94" s="295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72"/>
      <c r="BF94" s="295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72"/>
      <c r="BH94" s="295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72"/>
      <c r="BJ94" s="295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72"/>
      <c r="BL94" s="295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72"/>
      <c r="BN94" s="295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72"/>
    </row>
    <row r="95" spans="8:67" x14ac:dyDescent="0.25">
      <c r="H95" s="171"/>
      <c r="I95" s="166">
        <f t="shared" si="5"/>
        <v>82</v>
      </c>
      <c r="K95" s="167"/>
      <c r="L95" s="170" t="e">
        <f t="shared" si="4"/>
        <v>#DIV/0!</v>
      </c>
      <c r="M95" s="170" t="e">
        <f>SUM($L$14:$L95)</f>
        <v>#DIV/0!</v>
      </c>
      <c r="R95" s="295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72"/>
      <c r="T95" s="295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72"/>
      <c r="V95" s="295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72"/>
      <c r="X95" s="295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72"/>
      <c r="Z95" s="295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72"/>
      <c r="AB95" s="295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72"/>
      <c r="AD95" s="295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72"/>
      <c r="AF95" s="295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72"/>
      <c r="AH95" s="295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72"/>
      <c r="AJ95" s="295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72"/>
      <c r="AL95" s="295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72"/>
      <c r="AN95" s="295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72"/>
      <c r="AP95" s="295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72"/>
      <c r="AR95" s="295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72"/>
      <c r="AT95" s="295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72"/>
      <c r="AV95" s="295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72"/>
      <c r="AX95" s="295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72"/>
      <c r="AZ95" s="295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72"/>
      <c r="BB95" s="295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72"/>
      <c r="BD95" s="295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72"/>
      <c r="BF95" s="295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72"/>
      <c r="BH95" s="295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72"/>
      <c r="BJ95" s="295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72"/>
      <c r="BL95" s="295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72"/>
      <c r="BN95" s="295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72"/>
    </row>
    <row r="96" spans="8:67" x14ac:dyDescent="0.25">
      <c r="H96" s="171"/>
      <c r="I96" s="166">
        <f t="shared" si="5"/>
        <v>83</v>
      </c>
      <c r="K96" s="167"/>
      <c r="L96" s="170" t="e">
        <f t="shared" si="4"/>
        <v>#DIV/0!</v>
      </c>
      <c r="M96" s="170" t="e">
        <f>SUM($L$14:$L96)</f>
        <v>#DIV/0!</v>
      </c>
      <c r="R96" s="295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72"/>
      <c r="T96" s="295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72"/>
      <c r="V96" s="295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72"/>
      <c r="X96" s="295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72"/>
      <c r="Z96" s="295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72"/>
      <c r="AB96" s="295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72"/>
      <c r="AD96" s="295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72"/>
      <c r="AF96" s="295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72"/>
      <c r="AH96" s="295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72"/>
      <c r="AJ96" s="295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72"/>
      <c r="AL96" s="295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72"/>
      <c r="AN96" s="295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72"/>
      <c r="AP96" s="295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72"/>
      <c r="AR96" s="295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72"/>
      <c r="AT96" s="295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72"/>
      <c r="AV96" s="295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72"/>
      <c r="AX96" s="295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72"/>
      <c r="AZ96" s="295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72"/>
      <c r="BB96" s="295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72"/>
      <c r="BD96" s="295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72"/>
      <c r="BF96" s="295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72"/>
      <c r="BH96" s="295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72"/>
      <c r="BJ96" s="295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72"/>
      <c r="BL96" s="295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72"/>
      <c r="BN96" s="295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72"/>
    </row>
    <row r="97" spans="2:67" x14ac:dyDescent="0.25">
      <c r="H97" s="171"/>
      <c r="I97" s="166">
        <f t="shared" si="5"/>
        <v>84</v>
      </c>
      <c r="K97" s="167"/>
      <c r="L97" s="170" t="e">
        <f t="shared" si="4"/>
        <v>#DIV/0!</v>
      </c>
      <c r="M97" s="170" t="e">
        <f>SUM($L$14:$L97)</f>
        <v>#DIV/0!</v>
      </c>
      <c r="R97" s="295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72"/>
      <c r="T97" s="295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72"/>
      <c r="V97" s="295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72"/>
      <c r="X97" s="295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72"/>
      <c r="Z97" s="295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72"/>
      <c r="AB97" s="295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72"/>
      <c r="AD97" s="295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72"/>
      <c r="AF97" s="295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72"/>
      <c r="AH97" s="295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72"/>
      <c r="AJ97" s="295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72"/>
      <c r="AL97" s="295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72"/>
      <c r="AN97" s="295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72"/>
      <c r="AP97" s="295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72"/>
      <c r="AR97" s="295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72"/>
      <c r="AT97" s="295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72"/>
      <c r="AV97" s="295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72"/>
      <c r="AX97" s="295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72"/>
      <c r="AZ97" s="295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72"/>
      <c r="BB97" s="295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72"/>
      <c r="BD97" s="295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72"/>
      <c r="BF97" s="295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72"/>
      <c r="BH97" s="295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72"/>
      <c r="BJ97" s="295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72"/>
      <c r="BL97" s="295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72"/>
      <c r="BN97" s="295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72"/>
    </row>
    <row r="98" spans="2:67" x14ac:dyDescent="0.25">
      <c r="H98" s="171"/>
      <c r="I98" s="166">
        <f t="shared" si="5"/>
        <v>85</v>
      </c>
      <c r="K98" s="167"/>
      <c r="L98" s="170" t="e">
        <f t="shared" si="4"/>
        <v>#DIV/0!</v>
      </c>
      <c r="M98" s="170" t="e">
        <f>SUM($L$14:$L98)</f>
        <v>#DIV/0!</v>
      </c>
      <c r="R98" s="295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72"/>
      <c r="T98" s="295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72"/>
      <c r="V98" s="295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72"/>
      <c r="X98" s="295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72"/>
      <c r="Z98" s="295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72"/>
      <c r="AB98" s="295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72"/>
      <c r="AD98" s="295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72"/>
      <c r="AF98" s="295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72"/>
      <c r="AH98" s="295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72"/>
      <c r="AJ98" s="295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72"/>
      <c r="AL98" s="295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72"/>
      <c r="AN98" s="295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72"/>
      <c r="AP98" s="295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72"/>
      <c r="AR98" s="295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72"/>
      <c r="AT98" s="295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72"/>
      <c r="AV98" s="295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72"/>
      <c r="AX98" s="295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72"/>
      <c r="AZ98" s="295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72"/>
      <c r="BB98" s="295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72"/>
      <c r="BD98" s="295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72"/>
      <c r="BF98" s="295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72"/>
      <c r="BH98" s="295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72"/>
      <c r="BJ98" s="295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72"/>
      <c r="BL98" s="295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72"/>
      <c r="BN98" s="295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72"/>
    </row>
    <row r="99" spans="2:67" x14ac:dyDescent="0.25">
      <c r="H99" s="171"/>
      <c r="I99" s="166">
        <f t="shared" si="5"/>
        <v>86</v>
      </c>
      <c r="K99" s="167"/>
      <c r="L99" s="170" t="e">
        <f t="shared" si="4"/>
        <v>#DIV/0!</v>
      </c>
      <c r="M99" s="170" t="e">
        <f>SUM($L$14:$L99)</f>
        <v>#DIV/0!</v>
      </c>
      <c r="R99" s="295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72"/>
      <c r="T99" s="295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72"/>
      <c r="V99" s="295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72"/>
      <c r="X99" s="295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72"/>
      <c r="Z99" s="295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72"/>
      <c r="AB99" s="295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72"/>
      <c r="AD99" s="295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72"/>
      <c r="AF99" s="295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72"/>
      <c r="AH99" s="295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72"/>
      <c r="AJ99" s="295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72"/>
      <c r="AL99" s="295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72"/>
      <c r="AN99" s="295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72"/>
      <c r="AP99" s="295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72"/>
      <c r="AR99" s="295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72"/>
      <c r="AT99" s="295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72"/>
      <c r="AV99" s="295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72"/>
      <c r="AX99" s="295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72"/>
      <c r="AZ99" s="295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72"/>
      <c r="BB99" s="295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72"/>
      <c r="BD99" s="295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72"/>
      <c r="BF99" s="295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72"/>
      <c r="BH99" s="295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72"/>
      <c r="BJ99" s="295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72"/>
      <c r="BL99" s="295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72"/>
      <c r="BN99" s="295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72"/>
    </row>
    <row r="100" spans="2:67" x14ac:dyDescent="0.25">
      <c r="H100" s="171"/>
      <c r="I100" s="166">
        <f t="shared" si="5"/>
        <v>87</v>
      </c>
      <c r="K100" s="167"/>
      <c r="L100" s="170" t="e">
        <f t="shared" si="4"/>
        <v>#DIV/0!</v>
      </c>
      <c r="M100" s="170" t="e">
        <f>SUM($L$14:$L100)</f>
        <v>#DIV/0!</v>
      </c>
      <c r="R100" s="295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72"/>
      <c r="T100" s="295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72"/>
      <c r="V100" s="295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72"/>
      <c r="X100" s="295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72"/>
      <c r="Z100" s="295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72"/>
      <c r="AB100" s="295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72"/>
      <c r="AD100" s="295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72"/>
      <c r="AF100" s="295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72"/>
      <c r="AH100" s="295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72"/>
      <c r="AJ100" s="295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72"/>
      <c r="AL100" s="295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72"/>
      <c r="AN100" s="295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72"/>
      <c r="AP100" s="295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72"/>
      <c r="AR100" s="295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72"/>
      <c r="AT100" s="295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72"/>
      <c r="AV100" s="295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72"/>
      <c r="AX100" s="295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72"/>
      <c r="AZ100" s="295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72"/>
      <c r="BB100" s="295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72"/>
      <c r="BD100" s="295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72"/>
      <c r="BF100" s="295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72"/>
      <c r="BH100" s="295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72"/>
      <c r="BJ100" s="295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72"/>
      <c r="BL100" s="295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72"/>
      <c r="BN100" s="295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72"/>
    </row>
    <row r="101" spans="2:67" x14ac:dyDescent="0.25">
      <c r="H101" s="171"/>
      <c r="I101" s="166">
        <f t="shared" si="5"/>
        <v>88</v>
      </c>
      <c r="K101" s="167"/>
      <c r="L101" s="170" t="e">
        <f t="shared" si="4"/>
        <v>#DIV/0!</v>
      </c>
      <c r="M101" s="170" t="e">
        <f>SUM($L$14:$L101)</f>
        <v>#DIV/0!</v>
      </c>
      <c r="R101" s="295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72"/>
      <c r="T101" s="295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72"/>
      <c r="V101" s="295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72"/>
      <c r="X101" s="295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72"/>
      <c r="Z101" s="295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72"/>
      <c r="AB101" s="295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72"/>
      <c r="AD101" s="295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72"/>
      <c r="AF101" s="295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72"/>
      <c r="AH101" s="295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72"/>
      <c r="AJ101" s="295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72"/>
      <c r="AL101" s="295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72"/>
      <c r="AN101" s="295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72"/>
      <c r="AP101" s="295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72"/>
      <c r="AR101" s="295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72"/>
      <c r="AT101" s="295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72"/>
      <c r="AV101" s="295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72"/>
      <c r="AX101" s="295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72"/>
      <c r="AZ101" s="295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72"/>
      <c r="BB101" s="295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72"/>
      <c r="BD101" s="295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72"/>
      <c r="BF101" s="295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72"/>
      <c r="BH101" s="295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72"/>
      <c r="BJ101" s="295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72"/>
      <c r="BL101" s="295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72"/>
      <c r="BN101" s="295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72"/>
    </row>
    <row r="102" spans="2:67" x14ac:dyDescent="0.25">
      <c r="H102" s="172"/>
      <c r="I102" s="168">
        <f t="shared" si="5"/>
        <v>89</v>
      </c>
      <c r="J102" s="222"/>
      <c r="K102" s="169"/>
      <c r="L102" s="170" t="e">
        <f>$K102/SUM($K$14:$K$88)</f>
        <v>#DIV/0!</v>
      </c>
      <c r="M102" s="170" t="e">
        <f>SUM($L$14:$L102)</f>
        <v>#DIV/0!</v>
      </c>
      <c r="R102" s="295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72"/>
      <c r="T102" s="295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72"/>
      <c r="V102" s="295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72"/>
      <c r="X102" s="295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72"/>
      <c r="Z102" s="295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72"/>
      <c r="AB102" s="295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72"/>
      <c r="AD102" s="295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72"/>
      <c r="AF102" s="295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72"/>
      <c r="AH102" s="295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72"/>
      <c r="AJ102" s="295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72"/>
      <c r="AL102" s="295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72"/>
      <c r="AN102" s="295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72"/>
      <c r="AP102" s="295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72"/>
      <c r="AR102" s="295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72"/>
      <c r="AT102" s="295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72"/>
      <c r="AV102" s="295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72"/>
      <c r="AX102" s="295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72"/>
      <c r="AZ102" s="295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72"/>
      <c r="BB102" s="295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72"/>
      <c r="BD102" s="295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72"/>
      <c r="BF102" s="295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72"/>
      <c r="BH102" s="295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72"/>
      <c r="BJ102" s="295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72"/>
      <c r="BL102" s="295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72"/>
      <c r="BN102" s="295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72"/>
    </row>
    <row r="103" spans="2:67" x14ac:dyDescent="0.25">
      <c r="R103" s="295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72"/>
      <c r="T103" s="295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72"/>
      <c r="V103" s="295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72"/>
      <c r="X103" s="295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72"/>
      <c r="Z103" s="295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72"/>
      <c r="AB103" s="295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72"/>
      <c r="AD103" s="295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72"/>
      <c r="AF103" s="295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72"/>
      <c r="AH103" s="295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72"/>
      <c r="AJ103" s="295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72"/>
      <c r="AL103" s="295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72"/>
      <c r="AN103" s="295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72"/>
      <c r="AP103" s="295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72"/>
      <c r="AR103" s="295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72"/>
      <c r="AT103" s="295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72"/>
      <c r="AV103" s="295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72"/>
      <c r="AX103" s="295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72"/>
      <c r="AZ103" s="295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72"/>
      <c r="BB103" s="295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72"/>
      <c r="BD103" s="295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72"/>
      <c r="BF103" s="295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72"/>
      <c r="BH103" s="295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72"/>
      <c r="BJ103" s="295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72"/>
      <c r="BL103" s="295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72"/>
      <c r="BN103" s="295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72"/>
    </row>
    <row r="104" spans="2:67" x14ac:dyDescent="0.25">
      <c r="R104" s="295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72"/>
      <c r="T104" s="295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72"/>
      <c r="V104" s="295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72"/>
      <c r="X104" s="295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72"/>
      <c r="Z104" s="295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72"/>
      <c r="AB104" s="295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72"/>
      <c r="AD104" s="295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72"/>
      <c r="AF104" s="295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72"/>
      <c r="AH104" s="295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72"/>
      <c r="AJ104" s="295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72"/>
      <c r="AL104" s="295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72"/>
      <c r="AN104" s="295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72"/>
      <c r="AP104" s="295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72"/>
      <c r="AR104" s="295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72"/>
      <c r="AT104" s="295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72"/>
      <c r="AV104" s="295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72"/>
      <c r="AX104" s="295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72"/>
      <c r="AZ104" s="295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72"/>
      <c r="BB104" s="295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72"/>
      <c r="BD104" s="295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72"/>
      <c r="BF104" s="295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72"/>
      <c r="BH104" s="295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72"/>
      <c r="BJ104" s="295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72"/>
      <c r="BL104" s="295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72"/>
      <c r="BN104" s="295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72"/>
    </row>
    <row r="106" spans="2:67" x14ac:dyDescent="0.25">
      <c r="B106" t="s">
        <v>1013</v>
      </c>
      <c r="C106" t="s">
        <v>33</v>
      </c>
      <c r="D106" t="s">
        <v>1014</v>
      </c>
      <c r="S106" s="273"/>
    </row>
    <row r="107" spans="2:67" x14ac:dyDescent="0.25">
      <c r="B107" t="s">
        <v>494</v>
      </c>
      <c r="C107" t="s">
        <v>7</v>
      </c>
      <c r="D107" t="b">
        <v>1</v>
      </c>
      <c r="S107" s="273"/>
    </row>
    <row r="108" spans="2:67" x14ac:dyDescent="0.25">
      <c r="B108" t="s">
        <v>1004</v>
      </c>
      <c r="D108" t="b">
        <v>0</v>
      </c>
    </row>
    <row r="109" spans="2:67" x14ac:dyDescent="0.25">
      <c r="B109" t="s">
        <v>1005</v>
      </c>
      <c r="D109" t="b">
        <v>0</v>
      </c>
    </row>
    <row r="110" spans="2:67" x14ac:dyDescent="0.25">
      <c r="B110" t="s">
        <v>706</v>
      </c>
      <c r="D110" t="b">
        <v>0</v>
      </c>
    </row>
    <row r="111" spans="2:67" x14ac:dyDescent="0.25">
      <c r="B111" t="s">
        <v>571</v>
      </c>
      <c r="D111" t="b">
        <v>0</v>
      </c>
    </row>
    <row r="112" spans="2:67" x14ac:dyDescent="0.25">
      <c r="B112" t="s">
        <v>573</v>
      </c>
      <c r="C112" t="s">
        <v>857</v>
      </c>
      <c r="D112" t="b">
        <v>0</v>
      </c>
    </row>
    <row r="113" spans="2:4" x14ac:dyDescent="0.25">
      <c r="B113" t="s">
        <v>1006</v>
      </c>
      <c r="D113" t="b">
        <v>0</v>
      </c>
    </row>
    <row r="114" spans="2:4" x14ac:dyDescent="0.25">
      <c r="B114" t="s">
        <v>659</v>
      </c>
      <c r="D114" t="b">
        <v>0</v>
      </c>
    </row>
    <row r="115" spans="2:4" x14ac:dyDescent="0.25">
      <c r="B115" t="s">
        <v>1007</v>
      </c>
      <c r="D115" t="b">
        <v>0</v>
      </c>
    </row>
    <row r="116" spans="2:4" x14ac:dyDescent="0.25">
      <c r="B116" t="s">
        <v>557</v>
      </c>
      <c r="C116" t="s">
        <v>670</v>
      </c>
      <c r="D116" t="b">
        <v>0</v>
      </c>
    </row>
    <row r="117" spans="2:4" x14ac:dyDescent="0.25">
      <c r="B117" t="s">
        <v>575</v>
      </c>
      <c r="D117" t="b">
        <v>0</v>
      </c>
    </row>
    <row r="118" spans="2:4" x14ac:dyDescent="0.25">
      <c r="B118" t="s">
        <v>1008</v>
      </c>
      <c r="D118" t="b">
        <v>0</v>
      </c>
    </row>
    <row r="119" spans="2:4" x14ac:dyDescent="0.25">
      <c r="B119" t="s">
        <v>585</v>
      </c>
      <c r="D119" t="b">
        <v>0</v>
      </c>
    </row>
    <row r="120" spans="2:4" x14ac:dyDescent="0.25">
      <c r="B120" t="s">
        <v>577</v>
      </c>
      <c r="D120" t="b">
        <v>0</v>
      </c>
    </row>
    <row r="121" spans="2:4" x14ac:dyDescent="0.25">
      <c r="B121" t="s">
        <v>569</v>
      </c>
      <c r="D121" t="b">
        <v>0</v>
      </c>
    </row>
    <row r="122" spans="2:4" x14ac:dyDescent="0.25">
      <c r="B122" t="s">
        <v>581</v>
      </c>
      <c r="D122" t="b">
        <v>0</v>
      </c>
    </row>
    <row r="123" spans="2:4" x14ac:dyDescent="0.25">
      <c r="B123" t="s">
        <v>653</v>
      </c>
      <c r="C123" t="s">
        <v>482</v>
      </c>
      <c r="D123" t="b">
        <v>0</v>
      </c>
    </row>
    <row r="124" spans="2:4" x14ac:dyDescent="0.25">
      <c r="B124" t="s">
        <v>574</v>
      </c>
      <c r="C124" t="s">
        <v>889</v>
      </c>
      <c r="D124" t="b">
        <v>0</v>
      </c>
    </row>
    <row r="125" spans="2:4" x14ac:dyDescent="0.25">
      <c r="B125" t="s">
        <v>561</v>
      </c>
      <c r="C125" t="s">
        <v>479</v>
      </c>
      <c r="D125" t="b">
        <v>0</v>
      </c>
    </row>
    <row r="126" spans="2:4" x14ac:dyDescent="0.25">
      <c r="B126" t="s">
        <v>558</v>
      </c>
      <c r="D126" t="b">
        <v>0</v>
      </c>
    </row>
    <row r="127" spans="2:4" x14ac:dyDescent="0.25">
      <c r="B127" t="s">
        <v>556</v>
      </c>
      <c r="D127" t="b">
        <v>0</v>
      </c>
    </row>
    <row r="128" spans="2:4" x14ac:dyDescent="0.25">
      <c r="B128" t="s">
        <v>1009</v>
      </c>
      <c r="D128" t="b">
        <v>0</v>
      </c>
    </row>
    <row r="129" spans="2:4" x14ac:dyDescent="0.25">
      <c r="B129" t="s">
        <v>1010</v>
      </c>
      <c r="D129" t="b">
        <v>0</v>
      </c>
    </row>
    <row r="130" spans="2:4" x14ac:dyDescent="0.25">
      <c r="B130" t="s">
        <v>576</v>
      </c>
      <c r="D130" t="b">
        <v>0</v>
      </c>
    </row>
    <row r="131" spans="2:4" x14ac:dyDescent="0.25">
      <c r="B131" t="s">
        <v>541</v>
      </c>
      <c r="C131" t="s">
        <v>10</v>
      </c>
      <c r="D131" t="b">
        <v>1</v>
      </c>
    </row>
    <row r="132" spans="2:4" x14ac:dyDescent="0.25">
      <c r="B132" t="s">
        <v>531</v>
      </c>
      <c r="C132" t="s">
        <v>12</v>
      </c>
      <c r="D132" t="b">
        <v>1</v>
      </c>
    </row>
    <row r="133" spans="2:4" x14ac:dyDescent="0.25">
      <c r="B133" t="s">
        <v>533</v>
      </c>
      <c r="C133" t="s">
        <v>7</v>
      </c>
      <c r="D133" t="b">
        <v>1</v>
      </c>
    </row>
    <row r="134" spans="2:4" x14ac:dyDescent="0.25">
      <c r="B134" t="s">
        <v>578</v>
      </c>
      <c r="D134" t="b">
        <v>0</v>
      </c>
    </row>
    <row r="135" spans="2:4" x14ac:dyDescent="0.25">
      <c r="B135" t="s">
        <v>546</v>
      </c>
      <c r="C135" t="s">
        <v>13</v>
      </c>
      <c r="D135" t="b">
        <v>1</v>
      </c>
    </row>
    <row r="136" spans="2:4" x14ac:dyDescent="0.25">
      <c r="B136" t="s">
        <v>579</v>
      </c>
      <c r="D136" t="b">
        <v>0</v>
      </c>
    </row>
    <row r="137" spans="2:4" x14ac:dyDescent="0.25">
      <c r="B137" t="s">
        <v>535</v>
      </c>
      <c r="C137" t="s">
        <v>11</v>
      </c>
      <c r="D137" t="b">
        <v>1</v>
      </c>
    </row>
    <row r="138" spans="2:4" x14ac:dyDescent="0.25">
      <c r="B138" t="s">
        <v>562</v>
      </c>
      <c r="D138" t="b">
        <v>0</v>
      </c>
    </row>
    <row r="139" spans="2:4" x14ac:dyDescent="0.25">
      <c r="B139" t="s">
        <v>544</v>
      </c>
      <c r="C139" t="s">
        <v>465</v>
      </c>
      <c r="D139" t="b">
        <v>1</v>
      </c>
    </row>
    <row r="140" spans="2:4" x14ac:dyDescent="0.25">
      <c r="B140" t="s">
        <v>537</v>
      </c>
      <c r="C140" t="s">
        <v>9</v>
      </c>
      <c r="D140" t="b">
        <v>1</v>
      </c>
    </row>
    <row r="141" spans="2:4" x14ac:dyDescent="0.25">
      <c r="B141" t="s">
        <v>580</v>
      </c>
      <c r="D141" t="b">
        <v>0</v>
      </c>
    </row>
    <row r="142" spans="2:4" x14ac:dyDescent="0.25">
      <c r="B142" t="s">
        <v>1040</v>
      </c>
      <c r="C142" t="s">
        <v>677</v>
      </c>
      <c r="D142" t="b">
        <v>0</v>
      </c>
    </row>
    <row r="143" spans="2:4" x14ac:dyDescent="0.25">
      <c r="B143" t="s">
        <v>704</v>
      </c>
      <c r="C143" t="s">
        <v>673</v>
      </c>
      <c r="D143" t="b">
        <v>1</v>
      </c>
    </row>
    <row r="144" spans="2:4" x14ac:dyDescent="0.25">
      <c r="B144" t="s">
        <v>539</v>
      </c>
      <c r="C144" t="s">
        <v>8</v>
      </c>
      <c r="D144" t="b">
        <v>1</v>
      </c>
    </row>
    <row r="145" spans="2:5" x14ac:dyDescent="0.25">
      <c r="B145" t="s">
        <v>1011</v>
      </c>
      <c r="C145" t="s">
        <v>7</v>
      </c>
      <c r="D145" t="b">
        <v>0</v>
      </c>
    </row>
    <row r="146" spans="2:5" x14ac:dyDescent="0.25">
      <c r="B146" t="s">
        <v>1012</v>
      </c>
      <c r="D146" t="b">
        <v>0</v>
      </c>
    </row>
    <row r="147" spans="2:5" x14ac:dyDescent="0.25">
      <c r="B147" t="s">
        <v>722</v>
      </c>
      <c r="D147" t="b">
        <v>0</v>
      </c>
    </row>
    <row r="151" spans="2:5" x14ac:dyDescent="0.25">
      <c r="B151" s="559" t="s">
        <v>1206</v>
      </c>
      <c r="C151" s="559" t="s">
        <v>1037</v>
      </c>
      <c r="D151" s="559" t="s">
        <v>1036</v>
      </c>
      <c r="E151" s="559" t="s">
        <v>1035</v>
      </c>
    </row>
    <row r="152" spans="2:5" x14ac:dyDescent="0.25">
      <c r="D152" t="s">
        <v>334</v>
      </c>
      <c r="E152" t="b">
        <f>C152=B152</f>
        <v>1</v>
      </c>
    </row>
    <row r="153" spans="2:5" x14ac:dyDescent="0.25">
      <c r="B153" s="273" t="s">
        <v>337</v>
      </c>
      <c r="C153" t="s">
        <v>337</v>
      </c>
      <c r="D153" t="s">
        <v>337</v>
      </c>
      <c r="E153" t="b">
        <f t="shared" ref="E153:E216" si="6">C153=B153</f>
        <v>1</v>
      </c>
    </row>
    <row r="154" spans="2:5" x14ac:dyDescent="0.25">
      <c r="B154" s="273" t="s">
        <v>338</v>
      </c>
      <c r="C154" t="s">
        <v>338</v>
      </c>
      <c r="D154" t="s">
        <v>338</v>
      </c>
      <c r="E154" t="b">
        <f t="shared" si="6"/>
        <v>1</v>
      </c>
    </row>
    <row r="155" spans="2:5" x14ac:dyDescent="0.25">
      <c r="B155" s="273" t="s">
        <v>339</v>
      </c>
      <c r="C155" t="s">
        <v>339</v>
      </c>
      <c r="D155" t="s">
        <v>339</v>
      </c>
      <c r="E155" t="b">
        <f t="shared" si="6"/>
        <v>1</v>
      </c>
    </row>
    <row r="156" spans="2:5" x14ac:dyDescent="0.25">
      <c r="B156" s="273" t="s">
        <v>340</v>
      </c>
      <c r="C156" t="s">
        <v>340</v>
      </c>
      <c r="D156" t="s">
        <v>340</v>
      </c>
      <c r="E156" t="b">
        <f t="shared" si="6"/>
        <v>1</v>
      </c>
    </row>
    <row r="157" spans="2:5" x14ac:dyDescent="0.25">
      <c r="B157" s="273" t="s">
        <v>341</v>
      </c>
      <c r="C157" t="s">
        <v>341</v>
      </c>
      <c r="D157" t="s">
        <v>341</v>
      </c>
      <c r="E157" t="b">
        <f t="shared" si="6"/>
        <v>1</v>
      </c>
    </row>
    <row r="158" spans="2:5" x14ac:dyDescent="0.25">
      <c r="B158" s="273" t="s">
        <v>342</v>
      </c>
      <c r="C158" t="s">
        <v>342</v>
      </c>
      <c r="D158" t="s">
        <v>342</v>
      </c>
      <c r="E158" t="b">
        <f t="shared" si="6"/>
        <v>1</v>
      </c>
    </row>
    <row r="159" spans="2:5" x14ac:dyDescent="0.25">
      <c r="B159" s="273" t="s">
        <v>343</v>
      </c>
      <c r="C159" t="s">
        <v>343</v>
      </c>
      <c r="D159" t="s">
        <v>343</v>
      </c>
      <c r="E159" t="b">
        <f t="shared" si="6"/>
        <v>1</v>
      </c>
    </row>
    <row r="160" spans="2:5" x14ac:dyDescent="0.25">
      <c r="B160" s="273" t="s">
        <v>345</v>
      </c>
      <c r="C160" t="s">
        <v>345</v>
      </c>
      <c r="D160" t="s">
        <v>345</v>
      </c>
      <c r="E160" t="b">
        <f t="shared" si="6"/>
        <v>1</v>
      </c>
    </row>
    <row r="161" spans="2:5" x14ac:dyDescent="0.25">
      <c r="B161" s="273" t="s">
        <v>346</v>
      </c>
      <c r="C161" t="s">
        <v>346</v>
      </c>
      <c r="D161" t="s">
        <v>346</v>
      </c>
      <c r="E161" t="b">
        <f t="shared" si="6"/>
        <v>1</v>
      </c>
    </row>
    <row r="162" spans="2:5" x14ac:dyDescent="0.25">
      <c r="B162" s="273" t="s">
        <v>347</v>
      </c>
      <c r="C162" t="s">
        <v>347</v>
      </c>
      <c r="D162" t="s">
        <v>347</v>
      </c>
      <c r="E162" t="b">
        <f t="shared" si="6"/>
        <v>1</v>
      </c>
    </row>
    <row r="163" spans="2:5" x14ac:dyDescent="0.25">
      <c r="B163" s="273" t="s">
        <v>348</v>
      </c>
      <c r="C163" t="s">
        <v>348</v>
      </c>
      <c r="D163" t="s">
        <v>348</v>
      </c>
      <c r="E163" t="b">
        <f t="shared" si="6"/>
        <v>1</v>
      </c>
    </row>
    <row r="164" spans="2:5" x14ac:dyDescent="0.25">
      <c r="B164" s="273" t="s">
        <v>429</v>
      </c>
      <c r="C164" t="s">
        <v>429</v>
      </c>
      <c r="D164" t="s">
        <v>429</v>
      </c>
      <c r="E164" t="b">
        <f t="shared" si="6"/>
        <v>1</v>
      </c>
    </row>
    <row r="165" spans="2:5" x14ac:dyDescent="0.25">
      <c r="B165" s="273" t="s">
        <v>350</v>
      </c>
      <c r="C165" t="s">
        <v>350</v>
      </c>
      <c r="D165" t="s">
        <v>350</v>
      </c>
      <c r="E165" t="b">
        <f t="shared" si="6"/>
        <v>1</v>
      </c>
    </row>
    <row r="166" spans="2:5" x14ac:dyDescent="0.25">
      <c r="B166" s="273" t="s">
        <v>352</v>
      </c>
      <c r="C166" t="s">
        <v>352</v>
      </c>
      <c r="D166" t="s">
        <v>352</v>
      </c>
      <c r="E166" t="b">
        <f t="shared" si="6"/>
        <v>1</v>
      </c>
    </row>
    <row r="167" spans="2:5" x14ac:dyDescent="0.25">
      <c r="B167" s="273" t="s">
        <v>354</v>
      </c>
      <c r="C167" t="s">
        <v>354</v>
      </c>
      <c r="D167" t="s">
        <v>354</v>
      </c>
      <c r="E167" t="b">
        <f t="shared" si="6"/>
        <v>1</v>
      </c>
    </row>
    <row r="168" spans="2:5" x14ac:dyDescent="0.25">
      <c r="B168" s="273" t="s">
        <v>355</v>
      </c>
      <c r="C168" t="s">
        <v>355</v>
      </c>
      <c r="D168" t="s">
        <v>355</v>
      </c>
      <c r="E168" t="b">
        <f t="shared" si="6"/>
        <v>1</v>
      </c>
    </row>
    <row r="169" spans="2:5" x14ac:dyDescent="0.25">
      <c r="B169" s="273" t="s">
        <v>356</v>
      </c>
      <c r="C169" t="s">
        <v>356</v>
      </c>
      <c r="D169" t="s">
        <v>356</v>
      </c>
      <c r="E169" t="b">
        <f t="shared" si="6"/>
        <v>1</v>
      </c>
    </row>
    <row r="170" spans="2:5" x14ac:dyDescent="0.25">
      <c r="B170" s="273" t="s">
        <v>1034</v>
      </c>
      <c r="C170" t="s">
        <v>1034</v>
      </c>
      <c r="D170" t="s">
        <v>1034</v>
      </c>
      <c r="E170" t="b">
        <f t="shared" si="6"/>
        <v>1</v>
      </c>
    </row>
    <row r="171" spans="2:5" x14ac:dyDescent="0.25">
      <c r="B171" s="273" t="s">
        <v>357</v>
      </c>
      <c r="C171" t="s">
        <v>357</v>
      </c>
      <c r="D171" t="s">
        <v>357</v>
      </c>
      <c r="E171" t="b">
        <f t="shared" si="6"/>
        <v>1</v>
      </c>
    </row>
    <row r="172" spans="2:5" x14ac:dyDescent="0.25">
      <c r="B172" s="273" t="s">
        <v>358</v>
      </c>
      <c r="C172" t="s">
        <v>358</v>
      </c>
      <c r="D172" t="s">
        <v>358</v>
      </c>
      <c r="E172" t="b">
        <f t="shared" si="6"/>
        <v>1</v>
      </c>
    </row>
    <row r="173" spans="2:5" x14ac:dyDescent="0.25">
      <c r="B173" s="273" t="s">
        <v>359</v>
      </c>
      <c r="C173" t="s">
        <v>359</v>
      </c>
      <c r="D173" t="s">
        <v>359</v>
      </c>
      <c r="E173" t="b">
        <f t="shared" si="6"/>
        <v>1</v>
      </c>
    </row>
    <row r="174" spans="2:5" x14ac:dyDescent="0.25">
      <c r="B174" s="273" t="s">
        <v>362</v>
      </c>
      <c r="C174" t="s">
        <v>362</v>
      </c>
      <c r="D174" t="s">
        <v>362</v>
      </c>
      <c r="E174" t="b">
        <f t="shared" si="6"/>
        <v>1</v>
      </c>
    </row>
    <row r="175" spans="2:5" x14ac:dyDescent="0.25">
      <c r="B175" s="273" t="s">
        <v>363</v>
      </c>
      <c r="C175" t="s">
        <v>363</v>
      </c>
      <c r="D175" t="s">
        <v>363</v>
      </c>
      <c r="E175" t="b">
        <f t="shared" si="6"/>
        <v>1</v>
      </c>
    </row>
    <row r="176" spans="2:5" x14ac:dyDescent="0.25">
      <c r="B176" s="273" t="s">
        <v>364</v>
      </c>
      <c r="C176" t="s">
        <v>364</v>
      </c>
      <c r="D176" t="s">
        <v>364</v>
      </c>
      <c r="E176" t="b">
        <f t="shared" si="6"/>
        <v>1</v>
      </c>
    </row>
    <row r="177" spans="2:5" x14ac:dyDescent="0.25">
      <c r="B177" s="273" t="s">
        <v>365</v>
      </c>
      <c r="C177" t="s">
        <v>365</v>
      </c>
      <c r="D177" t="s">
        <v>365</v>
      </c>
      <c r="E177" t="b">
        <f t="shared" si="6"/>
        <v>1</v>
      </c>
    </row>
    <row r="178" spans="2:5" x14ac:dyDescent="0.25">
      <c r="B178" s="273" t="s">
        <v>366</v>
      </c>
      <c r="C178" t="s">
        <v>366</v>
      </c>
      <c r="D178" t="s">
        <v>366</v>
      </c>
      <c r="E178" t="b">
        <f t="shared" si="6"/>
        <v>1</v>
      </c>
    </row>
    <row r="179" spans="2:5" x14ac:dyDescent="0.25">
      <c r="B179" s="273" t="s">
        <v>726</v>
      </c>
      <c r="C179" t="s">
        <v>726</v>
      </c>
      <c r="D179" t="s">
        <v>726</v>
      </c>
      <c r="E179" t="b">
        <f t="shared" si="6"/>
        <v>1</v>
      </c>
    </row>
    <row r="180" spans="2:5" x14ac:dyDescent="0.25">
      <c r="B180" s="273" t="s">
        <v>367</v>
      </c>
      <c r="C180" t="s">
        <v>367</v>
      </c>
      <c r="D180" t="s">
        <v>367</v>
      </c>
      <c r="E180" t="b">
        <f t="shared" si="6"/>
        <v>1</v>
      </c>
    </row>
    <row r="181" spans="2:5" x14ac:dyDescent="0.25">
      <c r="B181" s="273" t="s">
        <v>368</v>
      </c>
      <c r="C181" t="s">
        <v>368</v>
      </c>
      <c r="D181" t="s">
        <v>368</v>
      </c>
      <c r="E181" t="b">
        <f t="shared" si="6"/>
        <v>1</v>
      </c>
    </row>
    <row r="182" spans="2:5" x14ac:dyDescent="0.25">
      <c r="B182" s="273" t="s">
        <v>369</v>
      </c>
      <c r="C182" t="s">
        <v>369</v>
      </c>
      <c r="D182" t="s">
        <v>369</v>
      </c>
      <c r="E182" t="b">
        <f t="shared" si="6"/>
        <v>1</v>
      </c>
    </row>
    <row r="183" spans="2:5" x14ac:dyDescent="0.25">
      <c r="B183" s="273" t="s">
        <v>370</v>
      </c>
      <c r="C183" t="s">
        <v>370</v>
      </c>
      <c r="D183" t="s">
        <v>370</v>
      </c>
      <c r="E183" t="b">
        <f t="shared" si="6"/>
        <v>1</v>
      </c>
    </row>
    <row r="184" spans="2:5" x14ac:dyDescent="0.25">
      <c r="B184" s="273" t="s">
        <v>371</v>
      </c>
      <c r="C184" t="s">
        <v>371</v>
      </c>
      <c r="D184" t="s">
        <v>371</v>
      </c>
      <c r="E184" t="b">
        <f t="shared" si="6"/>
        <v>1</v>
      </c>
    </row>
    <row r="185" spans="2:5" x14ac:dyDescent="0.25">
      <c r="B185" s="273" t="s">
        <v>372</v>
      </c>
      <c r="C185" t="s">
        <v>372</v>
      </c>
      <c r="D185" t="s">
        <v>372</v>
      </c>
      <c r="E185" t="b">
        <f t="shared" si="6"/>
        <v>1</v>
      </c>
    </row>
    <row r="186" spans="2:5" x14ac:dyDescent="0.25">
      <c r="B186" s="273" t="s">
        <v>373</v>
      </c>
      <c r="C186" t="s">
        <v>373</v>
      </c>
      <c r="D186" t="s">
        <v>373</v>
      </c>
      <c r="E186" t="b">
        <f t="shared" si="6"/>
        <v>1</v>
      </c>
    </row>
    <row r="187" spans="2:5" x14ac:dyDescent="0.25">
      <c r="B187" s="273" t="s">
        <v>374</v>
      </c>
      <c r="C187" t="s">
        <v>374</v>
      </c>
      <c r="D187" t="s">
        <v>374</v>
      </c>
      <c r="E187" t="b">
        <f t="shared" si="6"/>
        <v>1</v>
      </c>
    </row>
    <row r="188" spans="2:5" x14ac:dyDescent="0.25">
      <c r="B188" s="273" t="s">
        <v>375</v>
      </c>
      <c r="C188" t="s">
        <v>375</v>
      </c>
      <c r="D188" t="s">
        <v>375</v>
      </c>
      <c r="E188" t="b">
        <f t="shared" si="6"/>
        <v>1</v>
      </c>
    </row>
    <row r="189" spans="2:5" x14ac:dyDescent="0.25">
      <c r="B189" s="273" t="s">
        <v>376</v>
      </c>
      <c r="C189" t="s">
        <v>376</v>
      </c>
      <c r="D189" t="s">
        <v>376</v>
      </c>
      <c r="E189" t="b">
        <f t="shared" si="6"/>
        <v>1</v>
      </c>
    </row>
    <row r="190" spans="2:5" x14ac:dyDescent="0.25">
      <c r="B190" s="273" t="s">
        <v>377</v>
      </c>
      <c r="C190" t="s">
        <v>377</v>
      </c>
      <c r="D190" t="s">
        <v>377</v>
      </c>
      <c r="E190" t="b">
        <f t="shared" si="6"/>
        <v>1</v>
      </c>
    </row>
    <row r="191" spans="2:5" x14ac:dyDescent="0.25">
      <c r="B191" s="273" t="s">
        <v>996</v>
      </c>
      <c r="C191" t="s">
        <v>996</v>
      </c>
      <c r="D191" t="s">
        <v>996</v>
      </c>
      <c r="E191" t="b">
        <f t="shared" si="6"/>
        <v>1</v>
      </c>
    </row>
    <row r="192" spans="2:5" x14ac:dyDescent="0.25">
      <c r="B192" s="273" t="s">
        <v>997</v>
      </c>
      <c r="C192" t="s">
        <v>997</v>
      </c>
      <c r="D192" t="s">
        <v>997</v>
      </c>
      <c r="E192" t="b">
        <f t="shared" si="6"/>
        <v>1</v>
      </c>
    </row>
    <row r="193" spans="2:5" x14ac:dyDescent="0.25">
      <c r="B193" s="273" t="s">
        <v>724</v>
      </c>
      <c r="C193" t="s">
        <v>724</v>
      </c>
      <c r="D193" t="s">
        <v>724</v>
      </c>
      <c r="E193" t="b">
        <f t="shared" si="6"/>
        <v>1</v>
      </c>
    </row>
    <row r="194" spans="2:5" x14ac:dyDescent="0.25">
      <c r="B194" s="273" t="s">
        <v>998</v>
      </c>
      <c r="C194" t="s">
        <v>998</v>
      </c>
      <c r="D194" t="s">
        <v>998</v>
      </c>
      <c r="E194" t="b">
        <f t="shared" si="6"/>
        <v>1</v>
      </c>
    </row>
    <row r="195" spans="2:5" x14ac:dyDescent="0.25">
      <c r="B195" s="273" t="s">
        <v>999</v>
      </c>
      <c r="C195" t="s">
        <v>999</v>
      </c>
      <c r="D195" t="s">
        <v>999</v>
      </c>
      <c r="E195" t="b">
        <f t="shared" si="6"/>
        <v>1</v>
      </c>
    </row>
    <row r="196" spans="2:5" x14ac:dyDescent="0.25">
      <c r="B196" s="273" t="s">
        <v>1000</v>
      </c>
      <c r="C196" t="s">
        <v>1000</v>
      </c>
      <c r="D196" t="s">
        <v>1000</v>
      </c>
      <c r="E196" t="b">
        <f t="shared" si="6"/>
        <v>1</v>
      </c>
    </row>
    <row r="197" spans="2:5" x14ac:dyDescent="0.25">
      <c r="B197" s="273" t="s">
        <v>727</v>
      </c>
      <c r="C197" t="s">
        <v>727</v>
      </c>
      <c r="D197" t="s">
        <v>727</v>
      </c>
      <c r="E197" t="b">
        <f t="shared" si="6"/>
        <v>1</v>
      </c>
    </row>
    <row r="198" spans="2:5" x14ac:dyDescent="0.25">
      <c r="B198" s="273" t="s">
        <v>728</v>
      </c>
      <c r="C198" t="s">
        <v>728</v>
      </c>
      <c r="D198" t="s">
        <v>728</v>
      </c>
      <c r="E198" t="b">
        <f t="shared" si="6"/>
        <v>1</v>
      </c>
    </row>
    <row r="199" spans="2:5" x14ac:dyDescent="0.25">
      <c r="B199" s="273" t="s">
        <v>378</v>
      </c>
      <c r="C199" t="s">
        <v>378</v>
      </c>
      <c r="D199" t="s">
        <v>378</v>
      </c>
      <c r="E199" t="b">
        <f t="shared" si="6"/>
        <v>1</v>
      </c>
    </row>
    <row r="200" spans="2:5" x14ac:dyDescent="0.25">
      <c r="B200" s="273" t="s">
        <v>380</v>
      </c>
      <c r="C200" t="s">
        <v>380</v>
      </c>
      <c r="D200" t="s">
        <v>380</v>
      </c>
      <c r="E200" t="b">
        <f t="shared" si="6"/>
        <v>1</v>
      </c>
    </row>
    <row r="201" spans="2:5" x14ac:dyDescent="0.25">
      <c r="B201" s="273" t="s">
        <v>381</v>
      </c>
      <c r="C201" t="s">
        <v>381</v>
      </c>
      <c r="D201" t="s">
        <v>381</v>
      </c>
      <c r="E201" t="b">
        <f t="shared" si="6"/>
        <v>1</v>
      </c>
    </row>
    <row r="202" spans="2:5" x14ac:dyDescent="0.25">
      <c r="B202" s="273" t="s">
        <v>382</v>
      </c>
      <c r="C202" t="s">
        <v>382</v>
      </c>
      <c r="D202" t="s">
        <v>382</v>
      </c>
      <c r="E202" t="b">
        <f t="shared" si="6"/>
        <v>1</v>
      </c>
    </row>
    <row r="203" spans="2:5" x14ac:dyDescent="0.25">
      <c r="B203" s="273" t="s">
        <v>383</v>
      </c>
      <c r="C203" t="s">
        <v>383</v>
      </c>
      <c r="D203" t="s">
        <v>383</v>
      </c>
      <c r="E203" t="b">
        <f t="shared" si="6"/>
        <v>1</v>
      </c>
    </row>
    <row r="204" spans="2:5" x14ac:dyDescent="0.25">
      <c r="B204" s="273" t="s">
        <v>385</v>
      </c>
      <c r="C204" t="s">
        <v>385</v>
      </c>
      <c r="D204" t="s">
        <v>385</v>
      </c>
      <c r="E204" t="b">
        <f t="shared" si="6"/>
        <v>1</v>
      </c>
    </row>
    <row r="205" spans="2:5" x14ac:dyDescent="0.25">
      <c r="B205" s="273" t="s">
        <v>386</v>
      </c>
      <c r="C205" t="s">
        <v>386</v>
      </c>
      <c r="D205" t="s">
        <v>386</v>
      </c>
      <c r="E205" t="b">
        <f t="shared" si="6"/>
        <v>1</v>
      </c>
    </row>
    <row r="206" spans="2:5" x14ac:dyDescent="0.25">
      <c r="D206" t="s">
        <v>387</v>
      </c>
      <c r="E206" t="b">
        <f t="shared" si="6"/>
        <v>1</v>
      </c>
    </row>
    <row r="207" spans="2:5" x14ac:dyDescent="0.25">
      <c r="B207" t="s">
        <v>388</v>
      </c>
      <c r="C207" t="s">
        <v>388</v>
      </c>
      <c r="D207" t="s">
        <v>388</v>
      </c>
      <c r="E207" t="b">
        <f t="shared" si="6"/>
        <v>1</v>
      </c>
    </row>
    <row r="208" spans="2:5" x14ac:dyDescent="0.25">
      <c r="C208" t="s">
        <v>729</v>
      </c>
      <c r="E208" t="b">
        <f t="shared" si="6"/>
        <v>0</v>
      </c>
    </row>
    <row r="209" spans="2:5" x14ac:dyDescent="0.25">
      <c r="C209" t="s">
        <v>723</v>
      </c>
      <c r="D209" t="s">
        <v>723</v>
      </c>
      <c r="E209" t="b">
        <f t="shared" si="6"/>
        <v>0</v>
      </c>
    </row>
    <row r="210" spans="2:5" x14ac:dyDescent="0.25">
      <c r="B210" s="273" t="s">
        <v>389</v>
      </c>
      <c r="C210" t="s">
        <v>389</v>
      </c>
      <c r="D210" t="s">
        <v>389</v>
      </c>
      <c r="E210" t="b">
        <f t="shared" si="6"/>
        <v>1</v>
      </c>
    </row>
    <row r="211" spans="2:5" x14ac:dyDescent="0.25">
      <c r="B211" s="273" t="s">
        <v>391</v>
      </c>
      <c r="C211" t="s">
        <v>391</v>
      </c>
      <c r="D211" t="s">
        <v>391</v>
      </c>
      <c r="E211" t="b">
        <f t="shared" si="6"/>
        <v>1</v>
      </c>
    </row>
    <row r="212" spans="2:5" x14ac:dyDescent="0.25">
      <c r="B212" s="273" t="s">
        <v>393</v>
      </c>
      <c r="C212" t="s">
        <v>393</v>
      </c>
      <c r="D212" t="s">
        <v>393</v>
      </c>
      <c r="E212" t="b">
        <f t="shared" si="6"/>
        <v>1</v>
      </c>
    </row>
    <row r="213" spans="2:5" x14ac:dyDescent="0.25">
      <c r="B213" s="273" t="s">
        <v>394</v>
      </c>
      <c r="C213" t="s">
        <v>394</v>
      </c>
      <c r="D213" t="s">
        <v>394</v>
      </c>
      <c r="E213" t="b">
        <f t="shared" si="6"/>
        <v>1</v>
      </c>
    </row>
    <row r="214" spans="2:5" x14ac:dyDescent="0.25">
      <c r="B214" s="273" t="s">
        <v>1033</v>
      </c>
      <c r="C214" t="s">
        <v>1033</v>
      </c>
      <c r="D214" t="s">
        <v>1033</v>
      </c>
      <c r="E214" t="b">
        <f t="shared" si="6"/>
        <v>1</v>
      </c>
    </row>
    <row r="215" spans="2:5" x14ac:dyDescent="0.25">
      <c r="B215" s="273" t="s">
        <v>1204</v>
      </c>
      <c r="E215" t="b">
        <f t="shared" si="6"/>
        <v>0</v>
      </c>
    </row>
    <row r="216" spans="2:5" x14ac:dyDescent="0.25">
      <c r="B216" s="273" t="s">
        <v>396</v>
      </c>
      <c r="C216" t="s">
        <v>396</v>
      </c>
      <c r="D216" t="s">
        <v>396</v>
      </c>
      <c r="E216" t="b">
        <f t="shared" si="6"/>
        <v>1</v>
      </c>
    </row>
    <row r="217" spans="2:5" x14ac:dyDescent="0.25">
      <c r="B217" s="273" t="s">
        <v>397</v>
      </c>
      <c r="C217" t="s">
        <v>397</v>
      </c>
      <c r="D217" t="s">
        <v>397</v>
      </c>
      <c r="E217" t="b">
        <f t="shared" ref="E217:E245" si="7">C217=B217</f>
        <v>1</v>
      </c>
    </row>
    <row r="218" spans="2:5" x14ac:dyDescent="0.25">
      <c r="B218" s="273" t="s">
        <v>398</v>
      </c>
      <c r="C218" t="s">
        <v>398</v>
      </c>
      <c r="D218" t="s">
        <v>398</v>
      </c>
      <c r="E218" t="b">
        <f t="shared" si="7"/>
        <v>1</v>
      </c>
    </row>
    <row r="219" spans="2:5" x14ac:dyDescent="0.25">
      <c r="B219" s="273" t="s">
        <v>399</v>
      </c>
      <c r="C219" t="s">
        <v>399</v>
      </c>
      <c r="D219" t="s">
        <v>399</v>
      </c>
      <c r="E219" t="b">
        <f t="shared" si="7"/>
        <v>1</v>
      </c>
    </row>
    <row r="220" spans="2:5" x14ac:dyDescent="0.25">
      <c r="B220" s="273" t="s">
        <v>1032</v>
      </c>
      <c r="C220" t="s">
        <v>1032</v>
      </c>
      <c r="E220" t="b">
        <f t="shared" si="7"/>
        <v>1</v>
      </c>
    </row>
    <row r="221" spans="2:5" x14ac:dyDescent="0.25">
      <c r="B221" s="273" t="s">
        <v>400</v>
      </c>
      <c r="C221" t="s">
        <v>400</v>
      </c>
      <c r="D221" t="s">
        <v>400</v>
      </c>
      <c r="E221" t="b">
        <f t="shared" si="7"/>
        <v>1</v>
      </c>
    </row>
    <row r="222" spans="2:5" x14ac:dyDescent="0.25">
      <c r="B222" s="273" t="s">
        <v>402</v>
      </c>
      <c r="C222" t="s">
        <v>402</v>
      </c>
      <c r="D222" t="s">
        <v>402</v>
      </c>
      <c r="E222" t="b">
        <f t="shared" si="7"/>
        <v>1</v>
      </c>
    </row>
    <row r="223" spans="2:5" x14ac:dyDescent="0.25">
      <c r="B223" s="273" t="s">
        <v>1031</v>
      </c>
      <c r="C223" t="s">
        <v>1031</v>
      </c>
      <c r="E223" t="b">
        <f t="shared" si="7"/>
        <v>1</v>
      </c>
    </row>
    <row r="224" spans="2:5" x14ac:dyDescent="0.25">
      <c r="B224" s="273" t="s">
        <v>404</v>
      </c>
      <c r="C224" t="s">
        <v>404</v>
      </c>
      <c r="D224" t="s">
        <v>404</v>
      </c>
      <c r="E224" t="b">
        <f t="shared" si="7"/>
        <v>1</v>
      </c>
    </row>
    <row r="225" spans="2:5" x14ac:dyDescent="0.25">
      <c r="B225" s="273" t="s">
        <v>1207</v>
      </c>
      <c r="C225" t="s">
        <v>1030</v>
      </c>
      <c r="E225" t="b">
        <f t="shared" si="7"/>
        <v>0</v>
      </c>
    </row>
    <row r="226" spans="2:5" x14ac:dyDescent="0.25">
      <c r="B226" s="273" t="s">
        <v>406</v>
      </c>
      <c r="C226" t="s">
        <v>406</v>
      </c>
      <c r="D226" t="s">
        <v>406</v>
      </c>
      <c r="E226" t="b">
        <f t="shared" si="7"/>
        <v>1</v>
      </c>
    </row>
    <row r="227" spans="2:5" x14ac:dyDescent="0.25">
      <c r="B227" s="273" t="s">
        <v>0</v>
      </c>
      <c r="C227" t="s">
        <v>0</v>
      </c>
      <c r="D227" t="s">
        <v>0</v>
      </c>
      <c r="E227" t="b">
        <f t="shared" si="7"/>
        <v>1</v>
      </c>
    </row>
    <row r="228" spans="2:5" x14ac:dyDescent="0.25">
      <c r="B228" s="273" t="s">
        <v>407</v>
      </c>
      <c r="C228" t="s">
        <v>407</v>
      </c>
      <c r="D228" t="s">
        <v>407</v>
      </c>
      <c r="E228" t="b">
        <f t="shared" si="7"/>
        <v>1</v>
      </c>
    </row>
    <row r="229" spans="2:5" x14ac:dyDescent="0.25">
      <c r="B229" s="273" t="s">
        <v>408</v>
      </c>
      <c r="C229" t="s">
        <v>408</v>
      </c>
      <c r="D229" t="s">
        <v>408</v>
      </c>
      <c r="E229" t="b">
        <f t="shared" si="7"/>
        <v>1</v>
      </c>
    </row>
    <row r="230" spans="2:5" x14ac:dyDescent="0.25">
      <c r="B230" s="273" t="s">
        <v>409</v>
      </c>
      <c r="C230" t="s">
        <v>409</v>
      </c>
      <c r="D230" t="s">
        <v>409</v>
      </c>
      <c r="E230" t="b">
        <f t="shared" si="7"/>
        <v>1</v>
      </c>
    </row>
    <row r="231" spans="2:5" x14ac:dyDescent="0.25">
      <c r="B231" s="273" t="s">
        <v>410</v>
      </c>
      <c r="C231" t="s">
        <v>410</v>
      </c>
      <c r="D231" t="s">
        <v>410</v>
      </c>
      <c r="E231" t="b">
        <f t="shared" si="7"/>
        <v>1</v>
      </c>
    </row>
    <row r="232" spans="2:5" x14ac:dyDescent="0.25">
      <c r="B232" s="273" t="s">
        <v>411</v>
      </c>
      <c r="C232" t="s">
        <v>411</v>
      </c>
      <c r="D232" t="s">
        <v>411</v>
      </c>
      <c r="E232" t="b">
        <f t="shared" si="7"/>
        <v>1</v>
      </c>
    </row>
    <row r="233" spans="2:5" x14ac:dyDescent="0.25">
      <c r="B233" s="273" t="s">
        <v>412</v>
      </c>
      <c r="C233" t="s">
        <v>412</v>
      </c>
      <c r="D233" t="s">
        <v>412</v>
      </c>
      <c r="E233" t="b">
        <f t="shared" si="7"/>
        <v>1</v>
      </c>
    </row>
    <row r="234" spans="2:5" x14ac:dyDescent="0.25">
      <c r="C234" t="s">
        <v>1029</v>
      </c>
      <c r="E234" t="b">
        <f t="shared" si="7"/>
        <v>0</v>
      </c>
    </row>
    <row r="235" spans="2:5" x14ac:dyDescent="0.25">
      <c r="B235" s="273" t="s">
        <v>413</v>
      </c>
      <c r="C235" t="s">
        <v>413</v>
      </c>
      <c r="D235" t="s">
        <v>413</v>
      </c>
      <c r="E235" t="b">
        <f t="shared" si="7"/>
        <v>1</v>
      </c>
    </row>
    <row r="236" spans="2:5" x14ac:dyDescent="0.25">
      <c r="B236" s="273" t="s">
        <v>1</v>
      </c>
      <c r="C236" t="s">
        <v>1</v>
      </c>
      <c r="D236" t="s">
        <v>1</v>
      </c>
      <c r="E236" t="b">
        <f t="shared" si="7"/>
        <v>1</v>
      </c>
    </row>
    <row r="237" spans="2:5" x14ac:dyDescent="0.25">
      <c r="B237" s="273" t="s">
        <v>414</v>
      </c>
      <c r="C237" t="s">
        <v>414</v>
      </c>
      <c r="D237" t="s">
        <v>414</v>
      </c>
      <c r="E237" t="b">
        <f t="shared" si="7"/>
        <v>1</v>
      </c>
    </row>
    <row r="238" spans="2:5" x14ac:dyDescent="0.25">
      <c r="B238" s="273" t="s">
        <v>415</v>
      </c>
      <c r="C238" t="s">
        <v>415</v>
      </c>
      <c r="D238" t="s">
        <v>415</v>
      </c>
      <c r="E238" t="b">
        <f t="shared" si="7"/>
        <v>1</v>
      </c>
    </row>
    <row r="239" spans="2:5" x14ac:dyDescent="0.25">
      <c r="B239" s="273" t="s">
        <v>416</v>
      </c>
      <c r="C239" t="s">
        <v>416</v>
      </c>
      <c r="D239" t="s">
        <v>416</v>
      </c>
      <c r="E239" t="b">
        <f t="shared" si="7"/>
        <v>1</v>
      </c>
    </row>
    <row r="240" spans="2:5" x14ac:dyDescent="0.25">
      <c r="B240" s="273" t="s">
        <v>417</v>
      </c>
      <c r="C240" t="s">
        <v>417</v>
      </c>
      <c r="D240" t="s">
        <v>417</v>
      </c>
      <c r="E240" t="b">
        <f t="shared" si="7"/>
        <v>1</v>
      </c>
    </row>
    <row r="241" spans="2:5" x14ac:dyDescent="0.25">
      <c r="B241" s="273" t="s">
        <v>418</v>
      </c>
      <c r="C241" t="s">
        <v>418</v>
      </c>
      <c r="D241" t="s">
        <v>418</v>
      </c>
      <c r="E241" t="b">
        <f t="shared" si="7"/>
        <v>1</v>
      </c>
    </row>
    <row r="242" spans="2:5" x14ac:dyDescent="0.25">
      <c r="B242" s="273" t="s">
        <v>1205</v>
      </c>
      <c r="E242" t="b">
        <f t="shared" si="7"/>
        <v>0</v>
      </c>
    </row>
    <row r="243" spans="2:5" x14ac:dyDescent="0.25">
      <c r="B243" s="273" t="s">
        <v>419</v>
      </c>
      <c r="C243" t="s">
        <v>419</v>
      </c>
      <c r="D243" t="s">
        <v>419</v>
      </c>
      <c r="E243" t="b">
        <f t="shared" si="7"/>
        <v>1</v>
      </c>
    </row>
    <row r="244" spans="2:5" x14ac:dyDescent="0.25">
      <c r="B244" s="273" t="s">
        <v>420</v>
      </c>
      <c r="C244" t="s">
        <v>420</v>
      </c>
      <c r="D244" t="s">
        <v>420</v>
      </c>
      <c r="E244" t="b">
        <f t="shared" si="7"/>
        <v>1</v>
      </c>
    </row>
    <row r="245" spans="2:5" x14ac:dyDescent="0.25">
      <c r="B245" s="273" t="s">
        <v>421</v>
      </c>
      <c r="C245" t="s">
        <v>421</v>
      </c>
      <c r="D245" t="s">
        <v>421</v>
      </c>
      <c r="E245" t="b">
        <f t="shared" si="7"/>
        <v>1</v>
      </c>
    </row>
  </sheetData>
  <autoFilter ref="B151:E151" xr:uid="{760CEB45-B500-4913-AB52-F38B9C30EF80}"/>
  <conditionalFormatting sqref="B152:D245">
    <cfRule type="containsBlanks" dxfId="17" priority="2">
      <formula>LEN(TRIM(B152))=0</formula>
    </cfRule>
  </conditionalFormatting>
  <conditionalFormatting sqref="F1:G13 M14:M53 F14:F55 M55:M101 F56:G1048576">
    <cfRule type="expression" dxfId="16" priority="7">
      <formula>$F1&gt;0.95</formula>
    </cfRule>
  </conditionalFormatting>
  <conditionalFormatting sqref="J14:J305">
    <cfRule type="expression" dxfId="15" priority="3">
      <formula>OR($J14="Operações Financeiras/juros",$J14="Operações Financeira",$J14="Operações Financeiras - Geral",$J14="Terreno")</formula>
    </cfRule>
    <cfRule type="containsText" dxfId="14" priority="4" operator="containsText" text="Dep. Pessoal - Up">
      <formula>NOT(ISERROR(SEARCH("Dep. Pessoal - Up",J14)))</formula>
    </cfRule>
    <cfRule type="cellIs" dxfId="13" priority="5" operator="equal">
      <formula>"NF - Mão de Obra"</formula>
    </cfRule>
  </conditionalFormatting>
  <conditionalFormatting sqref="M1:M13 M103:M1048576">
    <cfRule type="expression" dxfId="12" priority="8">
      <formula>$M1&gt;0.8</formula>
    </cfRule>
  </conditionalFormatting>
  <conditionalFormatting sqref="M54">
    <cfRule type="expression" dxfId="11" priority="15">
      <formula>#REF!&gt;0.95</formula>
    </cfRule>
  </conditionalFormatting>
  <conditionalFormatting sqref="M102">
    <cfRule type="expression" dxfId="10" priority="35">
      <formula>$F100&gt;0.95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6"/>
  <sheetViews>
    <sheetView showGridLines="0" topLeftCell="A80" workbookViewId="0">
      <selection activeCell="C66" sqref="C66"/>
    </sheetView>
  </sheetViews>
  <sheetFormatPr defaultRowHeight="15" x14ac:dyDescent="0.25"/>
  <cols>
    <col min="2" max="4" width="45.7109375" customWidth="1"/>
  </cols>
  <sheetData>
    <row r="1" spans="1:6" ht="18.75" x14ac:dyDescent="0.3">
      <c r="B1" s="64" t="s">
        <v>331</v>
      </c>
      <c r="C1" s="64" t="s">
        <v>332</v>
      </c>
      <c r="D1" s="64" t="s">
        <v>333</v>
      </c>
      <c r="F1" t="str" cm="1">
        <f t="array" ref="F1:F10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67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67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67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67" t="s">
        <v>335</v>
      </c>
      <c r="F5" t="str">
        <v>Dep. Pessoal - Up Pompeia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68"/>
      <c r="F6" t="str">
        <v>Dep. Pessoal - Up Select Vila Sonia</v>
      </c>
    </row>
    <row r="7" spans="1:6" ht="15.75" x14ac:dyDescent="0.25">
      <c r="A7">
        <f t="shared" si="0"/>
        <v>6</v>
      </c>
      <c r="B7" s="65" t="s">
        <v>342</v>
      </c>
      <c r="C7" s="69" t="s">
        <v>335</v>
      </c>
      <c r="D7" s="68" t="s">
        <v>335</v>
      </c>
      <c r="F7" t="str">
        <v>Dep. Pessoal - Up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68" t="s">
        <v>344</v>
      </c>
      <c r="F8" t="str">
        <v>Pós Obra/reparos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68" t="s">
        <v>344</v>
      </c>
      <c r="F9" t="str">
        <v>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67" t="s">
        <v>335</v>
      </c>
      <c r="F10" t="str">
        <v>Serralheria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68" t="s">
        <v>336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68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68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68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68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68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68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68" t="s">
        <v>336</v>
      </c>
    </row>
    <row r="19" spans="1:4" ht="15.75" x14ac:dyDescent="0.25">
      <c r="A19">
        <f t="shared" si="0"/>
        <v>18</v>
      </c>
      <c r="B19" s="65" t="s">
        <v>1034</v>
      </c>
      <c r="C19" s="66" t="s">
        <v>335</v>
      </c>
      <c r="D19" s="68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68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68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68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68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68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68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68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68" t="s">
        <v>335</v>
      </c>
    </row>
    <row r="28" spans="1:4" ht="15.75" x14ac:dyDescent="0.25">
      <c r="A28">
        <f t="shared" si="0"/>
        <v>27</v>
      </c>
      <c r="B28" s="65" t="s">
        <v>726</v>
      </c>
      <c r="C28" s="66" t="s">
        <v>353</v>
      </c>
      <c r="D28" s="68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68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68" t="s">
        <v>336</v>
      </c>
    </row>
    <row r="31" spans="1:4" ht="15.75" x14ac:dyDescent="0.25">
      <c r="A31">
        <f t="shared" si="0"/>
        <v>30</v>
      </c>
      <c r="B31" s="65" t="s">
        <v>369</v>
      </c>
      <c r="C31" s="66" t="s">
        <v>353</v>
      </c>
      <c r="D31" s="68" t="s">
        <v>336</v>
      </c>
    </row>
    <row r="32" spans="1:4" ht="15.75" x14ac:dyDescent="0.25">
      <c r="A32">
        <f t="shared" si="0"/>
        <v>31</v>
      </c>
      <c r="B32" s="65" t="s">
        <v>370</v>
      </c>
      <c r="C32" s="66" t="s">
        <v>353</v>
      </c>
      <c r="D32" s="68" t="s">
        <v>336</v>
      </c>
    </row>
    <row r="33" spans="1:4" ht="15.75" x14ac:dyDescent="0.25">
      <c r="A33">
        <f t="shared" si="0"/>
        <v>32</v>
      </c>
      <c r="B33" s="65" t="s">
        <v>371</v>
      </c>
      <c r="C33" s="66" t="s">
        <v>353</v>
      </c>
      <c r="D33" s="68" t="s">
        <v>336</v>
      </c>
    </row>
    <row r="34" spans="1:4" ht="15.75" x14ac:dyDescent="0.25">
      <c r="A34">
        <f t="shared" si="0"/>
        <v>33</v>
      </c>
      <c r="B34" s="65" t="s">
        <v>372</v>
      </c>
      <c r="C34" s="67" t="s">
        <v>335</v>
      </c>
      <c r="D34" s="68" t="s">
        <v>335</v>
      </c>
    </row>
    <row r="35" spans="1:4" ht="15.75" x14ac:dyDescent="0.25">
      <c r="A35">
        <f t="shared" si="0"/>
        <v>34</v>
      </c>
      <c r="B35" s="65" t="s">
        <v>373</v>
      </c>
      <c r="C35" s="67" t="s">
        <v>335</v>
      </c>
      <c r="D35" s="68" t="s">
        <v>335</v>
      </c>
    </row>
    <row r="36" spans="1:4" ht="15.75" x14ac:dyDescent="0.25">
      <c r="A36">
        <f t="shared" si="0"/>
        <v>35</v>
      </c>
      <c r="B36" s="65" t="s">
        <v>374</v>
      </c>
      <c r="C36" s="66" t="s">
        <v>360</v>
      </c>
      <c r="D36" s="68"/>
    </row>
    <row r="37" spans="1:4" ht="15.75" x14ac:dyDescent="0.25">
      <c r="A37">
        <f t="shared" si="0"/>
        <v>36</v>
      </c>
      <c r="B37" s="65" t="s">
        <v>375</v>
      </c>
      <c r="C37" s="66" t="s">
        <v>335</v>
      </c>
      <c r="D37" s="68" t="s">
        <v>344</v>
      </c>
    </row>
    <row r="38" spans="1:4" ht="15.75" x14ac:dyDescent="0.25">
      <c r="A38">
        <f t="shared" si="0"/>
        <v>37</v>
      </c>
      <c r="B38" s="65" t="s">
        <v>376</v>
      </c>
      <c r="C38" s="66" t="s">
        <v>335</v>
      </c>
      <c r="D38" s="68" t="s">
        <v>344</v>
      </c>
    </row>
    <row r="39" spans="1:4" ht="15.75" x14ac:dyDescent="0.25">
      <c r="A39">
        <f t="shared" si="0"/>
        <v>38</v>
      </c>
      <c r="B39" s="65" t="s">
        <v>377</v>
      </c>
      <c r="C39" s="66" t="s">
        <v>335</v>
      </c>
      <c r="D39" s="68" t="s">
        <v>344</v>
      </c>
    </row>
    <row r="40" spans="1:4" ht="15.75" x14ac:dyDescent="0.25">
      <c r="A40">
        <f t="shared" si="0"/>
        <v>39</v>
      </c>
      <c r="B40" s="65" t="s">
        <v>996</v>
      </c>
      <c r="C40" s="66" t="s">
        <v>335</v>
      </c>
      <c r="D40" s="68" t="s">
        <v>379</v>
      </c>
    </row>
    <row r="41" spans="1:4" ht="15.75" x14ac:dyDescent="0.25">
      <c r="A41">
        <f t="shared" si="0"/>
        <v>40</v>
      </c>
      <c r="B41" s="65" t="s">
        <v>997</v>
      </c>
      <c r="C41" s="66" t="s">
        <v>335</v>
      </c>
      <c r="D41" s="68" t="s">
        <v>379</v>
      </c>
    </row>
    <row r="42" spans="1:4" ht="15.75" x14ac:dyDescent="0.25">
      <c r="A42">
        <f t="shared" si="0"/>
        <v>41</v>
      </c>
      <c r="B42" s="65" t="s">
        <v>724</v>
      </c>
      <c r="C42" s="66" t="s">
        <v>335</v>
      </c>
      <c r="D42" s="68" t="s">
        <v>379</v>
      </c>
    </row>
    <row r="43" spans="1:4" ht="15.75" x14ac:dyDescent="0.25">
      <c r="A43">
        <f t="shared" si="0"/>
        <v>42</v>
      </c>
      <c r="B43" s="65" t="s">
        <v>998</v>
      </c>
      <c r="C43" s="66" t="s">
        <v>335</v>
      </c>
      <c r="D43" s="68" t="s">
        <v>379</v>
      </c>
    </row>
    <row r="44" spans="1:4" ht="15.75" x14ac:dyDescent="0.25">
      <c r="A44">
        <f t="shared" si="0"/>
        <v>43</v>
      </c>
      <c r="B44" s="65" t="s">
        <v>999</v>
      </c>
      <c r="C44" s="66" t="s">
        <v>335</v>
      </c>
      <c r="D44" s="68" t="s">
        <v>379</v>
      </c>
    </row>
    <row r="45" spans="1:4" ht="15.75" x14ac:dyDescent="0.25">
      <c r="A45">
        <f t="shared" si="0"/>
        <v>44</v>
      </c>
      <c r="B45" s="65" t="s">
        <v>1000</v>
      </c>
      <c r="C45" s="66" t="s">
        <v>335</v>
      </c>
      <c r="D45" s="68" t="s">
        <v>379</v>
      </c>
    </row>
    <row r="46" spans="1:4" ht="15.75" x14ac:dyDescent="0.25">
      <c r="A46">
        <f t="shared" si="0"/>
        <v>45</v>
      </c>
      <c r="B46" s="65" t="s">
        <v>727</v>
      </c>
      <c r="C46" s="66" t="s">
        <v>335</v>
      </c>
      <c r="D46" s="68" t="s">
        <v>379</v>
      </c>
    </row>
    <row r="47" spans="1:4" ht="15.75" x14ac:dyDescent="0.25">
      <c r="A47">
        <f t="shared" si="0"/>
        <v>46</v>
      </c>
      <c r="B47" s="65" t="s">
        <v>728</v>
      </c>
      <c r="C47" s="66" t="s">
        <v>335</v>
      </c>
      <c r="D47" s="68" t="s">
        <v>379</v>
      </c>
    </row>
    <row r="48" spans="1:4" ht="15.75" x14ac:dyDescent="0.25">
      <c r="A48">
        <f t="shared" si="0"/>
        <v>47</v>
      </c>
      <c r="B48" s="65" t="s">
        <v>378</v>
      </c>
      <c r="C48" s="66" t="s">
        <v>335</v>
      </c>
      <c r="D48" s="68" t="s">
        <v>379</v>
      </c>
    </row>
    <row r="49" spans="1:4" ht="15.75" x14ac:dyDescent="0.25">
      <c r="A49">
        <f t="shared" si="0"/>
        <v>48</v>
      </c>
      <c r="B49" s="65" t="s">
        <v>380</v>
      </c>
      <c r="C49" s="66" t="s">
        <v>335</v>
      </c>
      <c r="D49" s="68"/>
    </row>
    <row r="50" spans="1:4" ht="15.75" x14ac:dyDescent="0.25">
      <c r="A50">
        <f t="shared" si="0"/>
        <v>49</v>
      </c>
      <c r="B50" s="65" t="s">
        <v>381</v>
      </c>
      <c r="C50" s="66" t="s">
        <v>335</v>
      </c>
      <c r="D50" s="68"/>
    </row>
    <row r="51" spans="1:4" ht="15.75" x14ac:dyDescent="0.25">
      <c r="A51">
        <f t="shared" si="0"/>
        <v>50</v>
      </c>
      <c r="B51" s="65" t="s">
        <v>382</v>
      </c>
      <c r="C51" s="66" t="s">
        <v>335</v>
      </c>
      <c r="D51" s="68" t="s">
        <v>344</v>
      </c>
    </row>
    <row r="52" spans="1:4" ht="15.75" x14ac:dyDescent="0.25">
      <c r="A52">
        <f t="shared" si="0"/>
        <v>51</v>
      </c>
      <c r="B52" s="65" t="s">
        <v>383</v>
      </c>
      <c r="C52" s="66" t="s">
        <v>360</v>
      </c>
      <c r="D52" s="68" t="s">
        <v>384</v>
      </c>
    </row>
    <row r="53" spans="1:4" ht="15.75" x14ac:dyDescent="0.25">
      <c r="A53">
        <f t="shared" si="0"/>
        <v>52</v>
      </c>
      <c r="B53" s="65" t="s">
        <v>385</v>
      </c>
      <c r="C53" s="66" t="s">
        <v>335</v>
      </c>
      <c r="D53" s="68" t="s">
        <v>335</v>
      </c>
    </row>
    <row r="54" spans="1:4" ht="15.75" x14ac:dyDescent="0.25">
      <c r="A54">
        <f t="shared" si="0"/>
        <v>53</v>
      </c>
      <c r="B54" s="65" t="s">
        <v>386</v>
      </c>
      <c r="C54" s="66" t="s">
        <v>15</v>
      </c>
      <c r="D54" s="68" t="s">
        <v>386</v>
      </c>
    </row>
    <row r="55" spans="1:4" ht="15.75" x14ac:dyDescent="0.25">
      <c r="A55">
        <f t="shared" si="0"/>
        <v>54</v>
      </c>
      <c r="B55" s="421" t="s">
        <v>388</v>
      </c>
      <c r="C55" s="66"/>
      <c r="D55" s="68"/>
    </row>
    <row r="56" spans="1:4" ht="15.75" x14ac:dyDescent="0.25">
      <c r="A56">
        <f t="shared" si="0"/>
        <v>55</v>
      </c>
      <c r="B56" s="65" t="s">
        <v>389</v>
      </c>
      <c r="C56" s="66" t="s">
        <v>390</v>
      </c>
      <c r="D56" s="68" t="s">
        <v>390</v>
      </c>
    </row>
    <row r="57" spans="1:4" ht="15.75" x14ac:dyDescent="0.25">
      <c r="A57">
        <f t="shared" si="0"/>
        <v>56</v>
      </c>
      <c r="B57" s="65" t="s">
        <v>391</v>
      </c>
      <c r="C57" s="66" t="s">
        <v>15</v>
      </c>
      <c r="D57" s="68" t="s">
        <v>392</v>
      </c>
    </row>
    <row r="58" spans="1:4" ht="15.75" x14ac:dyDescent="0.25">
      <c r="A58">
        <f t="shared" si="0"/>
        <v>57</v>
      </c>
      <c r="B58" s="65" t="s">
        <v>393</v>
      </c>
      <c r="C58" s="66" t="s">
        <v>15</v>
      </c>
      <c r="D58" s="68" t="s">
        <v>386</v>
      </c>
    </row>
    <row r="59" spans="1:4" ht="15.75" x14ac:dyDescent="0.25">
      <c r="A59">
        <f t="shared" si="0"/>
        <v>58</v>
      </c>
      <c r="B59" s="65" t="s">
        <v>394</v>
      </c>
      <c r="C59" s="66" t="s">
        <v>353</v>
      </c>
      <c r="D59" s="68" t="s">
        <v>395</v>
      </c>
    </row>
    <row r="60" spans="1:4" ht="15.75" x14ac:dyDescent="0.25">
      <c r="A60">
        <f t="shared" si="0"/>
        <v>59</v>
      </c>
      <c r="B60" s="65" t="s">
        <v>1033</v>
      </c>
      <c r="C60" s="66" t="s">
        <v>360</v>
      </c>
      <c r="D60" s="68"/>
    </row>
    <row r="61" spans="1:4" ht="15.75" x14ac:dyDescent="0.25">
      <c r="A61">
        <f t="shared" si="0"/>
        <v>60</v>
      </c>
      <c r="B61" s="65" t="s">
        <v>1204</v>
      </c>
      <c r="C61" s="66" t="s">
        <v>360</v>
      </c>
      <c r="D61" s="68"/>
    </row>
    <row r="62" spans="1:4" ht="15.75" x14ac:dyDescent="0.25">
      <c r="A62">
        <f t="shared" si="0"/>
        <v>61</v>
      </c>
      <c r="B62" s="65" t="s">
        <v>396</v>
      </c>
      <c r="C62" s="66" t="s">
        <v>360</v>
      </c>
      <c r="D62" s="68" t="s">
        <v>396</v>
      </c>
    </row>
    <row r="63" spans="1:4" ht="15.75" x14ac:dyDescent="0.25">
      <c r="A63">
        <f t="shared" si="0"/>
        <v>62</v>
      </c>
      <c r="B63" s="65" t="s">
        <v>397</v>
      </c>
      <c r="C63" s="66" t="s">
        <v>353</v>
      </c>
      <c r="D63" s="68" t="s">
        <v>395</v>
      </c>
    </row>
    <row r="64" spans="1:4" ht="15.75" x14ac:dyDescent="0.25">
      <c r="A64">
        <f t="shared" si="0"/>
        <v>63</v>
      </c>
      <c r="B64" s="65" t="s">
        <v>398</v>
      </c>
      <c r="C64" s="66" t="s">
        <v>335</v>
      </c>
      <c r="D64" s="68"/>
    </row>
    <row r="65" spans="1:4" ht="15.75" x14ac:dyDescent="0.25">
      <c r="A65">
        <f t="shared" si="0"/>
        <v>64</v>
      </c>
      <c r="B65" s="65" t="s">
        <v>399</v>
      </c>
      <c r="C65" s="66" t="s">
        <v>335</v>
      </c>
      <c r="D65" s="68"/>
    </row>
    <row r="66" spans="1:4" ht="15.75" x14ac:dyDescent="0.25">
      <c r="A66">
        <f t="shared" si="0"/>
        <v>65</v>
      </c>
      <c r="B66" s="65" t="s">
        <v>1032</v>
      </c>
      <c r="C66" s="639" t="s">
        <v>353</v>
      </c>
      <c r="D66" s="68"/>
    </row>
    <row r="67" spans="1:4" ht="15.75" x14ac:dyDescent="0.25">
      <c r="A67">
        <f t="shared" si="0"/>
        <v>66</v>
      </c>
      <c r="B67" s="65" t="s">
        <v>400</v>
      </c>
      <c r="C67" s="66" t="s">
        <v>349</v>
      </c>
      <c r="D67" s="68" t="s">
        <v>401</v>
      </c>
    </row>
    <row r="68" spans="1:4" ht="15.75" x14ac:dyDescent="0.25">
      <c r="A68">
        <f t="shared" si="0"/>
        <v>67</v>
      </c>
      <c r="B68" s="65" t="s">
        <v>402</v>
      </c>
      <c r="C68" s="66" t="s">
        <v>349</v>
      </c>
      <c r="D68" s="68" t="s">
        <v>403</v>
      </c>
    </row>
    <row r="69" spans="1:4" ht="15.75" x14ac:dyDescent="0.25">
      <c r="A69">
        <f t="shared" si="0"/>
        <v>68</v>
      </c>
      <c r="B69" s="65" t="s">
        <v>1031</v>
      </c>
      <c r="C69" s="66" t="s">
        <v>349</v>
      </c>
      <c r="D69" s="68"/>
    </row>
    <row r="70" spans="1:4" ht="15.75" x14ac:dyDescent="0.25">
      <c r="A70">
        <f t="shared" si="0"/>
        <v>69</v>
      </c>
      <c r="B70" s="65" t="s">
        <v>404</v>
      </c>
      <c r="C70" s="66" t="s">
        <v>349</v>
      </c>
      <c r="D70" s="68" t="s">
        <v>405</v>
      </c>
    </row>
    <row r="71" spans="1:4" ht="15.75" x14ac:dyDescent="0.25">
      <c r="A71">
        <f t="shared" si="0"/>
        <v>70</v>
      </c>
      <c r="B71" s="65" t="s">
        <v>1207</v>
      </c>
      <c r="C71" s="66" t="s">
        <v>335</v>
      </c>
      <c r="D71" s="68"/>
    </row>
    <row r="72" spans="1:4" ht="15.75" x14ac:dyDescent="0.25">
      <c r="A72">
        <f t="shared" si="0"/>
        <v>71</v>
      </c>
      <c r="B72" s="65" t="s">
        <v>406</v>
      </c>
      <c r="C72" s="66" t="s">
        <v>335</v>
      </c>
      <c r="D72" s="68"/>
    </row>
    <row r="73" spans="1:4" ht="15.75" x14ac:dyDescent="0.25">
      <c r="A73">
        <f t="shared" si="0"/>
        <v>72</v>
      </c>
      <c r="B73" s="65" t="s">
        <v>0</v>
      </c>
      <c r="C73" s="66" t="s">
        <v>335</v>
      </c>
      <c r="D73" s="68"/>
    </row>
    <row r="74" spans="1:4" ht="15.75" x14ac:dyDescent="0.25">
      <c r="A74">
        <f t="shared" si="0"/>
        <v>73</v>
      </c>
      <c r="B74" s="65" t="s">
        <v>407</v>
      </c>
      <c r="C74" s="66" t="s">
        <v>335</v>
      </c>
      <c r="D74" s="68"/>
    </row>
    <row r="75" spans="1:4" ht="15.75" x14ac:dyDescent="0.25">
      <c r="A75">
        <f t="shared" si="0"/>
        <v>74</v>
      </c>
      <c r="B75" s="65" t="s">
        <v>408</v>
      </c>
      <c r="C75" s="66" t="s">
        <v>335</v>
      </c>
      <c r="D75" s="68"/>
    </row>
    <row r="76" spans="1:4" ht="15.75" x14ac:dyDescent="0.25">
      <c r="A76">
        <f t="shared" ref="A76:A90" si="1">A75+1</f>
        <v>75</v>
      </c>
      <c r="B76" s="65" t="s">
        <v>409</v>
      </c>
      <c r="C76" s="66" t="s">
        <v>335</v>
      </c>
      <c r="D76" s="68"/>
    </row>
    <row r="77" spans="1:4" ht="15.75" x14ac:dyDescent="0.25">
      <c r="A77">
        <f t="shared" si="1"/>
        <v>76</v>
      </c>
      <c r="B77" s="65" t="s">
        <v>410</v>
      </c>
      <c r="C77" s="66" t="s">
        <v>335</v>
      </c>
      <c r="D77" s="68"/>
    </row>
    <row r="78" spans="1:4" ht="15.75" x14ac:dyDescent="0.25">
      <c r="A78">
        <f t="shared" si="1"/>
        <v>77</v>
      </c>
      <c r="B78" s="65" t="s">
        <v>411</v>
      </c>
      <c r="C78" s="66" t="s">
        <v>335</v>
      </c>
      <c r="D78" s="68"/>
    </row>
    <row r="79" spans="1:4" ht="15.75" x14ac:dyDescent="0.25">
      <c r="A79">
        <f t="shared" si="1"/>
        <v>78</v>
      </c>
      <c r="B79" s="65" t="s">
        <v>412</v>
      </c>
      <c r="C79" s="66" t="s">
        <v>335</v>
      </c>
      <c r="D79" s="68"/>
    </row>
    <row r="80" spans="1:4" ht="15.75" x14ac:dyDescent="0.25">
      <c r="A80">
        <f t="shared" si="1"/>
        <v>79</v>
      </c>
      <c r="B80" s="65" t="s">
        <v>413</v>
      </c>
      <c r="C80" s="66" t="s">
        <v>335</v>
      </c>
      <c r="D80" s="68"/>
    </row>
    <row r="81" spans="1:4" ht="15.75" x14ac:dyDescent="0.25">
      <c r="A81">
        <f t="shared" si="1"/>
        <v>80</v>
      </c>
      <c r="B81" s="65" t="s">
        <v>1</v>
      </c>
      <c r="C81" s="66" t="s">
        <v>335</v>
      </c>
      <c r="D81" s="68"/>
    </row>
    <row r="82" spans="1:4" ht="15.75" x14ac:dyDescent="0.25">
      <c r="A82">
        <f t="shared" si="1"/>
        <v>81</v>
      </c>
      <c r="B82" s="65" t="s">
        <v>414</v>
      </c>
      <c r="C82" s="66" t="s">
        <v>335</v>
      </c>
      <c r="D82" s="68"/>
    </row>
    <row r="83" spans="1:4" ht="15.75" x14ac:dyDescent="0.25">
      <c r="A83">
        <f t="shared" si="1"/>
        <v>82</v>
      </c>
      <c r="B83" s="65" t="s">
        <v>415</v>
      </c>
      <c r="C83" s="66" t="s">
        <v>335</v>
      </c>
      <c r="D83" s="68"/>
    </row>
    <row r="84" spans="1:4" ht="15.75" x14ac:dyDescent="0.25">
      <c r="A84">
        <f t="shared" si="1"/>
        <v>83</v>
      </c>
      <c r="B84" s="65" t="s">
        <v>416</v>
      </c>
      <c r="C84" s="66" t="s">
        <v>335</v>
      </c>
      <c r="D84" s="68"/>
    </row>
    <row r="85" spans="1:4" ht="15.75" x14ac:dyDescent="0.25">
      <c r="A85">
        <f t="shared" si="1"/>
        <v>84</v>
      </c>
      <c r="B85" s="65" t="s">
        <v>417</v>
      </c>
      <c r="C85" s="66" t="s">
        <v>335</v>
      </c>
      <c r="D85" s="68"/>
    </row>
    <row r="86" spans="1:4" ht="15.75" x14ac:dyDescent="0.25">
      <c r="A86">
        <f t="shared" si="1"/>
        <v>85</v>
      </c>
      <c r="B86" s="65" t="s">
        <v>418</v>
      </c>
      <c r="C86" s="66" t="s">
        <v>335</v>
      </c>
      <c r="D86" s="68"/>
    </row>
    <row r="87" spans="1:4" ht="15.75" x14ac:dyDescent="0.25">
      <c r="A87">
        <f t="shared" si="1"/>
        <v>86</v>
      </c>
      <c r="B87" s="65" t="s">
        <v>1205</v>
      </c>
      <c r="C87" s="66" t="s">
        <v>335</v>
      </c>
      <c r="D87" s="68"/>
    </row>
    <row r="88" spans="1:4" ht="15.75" x14ac:dyDescent="0.25">
      <c r="A88">
        <f t="shared" si="1"/>
        <v>87</v>
      </c>
      <c r="B88" s="65" t="s">
        <v>419</v>
      </c>
      <c r="C88" s="71" t="s">
        <v>335</v>
      </c>
      <c r="D88" s="603"/>
    </row>
    <row r="89" spans="1:4" x14ac:dyDescent="0.25">
      <c r="A89">
        <f t="shared" si="1"/>
        <v>88</v>
      </c>
      <c r="B89" s="70" t="s">
        <v>420</v>
      </c>
      <c r="C89" s="71" t="s">
        <v>335</v>
      </c>
      <c r="D89" s="72"/>
    </row>
    <row r="90" spans="1:4" ht="15.75" x14ac:dyDescent="0.25">
      <c r="A90">
        <f t="shared" si="1"/>
        <v>89</v>
      </c>
      <c r="B90" s="70" t="s">
        <v>421</v>
      </c>
      <c r="C90" s="71" t="s">
        <v>335</v>
      </c>
      <c r="D90" s="68"/>
    </row>
    <row r="92" spans="1:4" ht="18.75" x14ac:dyDescent="0.3">
      <c r="B92" s="64" t="s">
        <v>332</v>
      </c>
      <c r="C92" s="64" t="s">
        <v>333</v>
      </c>
    </row>
    <row r="93" spans="1:4" x14ac:dyDescent="0.25">
      <c r="B93" t="s">
        <v>335</v>
      </c>
      <c r="C93" t="s">
        <v>335</v>
      </c>
    </row>
    <row r="94" spans="1:4" x14ac:dyDescent="0.25">
      <c r="B94" t="s">
        <v>349</v>
      </c>
      <c r="C94" t="s">
        <v>422</v>
      </c>
    </row>
    <row r="95" spans="1:4" x14ac:dyDescent="0.25">
      <c r="B95" t="s">
        <v>349</v>
      </c>
      <c r="C95" t="s">
        <v>423</v>
      </c>
    </row>
    <row r="96" spans="1:4" x14ac:dyDescent="0.25">
      <c r="B96" t="s">
        <v>349</v>
      </c>
      <c r="C96" t="s">
        <v>351</v>
      </c>
    </row>
    <row r="97" spans="2:3" x14ac:dyDescent="0.25">
      <c r="B97" t="s">
        <v>349</v>
      </c>
      <c r="C97" t="s">
        <v>401</v>
      </c>
    </row>
    <row r="98" spans="2:3" x14ac:dyDescent="0.25">
      <c r="B98" t="s">
        <v>349</v>
      </c>
      <c r="C98" t="s">
        <v>403</v>
      </c>
    </row>
    <row r="99" spans="2:3" x14ac:dyDescent="0.25">
      <c r="B99" t="s">
        <v>349</v>
      </c>
      <c r="C99" t="s">
        <v>405</v>
      </c>
    </row>
    <row r="100" spans="2:3" x14ac:dyDescent="0.25">
      <c r="B100" t="s">
        <v>349</v>
      </c>
      <c r="C100" t="s">
        <v>424</v>
      </c>
    </row>
    <row r="101" spans="2:3" x14ac:dyDescent="0.25">
      <c r="B101" t="s">
        <v>349</v>
      </c>
      <c r="C101" t="s">
        <v>425</v>
      </c>
    </row>
    <row r="102" spans="2:3" x14ac:dyDescent="0.25">
      <c r="B102" t="s">
        <v>360</v>
      </c>
      <c r="C102" t="s">
        <v>396</v>
      </c>
    </row>
    <row r="103" spans="2:3" x14ac:dyDescent="0.25">
      <c r="B103" t="s">
        <v>360</v>
      </c>
      <c r="C103" t="s">
        <v>361</v>
      </c>
    </row>
    <row r="104" spans="2:3" x14ac:dyDescent="0.25">
      <c r="B104" t="s">
        <v>360</v>
      </c>
      <c r="C104" t="s">
        <v>426</v>
      </c>
    </row>
    <row r="105" spans="2:3" x14ac:dyDescent="0.25">
      <c r="B105" t="s">
        <v>360</v>
      </c>
      <c r="C105" t="s">
        <v>384</v>
      </c>
    </row>
    <row r="106" spans="2:3" x14ac:dyDescent="0.25">
      <c r="B106" t="s">
        <v>360</v>
      </c>
      <c r="C106" t="s">
        <v>427</v>
      </c>
    </row>
    <row r="107" spans="2:3" x14ac:dyDescent="0.25">
      <c r="B107" t="s">
        <v>360</v>
      </c>
      <c r="C107" t="s">
        <v>344</v>
      </c>
    </row>
    <row r="108" spans="2:3" x14ac:dyDescent="0.25">
      <c r="B108" t="s">
        <v>360</v>
      </c>
      <c r="C108" t="s">
        <v>379</v>
      </c>
    </row>
    <row r="109" spans="2:3" x14ac:dyDescent="0.25">
      <c r="B109" t="s">
        <v>353</v>
      </c>
      <c r="C109" t="s">
        <v>336</v>
      </c>
    </row>
    <row r="110" spans="2:3" x14ac:dyDescent="0.25">
      <c r="B110" t="s">
        <v>353</v>
      </c>
      <c r="C110" t="s">
        <v>395</v>
      </c>
    </row>
    <row r="111" spans="2:3" x14ac:dyDescent="0.25">
      <c r="B111" t="s">
        <v>353</v>
      </c>
      <c r="C111" t="s">
        <v>428</v>
      </c>
    </row>
    <row r="112" spans="2:3" x14ac:dyDescent="0.25">
      <c r="B112" t="s">
        <v>15</v>
      </c>
      <c r="C112" t="s">
        <v>351</v>
      </c>
    </row>
    <row r="113" spans="2:3" x14ac:dyDescent="0.25">
      <c r="B113" t="s">
        <v>15</v>
      </c>
      <c r="C113" t="s">
        <v>429</v>
      </c>
    </row>
    <row r="114" spans="2:3" x14ac:dyDescent="0.25">
      <c r="B114" t="s">
        <v>15</v>
      </c>
      <c r="C114" t="s">
        <v>392</v>
      </c>
    </row>
    <row r="115" spans="2:3" x14ac:dyDescent="0.25">
      <c r="B115" t="s">
        <v>15</v>
      </c>
      <c r="C115" t="s">
        <v>386</v>
      </c>
    </row>
    <row r="116" spans="2:3" x14ac:dyDescent="0.25">
      <c r="B116" t="s">
        <v>390</v>
      </c>
      <c r="C116" t="s">
        <v>390</v>
      </c>
    </row>
  </sheetData>
  <dataValidations count="2">
    <dataValidation type="list" allowBlank="1" showInputMessage="1" showErrorMessage="1" sqref="C8:C9 C11:C33 C2:C6 C36:C59 C62:C65 C67:C68 C72:C90 C70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0 D72:D89 D62:D65 D2:D59 C34:C35 C10 D67:D68" xr:uid="{FEC68D70-2136-4286-A631-C56DBBBC9F06}">
      <formula1>$C$93:$C$116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workbookViewId="0">
      <selection activeCell="A16" sqref="A16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3" t="s">
        <v>431</v>
      </c>
      <c r="B1" s="64"/>
      <c r="N1" s="134">
        <f>SUBTOTAL(9,fin[jan/25])</f>
        <v>812640</v>
      </c>
      <c r="O1" s="134">
        <f>SUBTOTAL(9,fin[fev/25])</f>
        <v>0</v>
      </c>
      <c r="P1" s="134">
        <f>SUBTOTAL(9,fin[mar/25])</f>
        <v>0</v>
      </c>
      <c r="Q1" s="134">
        <f>SUBTOTAL(9,fin[abr/25])</f>
        <v>2911033.91</v>
      </c>
      <c r="R1" s="134">
        <f>SUBTOTAL(9,fin[mai/25])</f>
        <v>5935913.0499999998</v>
      </c>
      <c r="S1" s="134">
        <f>SUBTOTAL(9,fin[jun/25])</f>
        <v>2404000</v>
      </c>
      <c r="T1" s="134">
        <f>SUBTOTAL(9,fin[jul/25])</f>
        <v>545906</v>
      </c>
      <c r="U1" s="134">
        <f>SUBTOTAL(9,fin[ago/25])</f>
        <v>12012000</v>
      </c>
      <c r="V1" s="134">
        <f>SUBTOTAL(9,fin[set/25])</f>
        <v>500000</v>
      </c>
      <c r="W1" s="134">
        <f>SUBTOTAL(9,fin[out/25])</f>
        <v>5750378.79</v>
      </c>
      <c r="X1" s="134">
        <f>SUBTOTAL(9,fin[nov/25])</f>
        <v>0</v>
      </c>
      <c r="Y1" s="134">
        <f>SUBTOTAL(9,fin[dez/25])</f>
        <v>0</v>
      </c>
    </row>
    <row r="2" spans="1:37" x14ac:dyDescent="0.25">
      <c r="A2" s="13" t="s">
        <v>432</v>
      </c>
      <c r="B2" s="13" t="s">
        <v>433</v>
      </c>
      <c r="C2" s="135" t="s">
        <v>434</v>
      </c>
      <c r="D2" s="135" t="s">
        <v>435</v>
      </c>
      <c r="E2" s="135" t="s">
        <v>436</v>
      </c>
      <c r="F2" s="135" t="s">
        <v>437</v>
      </c>
      <c r="G2" s="135" t="s">
        <v>438</v>
      </c>
      <c r="H2" s="135" t="s">
        <v>439</v>
      </c>
      <c r="I2" s="135" t="s">
        <v>440</v>
      </c>
      <c r="J2" s="135" t="s">
        <v>441</v>
      </c>
      <c r="K2" s="135" t="s">
        <v>442</v>
      </c>
      <c r="L2" s="135" t="s">
        <v>48</v>
      </c>
      <c r="M2" s="135" t="s">
        <v>443</v>
      </c>
      <c r="N2" s="136" t="s">
        <v>444</v>
      </c>
      <c r="O2" s="136" t="s">
        <v>445</v>
      </c>
      <c r="P2" s="136" t="s">
        <v>446</v>
      </c>
      <c r="Q2" s="136" t="s">
        <v>447</v>
      </c>
      <c r="R2" s="136" t="s">
        <v>448</v>
      </c>
      <c r="S2" s="136" t="s">
        <v>449</v>
      </c>
      <c r="T2" s="136" t="s">
        <v>450</v>
      </c>
      <c r="U2" s="136" t="s">
        <v>451</v>
      </c>
      <c r="V2" s="136" t="s">
        <v>452</v>
      </c>
      <c r="W2" s="136" t="s">
        <v>453</v>
      </c>
      <c r="X2" s="136" t="s">
        <v>454</v>
      </c>
      <c r="Y2" s="136" t="s">
        <v>455</v>
      </c>
      <c r="Z2" s="136" t="s">
        <v>666</v>
      </c>
      <c r="AA2" s="136" t="s">
        <v>674</v>
      </c>
      <c r="AB2" s="136" t="s">
        <v>683</v>
      </c>
      <c r="AC2" s="136" t="s">
        <v>926</v>
      </c>
      <c r="AD2" s="136" t="s">
        <v>927</v>
      </c>
      <c r="AE2" s="136" t="s">
        <v>929</v>
      </c>
      <c r="AF2" s="136" t="s">
        <v>928</v>
      </c>
      <c r="AG2" s="136" t="s">
        <v>930</v>
      </c>
      <c r="AH2" s="136" t="s">
        <v>931</v>
      </c>
      <c r="AI2" s="136" t="s">
        <v>932</v>
      </c>
      <c r="AJ2" s="136" t="s">
        <v>933</v>
      </c>
      <c r="AK2" s="136" t="s">
        <v>934</v>
      </c>
    </row>
    <row r="3" spans="1:37" x14ac:dyDescent="0.25">
      <c r="A3" s="137" t="str">
        <f>fin[[#This Row],[Tomadora]]&amp;"-"&amp;fin[[#This Row],[Agente]]&amp;"-"&amp;LEFT(D3,LEN(D3)-3)</f>
        <v>Ampla-Blue3-24500</v>
      </c>
      <c r="B3" s="137" t="s">
        <v>335</v>
      </c>
      <c r="C3" s="138" t="s">
        <v>456</v>
      </c>
      <c r="D3" s="139">
        <v>24500000</v>
      </c>
      <c r="E3" s="140">
        <f>SUM(fin[[#This Row],[jan/25]:[dez/25]])</f>
        <v>10540291.84</v>
      </c>
      <c r="F3" s="141" t="s">
        <v>457</v>
      </c>
      <c r="G3" s="142">
        <v>45792</v>
      </c>
      <c r="H3" s="142"/>
      <c r="I3" s="143"/>
      <c r="J3" s="143">
        <v>15000000</v>
      </c>
      <c r="K3" s="144" t="s">
        <v>458</v>
      </c>
      <c r="L3" s="144" t="s">
        <v>459</v>
      </c>
      <c r="M3" s="145"/>
      <c r="N3" s="134"/>
      <c r="O3" s="134"/>
      <c r="P3" s="134"/>
      <c r="Q3" s="134"/>
      <c r="R3" s="134">
        <f>595760.36+840413.25+1749739.44</f>
        <v>3185913.05</v>
      </c>
      <c r="S3" s="134">
        <f>820000+784000</f>
        <v>1604000</v>
      </c>
      <c r="T3" s="134"/>
      <c r="U3" s="134"/>
      <c r="V3" s="134"/>
      <c r="W3" s="134">
        <f>1916792.93*3</f>
        <v>5750378.79</v>
      </c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</row>
    <row r="4" spans="1:37" x14ac:dyDescent="0.25">
      <c r="A4" s="137" t="str">
        <f>fin[[#This Row],[Tomadora]]&amp;"-"&amp;fin[[#This Row],[Agente]]&amp;"-"&amp;LEFT(D4,LEN(D4)-3)</f>
        <v>LUC-Eldorado -6000</v>
      </c>
      <c r="B4" s="137" t="s">
        <v>10</v>
      </c>
      <c r="C4" s="138" t="s">
        <v>460</v>
      </c>
      <c r="D4" s="143">
        <v>6000000</v>
      </c>
      <c r="E4" s="143">
        <f>SUM(fin[[#This Row],[jan/25]:[dez/25]])</f>
        <v>6000000</v>
      </c>
      <c r="F4" s="144" t="s">
        <v>461</v>
      </c>
      <c r="G4" s="142">
        <v>45881</v>
      </c>
      <c r="H4" s="142">
        <v>46611</v>
      </c>
      <c r="I4" s="146"/>
      <c r="J4" s="143">
        <v>6000000</v>
      </c>
      <c r="K4" s="144" t="s">
        <v>462</v>
      </c>
      <c r="L4" s="144" t="s">
        <v>463</v>
      </c>
      <c r="M4" s="145"/>
      <c r="N4" s="134"/>
      <c r="O4" s="134"/>
      <c r="P4" s="134"/>
      <c r="Q4" s="134"/>
      <c r="R4" s="134"/>
      <c r="S4" s="134"/>
      <c r="T4" s="134"/>
      <c r="U4" s="134">
        <v>6000000</v>
      </c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</row>
    <row r="5" spans="1:37" x14ac:dyDescent="0.25">
      <c r="A5" s="137" t="str">
        <f>fin[[#This Row],[Tomadora]]&amp;"-"&amp;fin[[#This Row],[Agente]]&amp;"-"&amp;LEFT(D5,LEN(D5)-3)</f>
        <v>SN4-Pedro Maria-5000</v>
      </c>
      <c r="B5" s="137" t="s">
        <v>13</v>
      </c>
      <c r="C5" s="138" t="s">
        <v>464</v>
      </c>
      <c r="D5" s="140">
        <v>5000000</v>
      </c>
      <c r="E5" s="140">
        <f>SUM(fin[[#This Row],[jan/25]:[dez/25]])</f>
        <v>5000000</v>
      </c>
      <c r="F5" s="141">
        <v>0.746</v>
      </c>
      <c r="G5" s="142">
        <v>45884</v>
      </c>
      <c r="H5" s="142">
        <v>46675</v>
      </c>
      <c r="I5" s="134"/>
      <c r="J5" s="134"/>
      <c r="K5" s="144"/>
      <c r="L5" s="144" t="s">
        <v>463</v>
      </c>
      <c r="M5" s="145"/>
      <c r="N5" s="134"/>
      <c r="O5" s="134"/>
      <c r="P5" s="134"/>
      <c r="Q5" s="134"/>
      <c r="R5" s="134"/>
      <c r="S5" s="134"/>
      <c r="T5" s="134"/>
      <c r="U5" s="134">
        <v>5000000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</row>
    <row r="6" spans="1:37" x14ac:dyDescent="0.25">
      <c r="A6" s="137" t="str">
        <f>fin[[#This Row],[Tomadora]]&amp;"-"&amp;fin[[#This Row],[Agente]]&amp;"-"&amp;LEFT(D6,LEN(D6)-3)</f>
        <v>SAU-Cy Capital-22000</v>
      </c>
      <c r="B6" s="137" t="s">
        <v>465</v>
      </c>
      <c r="C6" s="138" t="s">
        <v>466</v>
      </c>
      <c r="D6" s="140">
        <v>22000000</v>
      </c>
      <c r="E6" s="140">
        <f>SUM(fin[[#This Row],[jan/25]:[dez/25]])</f>
        <v>2911033.91</v>
      </c>
      <c r="F6" s="141" t="s">
        <v>467</v>
      </c>
      <c r="G6" s="142">
        <v>45762</v>
      </c>
      <c r="H6" s="144"/>
      <c r="I6" s="134"/>
      <c r="J6" s="143">
        <v>5022000</v>
      </c>
      <c r="K6" s="144" t="s">
        <v>468</v>
      </c>
      <c r="L6" s="144" t="s">
        <v>469</v>
      </c>
      <c r="M6" s="145"/>
      <c r="N6" s="134"/>
      <c r="O6" s="134"/>
      <c r="P6" s="134"/>
      <c r="Q6" s="134">
        <v>2911033.91</v>
      </c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34"/>
      <c r="AK6" s="134"/>
    </row>
    <row r="7" spans="1:37" x14ac:dyDescent="0.25">
      <c r="A7" s="137" t="str">
        <f>fin[[#This Row],[Tomadora]]&amp;"-"&amp;fin[[#This Row],[Agente]]&amp;"-"&amp;LEFT(D7,LEN(D7)-3)</f>
        <v>Ampla-Safra-2750</v>
      </c>
      <c r="B7" s="137" t="s">
        <v>335</v>
      </c>
      <c r="C7" s="138" t="s">
        <v>470</v>
      </c>
      <c r="D7" s="143">
        <v>2750000</v>
      </c>
      <c r="E7" s="143">
        <f>SUM(fin[[#This Row],[jan/25]:[dez/25]])</f>
        <v>2750000</v>
      </c>
      <c r="F7" s="141" t="s">
        <v>471</v>
      </c>
      <c r="G7" s="142">
        <v>45783</v>
      </c>
      <c r="H7" s="142">
        <v>47399</v>
      </c>
      <c r="I7" s="143">
        <v>93395.933700162612</v>
      </c>
      <c r="J7" s="143">
        <v>4321258</v>
      </c>
      <c r="K7" s="144" t="s">
        <v>472</v>
      </c>
      <c r="L7" s="144"/>
      <c r="M7" s="147" t="s">
        <v>473</v>
      </c>
      <c r="N7" s="134"/>
      <c r="O7" s="134"/>
      <c r="P7" s="134"/>
      <c r="Q7" s="134"/>
      <c r="R7" s="134">
        <v>2750000</v>
      </c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</row>
    <row r="8" spans="1:37" x14ac:dyDescent="0.25">
      <c r="A8" s="137" t="str">
        <f>fin[[#This Row],[Tomadora]]&amp;"-"&amp;fin[[#This Row],[Agente]]&amp;"-"&amp;LEFT(D8,LEN(D8)-3)</f>
        <v>Ampla-CEF-4472</v>
      </c>
      <c r="B8" s="137" t="s">
        <v>335</v>
      </c>
      <c r="C8" s="138" t="s">
        <v>474</v>
      </c>
      <c r="D8" s="143">
        <v>4472640</v>
      </c>
      <c r="E8" s="143">
        <f>SUM(fin[[#This Row],[jan/25]:[dez/25]])</f>
        <v>812640</v>
      </c>
      <c r="F8" s="141">
        <v>0.216</v>
      </c>
      <c r="G8" s="142">
        <v>45687</v>
      </c>
      <c r="H8" s="142">
        <v>47148</v>
      </c>
      <c r="I8" s="143">
        <v>141823.14000000001</v>
      </c>
      <c r="J8" s="143">
        <v>4321258</v>
      </c>
      <c r="K8" s="148"/>
      <c r="L8" s="144"/>
      <c r="M8" s="149" t="s">
        <v>475</v>
      </c>
      <c r="N8" s="150">
        <v>812640</v>
      </c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</row>
    <row r="9" spans="1:37" x14ac:dyDescent="0.25">
      <c r="A9" s="137" t="str">
        <f>fin[[#This Row],[Tomadora]]&amp;"-"&amp;fin[[#This Row],[Agente]]&amp;"-"&amp;LEFT(D9,LEN(D9)-3)</f>
        <v>LUC-URBEME-612</v>
      </c>
      <c r="B9" s="137" t="s">
        <v>10</v>
      </c>
      <c r="C9" s="138" t="s">
        <v>476</v>
      </c>
      <c r="D9" s="139">
        <v>612000</v>
      </c>
      <c r="E9" s="140">
        <f>SUM(fin[[#This Row],[jan/25]:[dez/25]])</f>
        <v>612000</v>
      </c>
      <c r="F9" t="s">
        <v>477</v>
      </c>
      <c r="G9" s="142">
        <v>45870</v>
      </c>
      <c r="H9" s="142">
        <v>46600</v>
      </c>
      <c r="I9" s="143">
        <v>14734</v>
      </c>
      <c r="J9" s="139">
        <v>612000</v>
      </c>
      <c r="K9" s="144" t="s">
        <v>472</v>
      </c>
      <c r="L9" s="144" t="s">
        <v>478</v>
      </c>
      <c r="M9" s="145"/>
      <c r="N9" s="134"/>
      <c r="O9" s="134"/>
      <c r="P9" s="134"/>
      <c r="Q9" s="134"/>
      <c r="R9" s="134"/>
      <c r="S9" s="134"/>
      <c r="T9" s="134"/>
      <c r="U9" s="134">
        <v>612000</v>
      </c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</row>
    <row r="10" spans="1:37" x14ac:dyDescent="0.25">
      <c r="A10" s="151" t="str">
        <f>fin[[#This Row],[Tomadora]]&amp;"-"&amp;fin[[#This Row],[Agente]]&amp;"-"&amp;LEFT(D10,LEN(D10)-3)</f>
        <v>ENC-CEF-545</v>
      </c>
      <c r="B10" s="151" t="s">
        <v>479</v>
      </c>
      <c r="C10" s="138" t="s">
        <v>474</v>
      </c>
      <c r="D10" s="139">
        <v>545906</v>
      </c>
      <c r="E10" s="140">
        <f>SUM(fin[[#This Row],[jan/25]:[dez/25]])</f>
        <v>545906</v>
      </c>
      <c r="F10" s="141">
        <v>0.34389999999999998</v>
      </c>
      <c r="G10" s="142">
        <v>45862</v>
      </c>
      <c r="H10" s="142">
        <v>47323</v>
      </c>
      <c r="I10" s="140">
        <v>17116.47</v>
      </c>
      <c r="J10" s="139">
        <v>548528</v>
      </c>
      <c r="K10" s="144"/>
      <c r="L10" s="144" t="s">
        <v>480</v>
      </c>
      <c r="M10" s="145"/>
      <c r="N10" s="134"/>
      <c r="O10" s="134"/>
      <c r="P10" s="134"/>
      <c r="Q10" s="134"/>
      <c r="R10" s="134"/>
      <c r="S10" s="134"/>
      <c r="T10" s="134">
        <v>545906</v>
      </c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</row>
    <row r="11" spans="1:37" x14ac:dyDescent="0.25">
      <c r="A11" s="151" t="str">
        <f>fin[[#This Row],[Tomadora]]&amp;"-"&amp;fin[[#This Row],[Agente]]&amp;"-"&amp;LEFT(D11,LEN(D11)-3)</f>
        <v>ENC-CEF-500</v>
      </c>
      <c r="B11" s="151" t="s">
        <v>479</v>
      </c>
      <c r="C11" s="138" t="s">
        <v>474</v>
      </c>
      <c r="D11" s="139">
        <v>500000</v>
      </c>
      <c r="E11" s="140">
        <f>SUM(fin[[#This Row],[jan/25]:[dez/25]])</f>
        <v>500000</v>
      </c>
      <c r="F11" s="141">
        <v>0.2908</v>
      </c>
      <c r="G11" s="142">
        <v>45834</v>
      </c>
      <c r="H11" s="142">
        <v>47629</v>
      </c>
      <c r="I11" s="140">
        <v>11000</v>
      </c>
      <c r="J11" s="139">
        <v>507953</v>
      </c>
      <c r="K11" s="144"/>
      <c r="L11" s="144" t="s">
        <v>480</v>
      </c>
      <c r="M11" s="145"/>
      <c r="N11" s="134"/>
      <c r="O11" s="134"/>
      <c r="P11" s="134"/>
      <c r="Q11" s="134"/>
      <c r="R11" s="134"/>
      <c r="S11" s="134">
        <v>500000</v>
      </c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</row>
    <row r="12" spans="1:37" x14ac:dyDescent="0.25">
      <c r="A12" s="137" t="str">
        <f>fin[[#This Row],[Tomadora]]&amp;"-"&amp;fin[[#This Row],[Agente]]&amp;"-"&amp;LEFT(D12,LEN(D12)-3)</f>
        <v>INC-CEF-500</v>
      </c>
      <c r="B12" s="137" t="s">
        <v>481</v>
      </c>
      <c r="C12" s="138" t="s">
        <v>474</v>
      </c>
      <c r="D12" s="140">
        <v>500000</v>
      </c>
      <c r="E12" s="140">
        <f>SUM(fin[[#This Row],[jan/25]:[dez/25]])</f>
        <v>500000</v>
      </c>
      <c r="F12" s="152">
        <v>0.252</v>
      </c>
      <c r="G12" s="142">
        <v>45915</v>
      </c>
      <c r="H12" s="142">
        <v>47741</v>
      </c>
      <c r="I12" s="140">
        <v>15938.2</v>
      </c>
      <c r="J12" s="140">
        <v>500000</v>
      </c>
      <c r="K12" s="144"/>
      <c r="L12" s="144" t="s">
        <v>480</v>
      </c>
      <c r="M12" s="145"/>
      <c r="N12" s="134"/>
      <c r="O12" s="134"/>
      <c r="P12" s="134"/>
      <c r="Q12" s="134"/>
      <c r="R12" s="134"/>
      <c r="S12" s="134"/>
      <c r="T12" s="134"/>
      <c r="U12" s="134"/>
      <c r="V12" s="134">
        <v>500000</v>
      </c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  <c r="AH12" s="134"/>
      <c r="AI12" s="134"/>
      <c r="AJ12" s="134"/>
      <c r="AK12" s="134"/>
    </row>
    <row r="13" spans="1:37" x14ac:dyDescent="0.25">
      <c r="A13" s="137" t="str">
        <f>fin[[#This Row],[Tomadora]]&amp;"-"&amp;fin[[#This Row],[Agente]]&amp;"-"&amp;LEFT(D13,LEN(D13)-3)</f>
        <v>LCG-Bradesco-400</v>
      </c>
      <c r="B13" s="137" t="s">
        <v>482</v>
      </c>
      <c r="C13" s="138" t="s">
        <v>483</v>
      </c>
      <c r="D13" s="140">
        <v>400000</v>
      </c>
      <c r="E13" s="140">
        <f>SUM(fin[[#This Row],[jan/25]:[dez/25]])</f>
        <v>400000</v>
      </c>
      <c r="F13" s="152">
        <v>0.47389999999999999</v>
      </c>
      <c r="G13" s="142">
        <v>45895</v>
      </c>
      <c r="H13" s="142">
        <v>47325</v>
      </c>
      <c r="I13" s="140">
        <v>19387.82</v>
      </c>
      <c r="J13" s="134"/>
      <c r="K13" s="144"/>
      <c r="L13" s="144" t="s">
        <v>484</v>
      </c>
      <c r="M13" s="145"/>
      <c r="N13" s="134"/>
      <c r="O13" s="134"/>
      <c r="P13" s="134"/>
      <c r="Q13" s="134"/>
      <c r="R13" s="134"/>
      <c r="S13" s="134"/>
      <c r="T13" s="134"/>
      <c r="U13" s="134">
        <v>400000</v>
      </c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</row>
    <row r="14" spans="1:37" x14ac:dyDescent="0.25">
      <c r="A14" s="137" t="str">
        <f>fin[[#This Row],[Tomadora]]&amp;"-"&amp;fin[[#This Row],[Agente]]&amp;"-"&amp;LEFT(D14,LEN(D14)-3)</f>
        <v>Ampla-CEF-300</v>
      </c>
      <c r="B14" s="137" t="s">
        <v>335</v>
      </c>
      <c r="C14" s="138" t="s">
        <v>474</v>
      </c>
      <c r="D14" s="153">
        <v>300000</v>
      </c>
      <c r="E14" s="143">
        <f>SUM(fin[[#This Row],[jan/25]:[dez/25]])</f>
        <v>300000</v>
      </c>
      <c r="F14" s="141" t="s">
        <v>485</v>
      </c>
      <c r="G14" s="142">
        <v>45828</v>
      </c>
      <c r="H14" s="142">
        <v>46741</v>
      </c>
      <c r="I14" s="143">
        <v>16168.47</v>
      </c>
      <c r="J14" s="143">
        <v>316719.03999999998</v>
      </c>
      <c r="K14" s="144"/>
      <c r="L14" s="144" t="s">
        <v>480</v>
      </c>
      <c r="M14" s="145"/>
      <c r="N14" s="134"/>
      <c r="O14" s="134"/>
      <c r="P14" s="134"/>
      <c r="Q14" s="134"/>
      <c r="R14" s="134"/>
      <c r="S14" s="134">
        <v>300000</v>
      </c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</row>
    <row r="15" spans="1:37" x14ac:dyDescent="0.25">
      <c r="A15" s="151" t="str">
        <f>fin[[#This Row],[Tomadora]]&amp;"-"&amp;fin[[#This Row],[Agente]]&amp;"-"&amp;LEFT(D15,LEN(D15)-3)</f>
        <v>SN2-GFM-3000</v>
      </c>
      <c r="B15" s="137" t="s">
        <v>12</v>
      </c>
      <c r="C15" s="138" t="s">
        <v>701</v>
      </c>
      <c r="D15" s="153">
        <v>3000000</v>
      </c>
      <c r="E15" s="143">
        <f>SUM(fin[[#This Row],[jan/25]:[dez/25]])</f>
        <v>0</v>
      </c>
      <c r="F15" s="141"/>
      <c r="G15" s="142">
        <v>46065</v>
      </c>
      <c r="H15" s="142"/>
      <c r="I15" s="143"/>
      <c r="J15" s="143"/>
      <c r="K15" s="144"/>
      <c r="L15" s="144"/>
      <c r="M15" s="145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>
        <v>3000000</v>
      </c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</row>
    <row r="16" spans="1:37" x14ac:dyDescent="0.25">
      <c r="A16" s="151" t="str">
        <f>fin[[#This Row],[Tomadora]]&amp;"-"&amp;fin[[#This Row],[Agente]]&amp;"-"&amp;LEFT(D16,LEN(D16)-3)</f>
        <v>SN4-SCP-5000</v>
      </c>
      <c r="B16" s="137" t="s">
        <v>13</v>
      </c>
      <c r="C16" s="138" t="s">
        <v>463</v>
      </c>
      <c r="D16" s="153">
        <v>5000000</v>
      </c>
      <c r="E16" s="143">
        <f>SUM(fin[[#This Row],[jan/25]:[dez/25]])</f>
        <v>0</v>
      </c>
      <c r="F16" s="141"/>
      <c r="G16" s="142"/>
      <c r="H16" s="142"/>
      <c r="I16" s="143"/>
      <c r="J16" s="143"/>
      <c r="K16" s="144"/>
      <c r="L16" s="144"/>
      <c r="M16" s="145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>
        <v>5000000</v>
      </c>
      <c r="AE16" s="134"/>
      <c r="AF16" s="134"/>
      <c r="AG16" s="134"/>
      <c r="AH16" s="134"/>
      <c r="AI16" s="134"/>
      <c r="AJ16" s="134"/>
      <c r="AK16" s="134"/>
    </row>
    <row r="18" spans="1:3" ht="18.75" x14ac:dyDescent="0.3">
      <c r="A18" s="64" t="s">
        <v>679</v>
      </c>
      <c r="B18" s="64"/>
      <c r="C18" s="64"/>
    </row>
    <row r="19" spans="1:3" x14ac:dyDescent="0.25">
      <c r="A19" s="234" t="s">
        <v>33</v>
      </c>
      <c r="B19" s="234" t="s">
        <v>675</v>
      </c>
      <c r="C19" s="234" t="s">
        <v>676</v>
      </c>
    </row>
    <row r="20" spans="1:3" x14ac:dyDescent="0.25">
      <c r="A20" t="s">
        <v>13</v>
      </c>
      <c r="B20" s="235">
        <v>45778</v>
      </c>
      <c r="C20" s="134">
        <v>944552</v>
      </c>
    </row>
    <row r="21" spans="1:3" x14ac:dyDescent="0.25">
      <c r="A21" t="s">
        <v>677</v>
      </c>
      <c r="B21" s="235">
        <v>45778</v>
      </c>
      <c r="C21" s="134">
        <v>5405358.0599999996</v>
      </c>
    </row>
    <row r="22" spans="1:3" x14ac:dyDescent="0.25">
      <c r="A22" t="s">
        <v>677</v>
      </c>
      <c r="B22" s="235">
        <v>45839</v>
      </c>
      <c r="C22" s="134">
        <v>994999.95</v>
      </c>
    </row>
    <row r="23" spans="1:3" x14ac:dyDescent="0.25">
      <c r="A23" t="s">
        <v>678</v>
      </c>
      <c r="B23" s="235">
        <v>45778</v>
      </c>
      <c r="C23" s="134">
        <v>4295585</v>
      </c>
    </row>
    <row r="24" spans="1:3" x14ac:dyDescent="0.25">
      <c r="A24" t="s">
        <v>678</v>
      </c>
      <c r="B24" s="235">
        <v>45839</v>
      </c>
      <c r="C24" s="134">
        <v>1855585</v>
      </c>
    </row>
    <row r="25" spans="1:3" x14ac:dyDescent="0.25">
      <c r="A25" t="s">
        <v>465</v>
      </c>
      <c r="B25" s="235">
        <v>45748</v>
      </c>
      <c r="C25" s="134">
        <v>528000</v>
      </c>
    </row>
    <row r="26" spans="1:3" x14ac:dyDescent="0.25">
      <c r="A26" t="s">
        <v>680</v>
      </c>
      <c r="B26" s="235">
        <v>45931</v>
      </c>
      <c r="C26" s="134">
        <v>3000000</v>
      </c>
    </row>
    <row r="27" spans="1:3" x14ac:dyDescent="0.25">
      <c r="A27" t="s">
        <v>680</v>
      </c>
      <c r="B27" s="235">
        <v>45962</v>
      </c>
      <c r="C27" s="134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12" activePane="bottomRight" state="frozen"/>
      <selection pane="topRight" activeCell="B1" sqref="B1"/>
      <selection pane="bottomLeft" activeCell="A11" sqref="A11"/>
      <selection pane="bottomRight" activeCell="D2" sqref="D2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3">
        <v>46203</v>
      </c>
      <c r="B1" s="74" t="s">
        <v>533</v>
      </c>
      <c r="C1" s="75"/>
      <c r="D1" s="75"/>
      <c r="E1" s="75"/>
      <c r="F1" s="76"/>
      <c r="G1" s="75"/>
      <c r="H1" s="75"/>
      <c r="I1" s="75"/>
      <c r="J1" s="75"/>
      <c r="K1" s="75"/>
      <c r="L1" s="75"/>
      <c r="M1" s="75"/>
      <c r="N1" s="74" t="s">
        <v>539</v>
      </c>
      <c r="O1" s="75"/>
      <c r="P1" s="75"/>
      <c r="Q1" s="75"/>
      <c r="R1" s="76"/>
      <c r="S1" s="75"/>
      <c r="T1" s="75"/>
      <c r="U1" s="75"/>
      <c r="V1" s="75"/>
      <c r="W1" s="75"/>
      <c r="X1" s="75"/>
      <c r="Y1" s="75"/>
      <c r="Z1" s="74" t="s">
        <v>704</v>
      </c>
      <c r="AA1" s="75"/>
      <c r="AB1" s="75"/>
      <c r="AC1" s="75"/>
      <c r="AD1" s="75"/>
      <c r="AE1" s="75"/>
      <c r="AF1" s="75"/>
      <c r="AG1" s="75"/>
      <c r="AH1" s="75"/>
      <c r="AI1" s="75"/>
      <c r="AJ1" s="74" t="s">
        <v>537</v>
      </c>
      <c r="AK1" s="75"/>
      <c r="AL1" s="75"/>
      <c r="AM1" s="75"/>
      <c r="AN1" s="76"/>
      <c r="AO1" s="75"/>
      <c r="AP1" s="75"/>
      <c r="AQ1" s="75"/>
      <c r="AR1" s="75"/>
      <c r="AS1" s="75"/>
      <c r="AT1" s="75"/>
      <c r="AU1" s="75"/>
      <c r="AV1" s="74" t="s">
        <v>541</v>
      </c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4" t="s">
        <v>535</v>
      </c>
      <c r="BI1" s="75"/>
      <c r="BJ1" s="75"/>
      <c r="BK1" s="75"/>
      <c r="BL1" s="75"/>
      <c r="BM1" s="75"/>
      <c r="BN1" s="75"/>
      <c r="BO1" s="75"/>
      <c r="BP1" s="75"/>
      <c r="BQ1" s="75"/>
      <c r="BR1" s="74" t="s">
        <v>544</v>
      </c>
      <c r="BS1" s="75"/>
      <c r="BT1" s="75"/>
      <c r="BU1" s="75"/>
      <c r="BV1" s="75"/>
      <c r="BW1" s="75"/>
      <c r="BX1" s="75"/>
      <c r="BY1" s="75"/>
      <c r="BZ1" s="75"/>
      <c r="CA1" s="75"/>
      <c r="CB1" s="74" t="s">
        <v>531</v>
      </c>
      <c r="CC1" s="75"/>
      <c r="CD1" s="75"/>
      <c r="CE1" s="75"/>
      <c r="CF1" s="76"/>
      <c r="CG1" s="75"/>
      <c r="CH1" s="75"/>
      <c r="CI1" s="75"/>
      <c r="CJ1" s="75"/>
      <c r="CK1" s="75"/>
      <c r="CL1" s="75"/>
      <c r="CM1" s="75"/>
      <c r="CN1" s="74" t="s">
        <v>546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7"/>
    </row>
    <row r="2" spans="1:103" ht="15.75" customHeight="1" x14ac:dyDescent="0.25">
      <c r="B2" s="78" t="s">
        <v>2</v>
      </c>
      <c r="C2" s="79"/>
      <c r="D2" s="80" cm="1">
        <f t="array" ref="D2">SUMPRODUCT(
   tb_estq[Preço Tab.] *
   (tb_estq[empresa]=D$6) *
   ((tb_estq[Status]="Disponível") + (tb_estq[Status]="Reservada") + (tb_estq[Status]="Em negociação"))
)</f>
        <v>0</v>
      </c>
      <c r="F2" s="358" t="s">
        <v>937</v>
      </c>
      <c r="G2" s="359"/>
      <c r="H2" s="360">
        <v>9712092</v>
      </c>
      <c r="I2" s="361">
        <v>46211</v>
      </c>
      <c r="M2" s="81"/>
      <c r="N2" s="78" t="s">
        <v>2</v>
      </c>
      <c r="O2" s="79"/>
      <c r="P2" s="80">
        <f t="array" ref="P2">SUMPRODUCT(
   tb_estq[Preço Tab.] *
   (tb_estq[empresa]=P$6) *
   ((tb_estq[Status]="Disponível") + (tb_estq[Status]="Reservada") + (tb_estq[Status]="Em negociação"))
)</f>
        <v>0</v>
      </c>
      <c r="R2" s="358" t="s">
        <v>937</v>
      </c>
      <c r="S2" s="359"/>
      <c r="T2" s="360">
        <v>13856541</v>
      </c>
      <c r="U2" s="361">
        <v>46211</v>
      </c>
      <c r="Y2" s="81"/>
      <c r="Z2" s="78" t="s">
        <v>2</v>
      </c>
      <c r="AA2" s="82"/>
      <c r="AB2" s="80">
        <f t="array" ref="AB2">SUMPRODUCT(
   tb_estq[Preço Tab.] *
   (tb_estq[empresa]=AB$6) *
   ((tb_estq[Status]="Disponível") + (tb_estq[Status]="Reservada") + (tb_estq[Status]="Em negociação"))
)</f>
        <v>0</v>
      </c>
      <c r="AI2" s="81"/>
      <c r="AJ2" s="78" t="s">
        <v>2</v>
      </c>
      <c r="AK2" s="82"/>
      <c r="AL2" s="80">
        <f t="array" ref="AL2">SUMPRODUCT(
   tb_estq[Preço Tab.] *
   (tb_estq[empresa]=AL$6) *
   ((tb_estq[Status]="Disponível") + (tb_estq[Status]="Reservada") + (tb_estq[Status]="Em negociação"))
)</f>
        <v>0</v>
      </c>
      <c r="AN2" s="358" t="s">
        <v>937</v>
      </c>
      <c r="AO2" s="359"/>
      <c r="AP2" s="360">
        <v>12200000</v>
      </c>
      <c r="AQ2" s="361">
        <v>46211</v>
      </c>
      <c r="AU2" s="81"/>
      <c r="AV2" s="78" t="s">
        <v>2</v>
      </c>
      <c r="AW2" s="82"/>
      <c r="AX2" s="80">
        <f t="array" ref="AX2">SUMPRODUCT(
   tb_estq[Preço Tab.] *
   (tb_estq[empresa]=BA$6) *
   ((tb_estq[Status]="Disponível") + (tb_estq[Status]="Reservada") + (tb_estq[Status]="Em negociação"))
)</f>
        <v>0</v>
      </c>
      <c r="AZ2" s="358" t="s">
        <v>937</v>
      </c>
      <c r="BA2" s="359"/>
      <c r="BB2" s="360">
        <v>30015884</v>
      </c>
      <c r="BC2" s="361">
        <v>46211</v>
      </c>
      <c r="BG2" s="81"/>
      <c r="BH2" s="78" t="s">
        <v>2</v>
      </c>
      <c r="BI2" s="82"/>
      <c r="BJ2" s="80">
        <f t="array" ref="BJ2">SUMPRODUCT(
   tb_estq[Preço Tab.] *
   (tb_estq[empresa]=BJ$6) *
   ((tb_estq[Status]="Disponível") + (tb_estq[Status]="Reservada") + (tb_estq[Status]="Em negociação"))
)</f>
        <v>0</v>
      </c>
      <c r="BQ2" s="81"/>
      <c r="BR2" s="78" t="s">
        <v>2</v>
      </c>
      <c r="BS2" s="82"/>
      <c r="BT2" s="80">
        <f t="array" ref="BT2">SUMPRODUCT(
   tb_estq[Preço Tab.] *
   (tb_estq[empresa]=BT$6) *
   ((tb_estq[Status]="Disponível") + (tb_estq[Status]="Reservada") + (tb_estq[Status]="Em negociação"))
)</f>
        <v>0</v>
      </c>
      <c r="CA2" s="81"/>
      <c r="CB2" s="78" t="s">
        <v>2</v>
      </c>
      <c r="CC2" s="82"/>
      <c r="CD2" s="80">
        <f t="array" ref="CD2">SUMPRODUCT(
   tb_estq[Preço Tab.] *
   (tb_estq[empresa]=CD$6) *
   ((tb_estq[Status]="Disponível") + (tb_estq[Status]="Reservada") + (tb_estq[Status]="Em negociação"))
)</f>
        <v>0</v>
      </c>
      <c r="CF2" s="358" t="s">
        <v>937</v>
      </c>
      <c r="CG2" s="359"/>
      <c r="CH2" s="360">
        <v>27607680</v>
      </c>
      <c r="CI2" s="361">
        <v>46211</v>
      </c>
      <c r="CM2" s="81"/>
      <c r="CN2" s="78" t="s">
        <v>2</v>
      </c>
      <c r="CO2" s="82"/>
      <c r="CP2" s="80">
        <f t="array" ref="CP2">SUMPRODUCT(
   tb_estq[Preço Tab.] *
   (tb_estq[empresa]=CS$6) *
   ((tb_estq[Status]="Disponível") + (tb_estq[Status]="Reservada") + (tb_estq[Status]="Em negociação"))
)</f>
        <v>0</v>
      </c>
      <c r="CR2" s="358" t="s">
        <v>937</v>
      </c>
      <c r="CS2" s="359"/>
      <c r="CT2" s="360">
        <v>48062774</v>
      </c>
      <c r="CU2" s="361">
        <v>46211</v>
      </c>
      <c r="CY2" s="83"/>
    </row>
    <row r="3" spans="1:103" ht="15.75" customHeight="1" x14ac:dyDescent="0.25">
      <c r="B3" s="84" t="s">
        <v>3</v>
      </c>
      <c r="C3" s="85"/>
      <c r="D3" s="86">
        <f>COUNTIFS(tb_estq[empresa], D$6, tb_estq[Status], "Disponível")
+
COUNTIFS(tb_estq[empresa], D$6, tb_estq[Status], "Reservada")
+
COUNTIFS(tb_estq[empresa], D$6, tb_estq[Status], "Em negociação")</f>
        <v>0</v>
      </c>
      <c r="F3" s="362" t="s">
        <v>938</v>
      </c>
      <c r="G3" s="85"/>
      <c r="H3" s="363">
        <v>4057089.8</v>
      </c>
      <c r="I3" s="364">
        <v>46211</v>
      </c>
      <c r="M3" s="81"/>
      <c r="N3" s="84" t="s">
        <v>3</v>
      </c>
      <c r="O3" s="85"/>
      <c r="P3" s="86">
        <f>COUNTIFS(tb_estq[empresa], P$6, tb_estq[Status], "Disponível")
+
COUNTIFS(tb_estq[empresa], P$6, tb_estq[Status], "Reservada")
+
COUNTIFS(tb_estq[empresa], P$6, tb_estq[Status], "Em negociação")</f>
        <v>0</v>
      </c>
      <c r="R3" s="362" t="s">
        <v>938</v>
      </c>
      <c r="S3" s="85"/>
      <c r="T3" s="363">
        <v>3276982.6</v>
      </c>
      <c r="U3" s="364">
        <v>46211</v>
      </c>
      <c r="Y3" s="81"/>
      <c r="Z3" s="84" t="s">
        <v>3</v>
      </c>
      <c r="AA3" s="87"/>
      <c r="AB3" s="86">
        <f>COUNTIFS(tb_estq[empresa], AB$6, tb_estq[Status], "Disponível")
+
COUNTIFS(tb_estq[empresa], AB$6, tb_estq[Status], "Reservada")
+
COUNTIFS(tb_estq[empresa], AB$6, tb_estq[Status], "Em negociação")</f>
        <v>0</v>
      </c>
      <c r="AI3" s="81"/>
      <c r="AJ3" s="84" t="s">
        <v>3</v>
      </c>
      <c r="AK3" s="87"/>
      <c r="AL3" s="86">
        <f>COUNTIFS(tb_estq[empresa], AL$6, tb_estq[Status], "Disponível")
+
COUNTIFS(tb_estq[empresa], AL$6, tb_estq[Status], "Reservada")
+
COUNTIFS(tb_estq[empresa], AL$6, tb_estq[Status], "Em negociação")</f>
        <v>0</v>
      </c>
      <c r="AN3" s="362" t="s">
        <v>938</v>
      </c>
      <c r="AO3" s="85"/>
      <c r="AP3" s="363">
        <v>7406397.7199999997</v>
      </c>
      <c r="AQ3" s="364">
        <v>46211</v>
      </c>
      <c r="AU3" s="81"/>
      <c r="AV3" s="84" t="s">
        <v>3</v>
      </c>
      <c r="AW3" s="87"/>
      <c r="AX3" s="86">
        <f>COUNTIFS(tb_estq[empresa], BA$6, tb_estq[Status], "Disponível")
+
COUNTIFS(tb_estq[empresa], BA$6, tb_estq[Status], "Reservada")
+
COUNTIFS(tb_estq[empresa], BA$6, tb_estq[Status], "Em negociação")</f>
        <v>0</v>
      </c>
      <c r="AZ3" s="362" t="s">
        <v>938</v>
      </c>
      <c r="BA3" s="85"/>
      <c r="BB3" s="363">
        <v>10465863.09</v>
      </c>
      <c r="BC3" s="364">
        <v>46211</v>
      </c>
      <c r="BG3" s="81"/>
      <c r="BH3" s="84" t="s">
        <v>3</v>
      </c>
      <c r="BI3" s="87"/>
      <c r="BJ3" s="86">
        <f>COUNTIFS(tb_estq[empresa], BJ$6, tb_estq[Status], "Disponível")
+
COUNTIFS(tb_estq[empresa], BJ$6, tb_estq[Status], "Reservada")
+
COUNTIFS(tb_estq[empresa], BJ$6, tb_estq[Status], "Em negociação")</f>
        <v>0</v>
      </c>
      <c r="BQ3" s="81"/>
      <c r="BR3" s="84" t="s">
        <v>3</v>
      </c>
      <c r="BS3" s="87"/>
      <c r="BT3" s="86">
        <f>COUNTIFS(tb_estq[empresa], BT$6, tb_estq[Status], "Disponível")
+
COUNTIFS(tb_estq[empresa], BT$6, tb_estq[Status], "Reservada")
+
COUNTIFS(tb_estq[empresa], BT$6, tb_estq[Status], "Em negociação")</f>
        <v>0</v>
      </c>
      <c r="CA3" s="81"/>
      <c r="CB3" s="84" t="s">
        <v>3</v>
      </c>
      <c r="CC3" s="87"/>
      <c r="CD3" s="86">
        <f>COUNTIFS(tb_estq[empresa], CD$6, tb_estq[Status], "Disponível")
+
COUNTIFS(tb_estq[empresa], CD$6, tb_estq[Status], "Reservada")
+
COUNTIFS(tb_estq[empresa], CD$6, tb_estq[Status], "Em negociação")</f>
        <v>0</v>
      </c>
      <c r="CF3" s="362" t="s">
        <v>938</v>
      </c>
      <c r="CG3" s="85"/>
      <c r="CH3" s="363">
        <v>17777215.68</v>
      </c>
      <c r="CI3" s="364">
        <v>46211</v>
      </c>
      <c r="CM3" s="81"/>
      <c r="CN3" s="84" t="s">
        <v>3</v>
      </c>
      <c r="CO3" s="87"/>
      <c r="CP3" s="86">
        <f>COUNTIFS(tb_estq[empresa], CS$6, tb_estq[Status], "Disponível")
+
COUNTIFS(tb_estq[empresa], CS$6, tb_estq[Status], "Reservada")
+
COUNTIFS(tb_estq[empresa], CS$6, tb_estq[Status], "Em negociação")</f>
        <v>0</v>
      </c>
      <c r="CR3" s="362" t="s">
        <v>938</v>
      </c>
      <c r="CS3" s="85"/>
      <c r="CT3" s="363">
        <v>2072002.76</v>
      </c>
      <c r="CU3" s="364">
        <v>46211</v>
      </c>
      <c r="CY3" s="83"/>
    </row>
    <row r="4" spans="1:103" ht="15.75" customHeight="1" x14ac:dyDescent="0.25">
      <c r="B4" s="78" t="s">
        <v>4</v>
      </c>
      <c r="C4" s="79"/>
      <c r="D4" s="80">
        <f ca="1">SUMIFS(tb_rec_uni[soma.meses],
INDIRECT("tb_rec_uni[natureza]"),"parcela.cef.assinar",
INDIRECT("tb_rec_uni[empresa]"),D$6)</f>
        <v>0</v>
      </c>
      <c r="F4" s="365" t="s">
        <v>939</v>
      </c>
      <c r="G4" s="79"/>
      <c r="H4" s="366">
        <v>5349648.4800000004</v>
      </c>
      <c r="I4" s="367">
        <v>46211</v>
      </c>
      <c r="M4" s="81"/>
      <c r="N4" s="78" t="s">
        <v>4</v>
      </c>
      <c r="O4" s="79"/>
      <c r="P4" s="80">
        <f ca="1">SUMIFS(tb_rec_uni[soma.meses],
INDIRECT("tb_rec_uni[natureza]"),"parcela.cef.assinar",
INDIRECT("tb_rec_uni[empresa]"),P$6)</f>
        <v>0</v>
      </c>
      <c r="R4" s="365" t="s">
        <v>939</v>
      </c>
      <c r="S4" s="79"/>
      <c r="T4" s="366">
        <v>5133141.9800000004</v>
      </c>
      <c r="U4" s="367">
        <v>46211</v>
      </c>
      <c r="Y4" s="81"/>
      <c r="Z4" s="88"/>
      <c r="AI4" s="81"/>
      <c r="AJ4" s="78" t="s">
        <v>4</v>
      </c>
      <c r="AK4" s="82"/>
      <c r="AL4" s="80">
        <f ca="1">SUMIFS(tb_rec_uni[soma.meses],
INDIRECT("tb_rec_uni[natureza]"),"parcela.cef.assinar",
INDIRECT("tb_rec_uni[empresa]"),AL$6)</f>
        <v>0</v>
      </c>
      <c r="AN4" s="365" t="s">
        <v>939</v>
      </c>
      <c r="AO4" s="79"/>
      <c r="AP4" s="366">
        <v>3523204.24</v>
      </c>
      <c r="AQ4" s="367">
        <v>46211</v>
      </c>
      <c r="AU4" s="81"/>
      <c r="AV4" s="78" t="s">
        <v>4</v>
      </c>
      <c r="AW4" s="82"/>
      <c r="AX4" s="80">
        <f ca="1">SUMIFS(tb_rec_uni[soma.meses],
INDIRECT("tb_rec_uni[natureza]"),"parcela.cef.assinar",
INDIRECT("tb_rec_uni[empresa]"),BA$6)</f>
        <v>0</v>
      </c>
      <c r="AZ4" s="365" t="s">
        <v>939</v>
      </c>
      <c r="BA4" s="79"/>
      <c r="BB4" s="366">
        <v>4209441.97</v>
      </c>
      <c r="BC4" s="367">
        <v>46211</v>
      </c>
      <c r="BG4" s="81"/>
      <c r="BH4" s="88"/>
      <c r="BQ4" s="81"/>
      <c r="BR4" s="88"/>
      <c r="CA4" s="81"/>
      <c r="CB4" s="78" t="s">
        <v>4</v>
      </c>
      <c r="CC4" s="82"/>
      <c r="CD4" s="80">
        <f ca="1">SUMIFS(tb_rec_uni[soma.meses],
INDIRECT("tb_rec_uni[natureza]"),"parcela.cef.assinar",
INDIRECT("tb_rec_uni[empresa]"),CD$6)</f>
        <v>0</v>
      </c>
      <c r="CF4" s="365" t="s">
        <v>939</v>
      </c>
      <c r="CG4" s="79"/>
      <c r="CH4" s="366">
        <v>5691486.6699999999</v>
      </c>
      <c r="CI4" s="367">
        <v>46211</v>
      </c>
      <c r="CM4" s="81"/>
      <c r="CN4" s="78" t="s">
        <v>4</v>
      </c>
      <c r="CO4" s="82"/>
      <c r="CP4" s="80">
        <f ca="1">SUMIFS(tb_rec_uni[soma.meses],
INDIRECT("tb_rec_uni[natureza]"),"parcela.cef.assinar",
INDIRECT("tb_rec_uni[empresa]"),CS$6)</f>
        <v>0</v>
      </c>
      <c r="CR4" s="365" t="s">
        <v>939</v>
      </c>
      <c r="CS4" s="79"/>
      <c r="CT4" s="366">
        <v>0</v>
      </c>
      <c r="CU4" s="367">
        <v>46211</v>
      </c>
      <c r="CY4" s="83"/>
    </row>
    <row r="5" spans="1:103" ht="15.75" customHeight="1" x14ac:dyDescent="0.25">
      <c r="B5" s="89" t="s">
        <v>5</v>
      </c>
      <c r="C5" s="90"/>
      <c r="D5" s="91">
        <f>COUNTIFS(
   tb_rec_uni[empresa],D$6,
   tb_rec_uni[natureza],"parcela.cef.assinar"
)</f>
        <v>0</v>
      </c>
      <c r="F5" s="368" t="s">
        <v>940</v>
      </c>
      <c r="G5" s="90"/>
      <c r="H5" s="369">
        <v>3336685.67</v>
      </c>
      <c r="I5" s="370">
        <v>46211</v>
      </c>
      <c r="M5" s="92"/>
      <c r="N5" s="89" t="s">
        <v>5</v>
      </c>
      <c r="O5" s="90"/>
      <c r="P5" s="91">
        <f>COUNTIFS(
   tb_rec_uni[empresa],P$6,
   tb_rec_uni[natureza],"parcela.cef.assinar"
)</f>
        <v>0</v>
      </c>
      <c r="R5" s="368" t="s">
        <v>940</v>
      </c>
      <c r="S5" s="90"/>
      <c r="T5" s="369">
        <v>1360326.61</v>
      </c>
      <c r="U5" s="370">
        <v>46211</v>
      </c>
      <c r="Y5" s="92"/>
      <c r="Z5" s="94"/>
      <c r="AA5" s="92"/>
      <c r="AB5" s="222"/>
      <c r="AI5" s="92"/>
      <c r="AJ5" s="89" t="s">
        <v>5</v>
      </c>
      <c r="AK5" s="93"/>
      <c r="AL5" s="91">
        <f>COUNTIFS(
   tb_rec_uni[empresa],AL$6,
   tb_rec_uni[natureza],"parcela.cef.assinar"
)</f>
        <v>0</v>
      </c>
      <c r="AN5" s="368" t="s">
        <v>940</v>
      </c>
      <c r="AO5" s="90"/>
      <c r="AP5" s="369">
        <v>1821386.32</v>
      </c>
      <c r="AQ5" s="370">
        <v>46211</v>
      </c>
      <c r="AU5" s="92"/>
      <c r="AV5" s="89" t="s">
        <v>5</v>
      </c>
      <c r="AW5" s="93"/>
      <c r="AX5" s="91">
        <f>COUNTIFS(
   tb_rec_uni[empresa],BA$6,
   tb_rec_uni[natureza],"parcela.cef.assinar"
)</f>
        <v>0</v>
      </c>
      <c r="AZ5" s="368" t="s">
        <v>940</v>
      </c>
      <c r="BA5" s="90"/>
      <c r="BB5" s="369">
        <v>3291896.13</v>
      </c>
      <c r="BC5" s="370">
        <v>46211</v>
      </c>
      <c r="BG5" s="92"/>
      <c r="BH5" s="94"/>
      <c r="BI5" s="92"/>
      <c r="BJ5" s="222"/>
      <c r="BQ5" s="92"/>
      <c r="BR5" s="94"/>
      <c r="BS5" s="92"/>
      <c r="BT5" s="222"/>
      <c r="CA5" s="92"/>
      <c r="CB5" s="89" t="s">
        <v>5</v>
      </c>
      <c r="CC5" s="93"/>
      <c r="CD5" s="91">
        <f>COUNTIFS(
   tb_rec_uni[empresa],CD$6,
   tb_rec_uni[natureza],"parcela.cef.assinar"
)</f>
        <v>0</v>
      </c>
      <c r="CF5" s="368" t="s">
        <v>940</v>
      </c>
      <c r="CG5" s="90"/>
      <c r="CH5" s="369">
        <v>4078958.63</v>
      </c>
      <c r="CI5" s="370">
        <v>46211</v>
      </c>
      <c r="CM5" s="92"/>
      <c r="CN5" s="89" t="s">
        <v>5</v>
      </c>
      <c r="CO5" s="93"/>
      <c r="CP5" s="91">
        <f>COUNTIFS(
   tb_rec_uni[empresa],CS$6,
   tb_rec_uni[natureza],"parcela.cef.assinar"
)</f>
        <v>0</v>
      </c>
      <c r="CR5" s="368" t="s">
        <v>940</v>
      </c>
      <c r="CS5" s="90"/>
      <c r="CT5" s="369">
        <v>0</v>
      </c>
      <c r="CU5" s="370">
        <v>46211</v>
      </c>
      <c r="CY5" s="95"/>
    </row>
    <row r="6" spans="1:103" ht="15.75" customHeight="1" x14ac:dyDescent="0.25">
      <c r="A6" s="96" t="s">
        <v>6</v>
      </c>
      <c r="B6" s="97" t="s">
        <v>7</v>
      </c>
      <c r="C6" s="98" t="s">
        <v>7</v>
      </c>
      <c r="D6" s="98" t="s">
        <v>7</v>
      </c>
      <c r="E6" s="98" t="s">
        <v>7</v>
      </c>
      <c r="F6" s="98" t="s">
        <v>7</v>
      </c>
      <c r="G6" s="98" t="s">
        <v>7</v>
      </c>
      <c r="H6" s="98" t="s">
        <v>7</v>
      </c>
      <c r="I6" s="98" t="s">
        <v>7</v>
      </c>
      <c r="J6" s="98" t="s">
        <v>7</v>
      </c>
      <c r="K6" s="98" t="s">
        <v>7</v>
      </c>
      <c r="L6" s="98" t="s">
        <v>7</v>
      </c>
      <c r="M6" s="99" t="s">
        <v>7</v>
      </c>
      <c r="N6" s="97" t="s">
        <v>8</v>
      </c>
      <c r="O6" s="98" t="s">
        <v>8</v>
      </c>
      <c r="P6" s="98" t="s">
        <v>8</v>
      </c>
      <c r="Q6" s="98" t="s">
        <v>8</v>
      </c>
      <c r="R6" s="100" t="s">
        <v>8</v>
      </c>
      <c r="S6" s="98" t="s">
        <v>8</v>
      </c>
      <c r="T6" s="98" t="s">
        <v>8</v>
      </c>
      <c r="U6" s="98" t="s">
        <v>8</v>
      </c>
      <c r="V6" s="98" t="s">
        <v>8</v>
      </c>
      <c r="W6" s="98" t="s">
        <v>8</v>
      </c>
      <c r="X6" s="98" t="s">
        <v>8</v>
      </c>
      <c r="Y6" s="99" t="s">
        <v>8</v>
      </c>
      <c r="Z6" s="97" t="s">
        <v>673</v>
      </c>
      <c r="AA6" s="98" t="s">
        <v>673</v>
      </c>
      <c r="AB6" s="98" t="s">
        <v>673</v>
      </c>
      <c r="AC6" s="98" t="s">
        <v>673</v>
      </c>
      <c r="AD6" s="98" t="s">
        <v>673</v>
      </c>
      <c r="AE6" s="98" t="s">
        <v>673</v>
      </c>
      <c r="AF6" s="98" t="s">
        <v>673</v>
      </c>
      <c r="AG6" s="98" t="s">
        <v>673</v>
      </c>
      <c r="AH6" s="98" t="s">
        <v>673</v>
      </c>
      <c r="AI6" s="99" t="s">
        <v>673</v>
      </c>
      <c r="AJ6" s="97" t="s">
        <v>9</v>
      </c>
      <c r="AK6" s="98" t="s">
        <v>9</v>
      </c>
      <c r="AL6" s="98" t="s">
        <v>9</v>
      </c>
      <c r="AM6" s="98" t="s">
        <v>9</v>
      </c>
      <c r="AN6" s="98" t="s">
        <v>9</v>
      </c>
      <c r="AO6" s="98" t="s">
        <v>9</v>
      </c>
      <c r="AP6" s="98" t="s">
        <v>9</v>
      </c>
      <c r="AQ6" s="98" t="s">
        <v>9</v>
      </c>
      <c r="AR6" s="98" t="s">
        <v>9</v>
      </c>
      <c r="AS6" s="98" t="s">
        <v>9</v>
      </c>
      <c r="AT6" s="98" t="s">
        <v>9</v>
      </c>
      <c r="AU6" s="99" t="s">
        <v>9</v>
      </c>
      <c r="AV6" s="97" t="s">
        <v>10</v>
      </c>
      <c r="AW6" s="98" t="s">
        <v>10</v>
      </c>
      <c r="AX6" s="98" t="s">
        <v>10</v>
      </c>
      <c r="AY6" s="98" t="s">
        <v>10</v>
      </c>
      <c r="AZ6" s="98" t="s">
        <v>10</v>
      </c>
      <c r="BA6" s="98" t="s">
        <v>10</v>
      </c>
      <c r="BB6" s="98" t="s">
        <v>10</v>
      </c>
      <c r="BC6" s="98" t="s">
        <v>10</v>
      </c>
      <c r="BD6" s="98" t="s">
        <v>10</v>
      </c>
      <c r="BE6" s="98" t="s">
        <v>10</v>
      </c>
      <c r="BF6" s="98" t="s">
        <v>10</v>
      </c>
      <c r="BG6" s="99" t="s">
        <v>10</v>
      </c>
      <c r="BH6" s="97" t="s">
        <v>11</v>
      </c>
      <c r="BI6" s="221" t="s">
        <v>11</v>
      </c>
      <c r="BJ6" s="221" t="s">
        <v>11</v>
      </c>
      <c r="BK6" s="98" t="s">
        <v>11</v>
      </c>
      <c r="BL6" s="98" t="s">
        <v>11</v>
      </c>
      <c r="BM6" s="98" t="s">
        <v>11</v>
      </c>
      <c r="BN6" s="98" t="s">
        <v>11</v>
      </c>
      <c r="BO6" s="98" t="s">
        <v>11</v>
      </c>
      <c r="BP6" s="98" t="s">
        <v>11</v>
      </c>
      <c r="BQ6" s="99" t="s">
        <v>11</v>
      </c>
      <c r="BR6" s="97" t="s">
        <v>465</v>
      </c>
      <c r="BS6" s="98" t="s">
        <v>465</v>
      </c>
      <c r="BT6" s="98" t="s">
        <v>465</v>
      </c>
      <c r="BU6" s="98" t="s">
        <v>465</v>
      </c>
      <c r="BV6" s="98" t="s">
        <v>465</v>
      </c>
      <c r="BW6" s="98" t="s">
        <v>465</v>
      </c>
      <c r="BX6" s="98" t="s">
        <v>465</v>
      </c>
      <c r="BY6" s="98" t="s">
        <v>465</v>
      </c>
      <c r="BZ6" s="98" t="s">
        <v>465</v>
      </c>
      <c r="CA6" s="99" t="s">
        <v>465</v>
      </c>
      <c r="CB6" s="97" t="s">
        <v>12</v>
      </c>
      <c r="CC6" s="98" t="s">
        <v>12</v>
      </c>
      <c r="CD6" s="98" t="s">
        <v>12</v>
      </c>
      <c r="CE6" s="98" t="s">
        <v>12</v>
      </c>
      <c r="CF6" s="98" t="s">
        <v>12</v>
      </c>
      <c r="CG6" s="98" t="s">
        <v>12</v>
      </c>
      <c r="CH6" s="98" t="s">
        <v>12</v>
      </c>
      <c r="CI6" s="98" t="s">
        <v>12</v>
      </c>
      <c r="CJ6" s="98" t="s">
        <v>12</v>
      </c>
      <c r="CK6" s="98" t="s">
        <v>12</v>
      </c>
      <c r="CL6" s="98" t="s">
        <v>12</v>
      </c>
      <c r="CM6" s="99" t="s">
        <v>12</v>
      </c>
      <c r="CN6" s="97" t="s">
        <v>13</v>
      </c>
      <c r="CO6" s="98" t="s">
        <v>13</v>
      </c>
      <c r="CP6" s="98" t="s">
        <v>13</v>
      </c>
      <c r="CQ6" s="98" t="s">
        <v>13</v>
      </c>
      <c r="CR6" s="98" t="s">
        <v>13</v>
      </c>
      <c r="CS6" s="98" t="s">
        <v>13</v>
      </c>
      <c r="CT6" s="98" t="s">
        <v>13</v>
      </c>
      <c r="CU6" s="98" t="s">
        <v>13</v>
      </c>
      <c r="CV6" s="98" t="s">
        <v>13</v>
      </c>
      <c r="CW6" s="98" t="s">
        <v>13</v>
      </c>
      <c r="CX6" s="98" t="s">
        <v>13</v>
      </c>
      <c r="CY6" s="99" t="s">
        <v>13</v>
      </c>
    </row>
    <row r="7" spans="1:103" ht="30" customHeight="1" x14ac:dyDescent="0.25">
      <c r="A7" s="96" t="s">
        <v>14</v>
      </c>
      <c r="B7" s="101" t="s">
        <v>15</v>
      </c>
      <c r="C7" s="102" t="s">
        <v>16</v>
      </c>
      <c r="D7" s="102" t="s">
        <v>17</v>
      </c>
      <c r="E7" s="102" t="s">
        <v>18</v>
      </c>
      <c r="F7" s="103" t="s">
        <v>19</v>
      </c>
      <c r="G7" s="102" t="s">
        <v>20</v>
      </c>
      <c r="H7" s="102" t="s">
        <v>21</v>
      </c>
      <c r="I7" s="104" t="s">
        <v>430</v>
      </c>
      <c r="J7" s="104" t="s">
        <v>360</v>
      </c>
      <c r="K7" s="104" t="s">
        <v>353</v>
      </c>
      <c r="L7" s="104" t="s">
        <v>15</v>
      </c>
      <c r="M7" s="105" t="s">
        <v>390</v>
      </c>
      <c r="N7" s="101" t="s">
        <v>15</v>
      </c>
      <c r="O7" s="102" t="s">
        <v>16</v>
      </c>
      <c r="P7" s="102" t="s">
        <v>17</v>
      </c>
      <c r="Q7" s="102" t="s">
        <v>18</v>
      </c>
      <c r="R7" s="103" t="s">
        <v>19</v>
      </c>
      <c r="S7" s="102" t="s">
        <v>20</v>
      </c>
      <c r="T7" s="102" t="s">
        <v>21</v>
      </c>
      <c r="U7" s="104" t="s">
        <v>430</v>
      </c>
      <c r="V7" s="104" t="s">
        <v>360</v>
      </c>
      <c r="W7" s="104" t="s">
        <v>353</v>
      </c>
      <c r="X7" s="104" t="s">
        <v>15</v>
      </c>
      <c r="Y7" s="105" t="s">
        <v>390</v>
      </c>
      <c r="Z7" s="101" t="s">
        <v>15</v>
      </c>
      <c r="AA7" s="102" t="s">
        <v>16</v>
      </c>
      <c r="AB7" s="220" t="s">
        <v>39</v>
      </c>
      <c r="AC7" s="102" t="s">
        <v>20</v>
      </c>
      <c r="AD7" s="102" t="s">
        <v>21</v>
      </c>
      <c r="AE7" s="104" t="s">
        <v>430</v>
      </c>
      <c r="AF7" s="104" t="s">
        <v>360</v>
      </c>
      <c r="AG7" s="104" t="s">
        <v>353</v>
      </c>
      <c r="AH7" s="104" t="s">
        <v>15</v>
      </c>
      <c r="AI7" s="105" t="s">
        <v>390</v>
      </c>
      <c r="AJ7" s="101" t="s">
        <v>15</v>
      </c>
      <c r="AK7" s="102" t="s">
        <v>16</v>
      </c>
      <c r="AL7" s="102" t="s">
        <v>17</v>
      </c>
      <c r="AM7" s="102" t="s">
        <v>18</v>
      </c>
      <c r="AN7" s="103" t="s">
        <v>19</v>
      </c>
      <c r="AO7" s="102" t="s">
        <v>20</v>
      </c>
      <c r="AP7" s="102" t="s">
        <v>21</v>
      </c>
      <c r="AQ7" s="104" t="s">
        <v>430</v>
      </c>
      <c r="AR7" s="104" t="s">
        <v>360</v>
      </c>
      <c r="AS7" s="104" t="s">
        <v>353</v>
      </c>
      <c r="AT7" s="104" t="s">
        <v>15</v>
      </c>
      <c r="AU7" s="105" t="s">
        <v>390</v>
      </c>
      <c r="AV7" s="101" t="s">
        <v>15</v>
      </c>
      <c r="AW7" s="102" t="s">
        <v>16</v>
      </c>
      <c r="AX7" s="102" t="s">
        <v>17</v>
      </c>
      <c r="AY7" s="102" t="s">
        <v>18</v>
      </c>
      <c r="AZ7" s="103" t="s">
        <v>19</v>
      </c>
      <c r="BA7" s="102" t="s">
        <v>20</v>
      </c>
      <c r="BB7" s="102" t="s">
        <v>21</v>
      </c>
      <c r="BC7" s="104" t="s">
        <v>430</v>
      </c>
      <c r="BD7" s="104" t="s">
        <v>360</v>
      </c>
      <c r="BE7" s="104" t="s">
        <v>353</v>
      </c>
      <c r="BF7" s="104" t="s">
        <v>15</v>
      </c>
      <c r="BG7" s="105" t="s">
        <v>390</v>
      </c>
      <c r="BH7" s="101" t="s">
        <v>15</v>
      </c>
      <c r="BI7" s="102" t="s">
        <v>16</v>
      </c>
      <c r="BJ7" s="102" t="s">
        <v>22</v>
      </c>
      <c r="BK7" s="102" t="s">
        <v>20</v>
      </c>
      <c r="BL7" s="102" t="s">
        <v>21</v>
      </c>
      <c r="BM7" s="104" t="s">
        <v>430</v>
      </c>
      <c r="BN7" s="104" t="s">
        <v>360</v>
      </c>
      <c r="BO7" s="104" t="s">
        <v>353</v>
      </c>
      <c r="BP7" s="104" t="s">
        <v>15</v>
      </c>
      <c r="BQ7" s="105" t="s">
        <v>390</v>
      </c>
      <c r="BR7" s="101" t="s">
        <v>15</v>
      </c>
      <c r="BS7" s="102" t="s">
        <v>16</v>
      </c>
      <c r="BT7" s="102" t="s">
        <v>941</v>
      </c>
      <c r="BU7" s="102" t="s">
        <v>20</v>
      </c>
      <c r="BV7" s="102" t="s">
        <v>21</v>
      </c>
      <c r="BW7" s="104" t="s">
        <v>430</v>
      </c>
      <c r="BX7" s="104" t="s">
        <v>360</v>
      </c>
      <c r="BY7" s="104" t="s">
        <v>353</v>
      </c>
      <c r="BZ7" s="104" t="s">
        <v>15</v>
      </c>
      <c r="CA7" s="105" t="s">
        <v>390</v>
      </c>
      <c r="CB7" s="101" t="s">
        <v>15</v>
      </c>
      <c r="CC7" s="102" t="s">
        <v>16</v>
      </c>
      <c r="CD7" s="102" t="s">
        <v>17</v>
      </c>
      <c r="CE7" s="102" t="s">
        <v>18</v>
      </c>
      <c r="CF7" s="103" t="s">
        <v>19</v>
      </c>
      <c r="CG7" s="102" t="s">
        <v>20</v>
      </c>
      <c r="CH7" s="102" t="s">
        <v>21</v>
      </c>
      <c r="CI7" s="104" t="s">
        <v>430</v>
      </c>
      <c r="CJ7" s="104" t="s">
        <v>360</v>
      </c>
      <c r="CK7" s="104" t="s">
        <v>353</v>
      </c>
      <c r="CL7" s="104" t="s">
        <v>15</v>
      </c>
      <c r="CM7" s="105" t="s">
        <v>390</v>
      </c>
      <c r="CN7" s="101" t="s">
        <v>15</v>
      </c>
      <c r="CO7" s="102" t="s">
        <v>16</v>
      </c>
      <c r="CP7" s="102" t="s">
        <v>17</v>
      </c>
      <c r="CQ7" s="102" t="s">
        <v>18</v>
      </c>
      <c r="CR7" s="103" t="s">
        <v>19</v>
      </c>
      <c r="CS7" s="102" t="s">
        <v>20</v>
      </c>
      <c r="CT7" s="102" t="s">
        <v>21</v>
      </c>
      <c r="CU7" s="104" t="s">
        <v>430</v>
      </c>
      <c r="CV7" s="104" t="s">
        <v>360</v>
      </c>
      <c r="CW7" s="104" t="s">
        <v>353</v>
      </c>
      <c r="CX7" s="104" t="s">
        <v>15</v>
      </c>
      <c r="CY7" s="106" t="s">
        <v>390</v>
      </c>
    </row>
    <row r="8" spans="1:103" ht="15.75" customHeight="1" x14ac:dyDescent="0.25">
      <c r="A8" s="107" t="s">
        <v>23</v>
      </c>
      <c r="B8" s="108">
        <f t="shared" ref="B8:AI8" si="0">SUMIF($A$11:$A$122,"&lt;="&amp;$A$1,B$11:B$122)</f>
        <v>0</v>
      </c>
      <c r="C8" s="109">
        <f t="shared" ca="1" si="0"/>
        <v>0</v>
      </c>
      <c r="D8" s="109">
        <f t="shared" ca="1" si="0"/>
        <v>0</v>
      </c>
      <c r="E8" s="109">
        <f t="shared" ca="1" si="0"/>
        <v>0</v>
      </c>
      <c r="F8" s="110">
        <f t="shared" si="0"/>
        <v>5349648.32</v>
      </c>
      <c r="G8" s="109">
        <f t="shared" ca="1" si="0"/>
        <v>0</v>
      </c>
      <c r="H8" s="109">
        <f>SUMIF($A$11:$A$122,"&lt;="&amp;$A$1,H$11:H$122)</f>
        <v>0</v>
      </c>
      <c r="I8" s="109">
        <f t="shared" ca="1" si="0"/>
        <v>0</v>
      </c>
      <c r="J8" s="109">
        <f t="shared" ca="1" si="0"/>
        <v>0</v>
      </c>
      <c r="K8" s="109">
        <f t="shared" ca="1" si="0"/>
        <v>0</v>
      </c>
      <c r="L8" s="109">
        <f t="shared" ca="1" si="0"/>
        <v>0</v>
      </c>
      <c r="M8" s="110">
        <f t="shared" ca="1" si="0"/>
        <v>0</v>
      </c>
      <c r="N8" s="108">
        <f t="shared" si="0"/>
        <v>0</v>
      </c>
      <c r="O8" s="109">
        <f t="shared" ca="1" si="0"/>
        <v>0</v>
      </c>
      <c r="P8" s="109">
        <f t="shared" ca="1" si="0"/>
        <v>0</v>
      </c>
      <c r="Q8" s="109">
        <f t="shared" ca="1" si="0"/>
        <v>0</v>
      </c>
      <c r="R8" s="110">
        <f t="shared" si="0"/>
        <v>5133141.9800000004</v>
      </c>
      <c r="S8" s="109">
        <f t="shared" ca="1" si="0"/>
        <v>0</v>
      </c>
      <c r="T8" s="109">
        <f>SUMIF($A$11:$A$122,"&lt;="&amp;$A$1,T$11:T$122)</f>
        <v>0</v>
      </c>
      <c r="U8" s="109">
        <f t="shared" ca="1" si="0"/>
        <v>0</v>
      </c>
      <c r="V8" s="109">
        <f t="shared" ca="1" si="0"/>
        <v>0</v>
      </c>
      <c r="W8" s="109">
        <f t="shared" ca="1" si="0"/>
        <v>0</v>
      </c>
      <c r="X8" s="109">
        <f t="shared" ca="1" si="0"/>
        <v>0</v>
      </c>
      <c r="Y8" s="110">
        <f t="shared" ca="1" si="0"/>
        <v>0</v>
      </c>
      <c r="Z8" s="108">
        <f t="shared" si="0"/>
        <v>0</v>
      </c>
      <c r="AA8" s="109">
        <f t="shared" ca="1" si="0"/>
        <v>0</v>
      </c>
      <c r="AB8" s="111">
        <f t="shared" ca="1" si="0"/>
        <v>0</v>
      </c>
      <c r="AC8" s="109">
        <f t="shared" ca="1" si="0"/>
        <v>0</v>
      </c>
      <c r="AD8" s="109">
        <f t="shared" si="0"/>
        <v>0</v>
      </c>
      <c r="AE8" s="109">
        <f t="shared" ca="1" si="0"/>
        <v>0</v>
      </c>
      <c r="AF8" s="109">
        <f t="shared" ca="1" si="0"/>
        <v>0</v>
      </c>
      <c r="AG8" s="109">
        <f t="shared" ca="1" si="0"/>
        <v>0</v>
      </c>
      <c r="AH8" s="109">
        <f t="shared" ca="1" si="0"/>
        <v>0</v>
      </c>
      <c r="AI8" s="110">
        <f t="shared" ca="1" si="0"/>
        <v>0</v>
      </c>
      <c r="AJ8" s="108">
        <f>SUMIF($A$11:$A$122,"&lt;="&amp;$A$1,AJ$11:AJ$122)</f>
        <v>0</v>
      </c>
      <c r="AK8" s="109">
        <f ca="1">SUMIF($A$11:$A$122,"&lt;="&amp;$A$1,AK$11:AK$122)</f>
        <v>0</v>
      </c>
      <c r="AL8" s="109">
        <f ca="1">SUMIF($A$11:$A$122,"&lt;="&amp;$A$1,AL$11:AL$122)</f>
        <v>0</v>
      </c>
      <c r="AM8" s="109">
        <f ca="1">SUMIF($A$11:$A$122,"&lt;="&amp;$A$1,AM$11:AM$122)</f>
        <v>0</v>
      </c>
      <c r="AN8" s="110">
        <f t="shared" ref="AN8:CY8" si="1">SUMIF($A$11:$A$122,"&lt;="&amp;$A$1,AN$11:AN$122)</f>
        <v>3523204.19</v>
      </c>
      <c r="AO8" s="109">
        <f t="shared" ca="1" si="1"/>
        <v>0</v>
      </c>
      <c r="AP8" s="109">
        <f t="shared" si="1"/>
        <v>0</v>
      </c>
      <c r="AQ8" s="109">
        <f t="shared" ca="1" si="1"/>
        <v>0</v>
      </c>
      <c r="AR8" s="109">
        <f t="shared" ca="1" si="1"/>
        <v>0</v>
      </c>
      <c r="AS8" s="109">
        <f t="shared" ca="1" si="1"/>
        <v>0</v>
      </c>
      <c r="AT8" s="109">
        <f t="shared" ca="1" si="1"/>
        <v>0</v>
      </c>
      <c r="AU8" s="110">
        <f t="shared" ca="1" si="1"/>
        <v>0</v>
      </c>
      <c r="AV8" s="108">
        <f t="shared" si="1"/>
        <v>0</v>
      </c>
      <c r="AW8" s="109">
        <f t="shared" ca="1" si="1"/>
        <v>0</v>
      </c>
      <c r="AX8" s="109">
        <f ca="1">SUMIF($A$11:$A$122,"&lt;="&amp;$A$1,AX$11:AX$122)</f>
        <v>0</v>
      </c>
      <c r="AY8" s="109">
        <f ca="1">SUMIF($A$11:$A$122,"&lt;="&amp;$A$1,AY$11:AY$122)</f>
        <v>0</v>
      </c>
      <c r="AZ8" s="110">
        <f t="shared" si="1"/>
        <v>4209441.97</v>
      </c>
      <c r="BA8" s="109">
        <f ca="1">SUMIF($A$11:$A$122,"&lt;="&amp;$A$1,BA$11:BA$122)</f>
        <v>0</v>
      </c>
      <c r="BB8" s="109">
        <f t="shared" si="1"/>
        <v>0</v>
      </c>
      <c r="BC8" s="109">
        <f t="shared" ca="1" si="1"/>
        <v>0</v>
      </c>
      <c r="BD8" s="109">
        <f t="shared" ca="1" si="1"/>
        <v>0</v>
      </c>
      <c r="BE8" s="109">
        <f t="shared" ca="1" si="1"/>
        <v>0</v>
      </c>
      <c r="BF8" s="109">
        <f t="shared" ca="1" si="1"/>
        <v>0</v>
      </c>
      <c r="BG8" s="110">
        <f t="shared" ca="1" si="1"/>
        <v>0</v>
      </c>
      <c r="BH8" s="108">
        <f t="shared" si="1"/>
        <v>0</v>
      </c>
      <c r="BI8" s="109">
        <f t="shared" ca="1" si="1"/>
        <v>0</v>
      </c>
      <c r="BJ8" s="111">
        <f t="shared" ca="1" si="1"/>
        <v>8168137.9200000027</v>
      </c>
      <c r="BK8" s="109">
        <f t="shared" ca="1" si="1"/>
        <v>0</v>
      </c>
      <c r="BL8" s="109">
        <f t="shared" si="1"/>
        <v>0</v>
      </c>
      <c r="BM8" s="109">
        <f t="shared" ca="1" si="1"/>
        <v>0</v>
      </c>
      <c r="BN8" s="109">
        <f t="shared" ca="1" si="1"/>
        <v>0</v>
      </c>
      <c r="BO8" s="109">
        <f t="shared" ca="1" si="1"/>
        <v>0</v>
      </c>
      <c r="BP8" s="109">
        <f t="shared" ca="1" si="1"/>
        <v>0</v>
      </c>
      <c r="BQ8" s="110">
        <f t="shared" ca="1" si="1"/>
        <v>0</v>
      </c>
      <c r="BR8" s="108">
        <f t="shared" si="1"/>
        <v>0</v>
      </c>
      <c r="BS8" s="109">
        <f t="shared" ca="1" si="1"/>
        <v>0</v>
      </c>
      <c r="BT8" s="111">
        <f t="shared" ca="1" si="1"/>
        <v>0</v>
      </c>
      <c r="BU8" s="109">
        <f t="shared" ca="1" si="1"/>
        <v>0</v>
      </c>
      <c r="BV8" s="109">
        <f t="shared" si="1"/>
        <v>0</v>
      </c>
      <c r="BW8" s="109">
        <f t="shared" ca="1" si="1"/>
        <v>0</v>
      </c>
      <c r="BX8" s="109">
        <f t="shared" ca="1" si="1"/>
        <v>0</v>
      </c>
      <c r="BY8" s="109">
        <f t="shared" ca="1" si="1"/>
        <v>0</v>
      </c>
      <c r="BZ8" s="109">
        <f t="shared" ca="1" si="1"/>
        <v>0</v>
      </c>
      <c r="CA8" s="110">
        <f t="shared" ca="1" si="1"/>
        <v>0</v>
      </c>
      <c r="CB8" s="108">
        <f t="shared" si="1"/>
        <v>0</v>
      </c>
      <c r="CC8" s="109">
        <f t="shared" ca="1" si="1"/>
        <v>0</v>
      </c>
      <c r="CD8" s="109">
        <f t="shared" ca="1" si="1"/>
        <v>0</v>
      </c>
      <c r="CE8" s="109">
        <f t="shared" ca="1" si="1"/>
        <v>0</v>
      </c>
      <c r="CF8" s="110">
        <f t="shared" si="1"/>
        <v>5316734.0999999996</v>
      </c>
      <c r="CG8" s="109">
        <f t="shared" ca="1" si="1"/>
        <v>0</v>
      </c>
      <c r="CH8" s="109">
        <f t="shared" si="1"/>
        <v>0</v>
      </c>
      <c r="CI8" s="109">
        <f t="shared" ca="1" si="1"/>
        <v>0</v>
      </c>
      <c r="CJ8" s="109">
        <f t="shared" ca="1" si="1"/>
        <v>0</v>
      </c>
      <c r="CK8" s="109">
        <f t="shared" ca="1" si="1"/>
        <v>0</v>
      </c>
      <c r="CL8" s="109">
        <f t="shared" ca="1" si="1"/>
        <v>0</v>
      </c>
      <c r="CM8" s="110">
        <f t="shared" ca="1" si="1"/>
        <v>0</v>
      </c>
      <c r="CN8" s="108">
        <f t="shared" si="1"/>
        <v>0</v>
      </c>
      <c r="CO8" s="109">
        <f t="shared" ca="1" si="1"/>
        <v>0</v>
      </c>
      <c r="CP8" s="109">
        <f ca="1">SUMIF($A$11:$A$122,"&lt;="&amp;$A$1,CP$11:CP$122)</f>
        <v>0</v>
      </c>
      <c r="CQ8" s="109">
        <f t="shared" ca="1" si="1"/>
        <v>0</v>
      </c>
      <c r="CR8" s="110">
        <f t="shared" si="1"/>
        <v>0</v>
      </c>
      <c r="CS8" s="109">
        <f ca="1">SUMIF($A$11:$A$122,"&lt;="&amp;$A$1,CS$11:CS$122)</f>
        <v>0</v>
      </c>
      <c r="CT8" s="109">
        <f t="shared" si="1"/>
        <v>0</v>
      </c>
      <c r="CU8" s="109">
        <f t="shared" ca="1" si="1"/>
        <v>0</v>
      </c>
      <c r="CV8" s="109">
        <f t="shared" si="1"/>
        <v>0</v>
      </c>
      <c r="CW8" s="109">
        <f t="shared" si="1"/>
        <v>0</v>
      </c>
      <c r="CX8" s="109">
        <f t="shared" si="1"/>
        <v>0</v>
      </c>
      <c r="CY8" s="112">
        <f t="shared" si="1"/>
        <v>0</v>
      </c>
    </row>
    <row r="9" spans="1:103" ht="15.75" customHeight="1" x14ac:dyDescent="0.25">
      <c r="A9" s="107" t="s">
        <v>24</v>
      </c>
      <c r="B9" s="113">
        <f>B$10-B$8</f>
        <v>0</v>
      </c>
      <c r="C9" s="109">
        <f ca="1">SUMIF($A$11:$A$122,"&gt;"&amp;$A$1,C$11:C$122)</f>
        <v>0</v>
      </c>
      <c r="D9" s="114">
        <f ca="1">IFERROR(SUMIF(ecns[empresa], D$6,ecns[repasse.cef.total])
-E$8
-E$9
-D$8,0)</f>
        <v>0</v>
      </c>
      <c r="E9" s="114">
        <v>0</v>
      </c>
      <c r="F9" s="115">
        <f>SUMIF($A$11:$A$122,"&gt;"&amp;$A$1,F$11:F$122)</f>
        <v>0</v>
      </c>
      <c r="G9" s="109">
        <f ca="1">SUMIF($A$11:$A$122,"&gt;"&amp;$A$1,G$11:G$122)</f>
        <v>0</v>
      </c>
      <c r="H9" s="111">
        <f>SUMIF($A$11:$A$122,"&gt;"&amp;$A$1,H$11:H$122)</f>
        <v>0</v>
      </c>
      <c r="I9" s="111">
        <f ca="1">SUMIF($A$11:$A$122,"&gt;"&amp;$A$1,I$11:I$122)</f>
        <v>0</v>
      </c>
      <c r="J9" s="111">
        <f ca="1">SUMIF($A$11:$A$122,"&gt;"&amp;$A$1,J$11:J$122)</f>
        <v>0</v>
      </c>
      <c r="K9" s="111">
        <f t="shared" ref="K9:M9" ca="1" si="2">SUMIF($A$11:$A$122,"&gt;"&amp;$A$1,K$11:K$122)</f>
        <v>0</v>
      </c>
      <c r="L9" s="111">
        <f t="shared" ca="1" si="2"/>
        <v>0</v>
      </c>
      <c r="M9" s="115">
        <f t="shared" ca="1" si="2"/>
        <v>0</v>
      </c>
      <c r="N9" s="113">
        <f>N$10-N$8</f>
        <v>0</v>
      </c>
      <c r="O9" s="109">
        <f ca="1">SUMIF($A$11:$A$122,"&gt;"&amp;$A$1,O$11:O$122)</f>
        <v>0</v>
      </c>
      <c r="P9" s="114">
        <v>0</v>
      </c>
      <c r="Q9" s="114">
        <v>0</v>
      </c>
      <c r="R9" s="115">
        <f>SUMIF($A$11:$A$122,"&gt;"&amp;$A$1,R$11:R$122)</f>
        <v>0</v>
      </c>
      <c r="S9" s="109">
        <f ca="1">SUMIF($A$11:$A$122,"&gt;"&amp;$A$1,S$11:S$122)</f>
        <v>0</v>
      </c>
      <c r="T9" s="111">
        <f>SUMIF($A$11:$A$122,"&gt;"&amp;$A$1,T$11:T$122)</f>
        <v>0</v>
      </c>
      <c r="U9" s="111">
        <f ca="1">SUMIF($A$11:$A$122,"&gt;"&amp;$A$1,U$11:U$122)</f>
        <v>0</v>
      </c>
      <c r="V9" s="111">
        <f ca="1">SUMIF($A$11:$A$122,"&gt;"&amp;$A$1,V$11:V$122)</f>
        <v>0</v>
      </c>
      <c r="W9" s="111">
        <f t="shared" ref="W9:Y9" ca="1" si="3">SUMIF($A$11:$A$122,"&gt;"&amp;$A$1,W$11:W$122)</f>
        <v>0</v>
      </c>
      <c r="X9" s="111">
        <f t="shared" ca="1" si="3"/>
        <v>0</v>
      </c>
      <c r="Y9" s="115">
        <f t="shared" ca="1" si="3"/>
        <v>0</v>
      </c>
      <c r="Z9" s="113" t="e">
        <f>Z$10-Z$8</f>
        <v>#REF!</v>
      </c>
      <c r="AA9" s="109">
        <f t="shared" ref="AA9:AI9" ca="1" si="4">SUMIF($A$11:$A$122,"&gt;"&amp;$A$1,AA$11:AA$122)</f>
        <v>0</v>
      </c>
      <c r="AB9" s="114">
        <f ca="1">SUMIFS(tb_rec_uni[soma.meses],
INDIRECT("tb_rec_uni[natureza]"),"parcela.fin.total.ik",
INDIRECT("tb_rec_uni[empresa]"),AB$6)-AB8</f>
        <v>0</v>
      </c>
      <c r="AC9" s="109">
        <f t="shared" ca="1" si="4"/>
        <v>0</v>
      </c>
      <c r="AD9" s="111">
        <f t="shared" si="4"/>
        <v>0</v>
      </c>
      <c r="AE9" s="111">
        <f t="shared" ca="1" si="4"/>
        <v>0</v>
      </c>
      <c r="AF9" s="111">
        <f t="shared" ca="1" si="4"/>
        <v>0</v>
      </c>
      <c r="AG9" s="111">
        <f t="shared" ca="1" si="4"/>
        <v>0</v>
      </c>
      <c r="AH9" s="111">
        <f t="shared" ca="1" si="4"/>
        <v>0</v>
      </c>
      <c r="AI9" s="115">
        <f t="shared" ca="1" si="4"/>
        <v>0</v>
      </c>
      <c r="AJ9" s="113">
        <f>AJ$10-AJ$8</f>
        <v>0</v>
      </c>
      <c r="AK9" s="109">
        <f ca="1">SUMIF($A$11:$A$122,"&gt;"&amp;$A$1,AK$11:AK$122)</f>
        <v>0</v>
      </c>
      <c r="AL9" s="114">
        <f ca="1">IFERROR(SUMIF(ecns[empresa], AL$6,ecns[repasse.cef.total])
-AM$8
-AM$9
-AL$8,0)</f>
        <v>0</v>
      </c>
      <c r="AM9" s="114">
        <v>0</v>
      </c>
      <c r="AN9" s="115">
        <f>SUMIF($A$11:$A$122,"&gt;"&amp;$A$1,AN$11:AN$122)</f>
        <v>0</v>
      </c>
      <c r="AO9" s="109">
        <f ca="1">SUMIF($A$11:$A$122,"&gt;"&amp;$A$1,AO$11:AO$122)</f>
        <v>0</v>
      </c>
      <c r="AP9" s="111">
        <f>SUMIF($A$11:$A$122,"&gt;"&amp;$A$1,AP$11:AP$122)</f>
        <v>0</v>
      </c>
      <c r="AQ9" s="111">
        <f ca="1">SUMIF($A$11:$A$122,"&gt;"&amp;$A$1,AQ$11:AQ$122)</f>
        <v>0</v>
      </c>
      <c r="AR9" s="111">
        <f ca="1">SUMIF($A$11:$A$122,"&gt;"&amp;$A$1,AR$11:AR$122)</f>
        <v>0</v>
      </c>
      <c r="AS9" s="111">
        <f t="shared" ref="AS9:AU9" ca="1" si="5">SUMIF($A$11:$A$122,"&gt;"&amp;$A$1,AS$11:AS$122)</f>
        <v>0</v>
      </c>
      <c r="AT9" s="111">
        <f t="shared" ca="1" si="5"/>
        <v>0</v>
      </c>
      <c r="AU9" s="115">
        <f t="shared" ca="1" si="5"/>
        <v>0</v>
      </c>
      <c r="AV9" s="113">
        <f>AV$10-AV$8</f>
        <v>0</v>
      </c>
      <c r="AW9" s="109">
        <f ca="1">SUMIF($A$11:$A$122,"&gt;"&amp;$A$1,AW$11:AW$122)</f>
        <v>0</v>
      </c>
      <c r="AX9" s="114">
        <f ca="1">IFERROR(SUMIF(ecns[empresa], AX$6,ecns[repasse.cef.total])
-AY$8
-AY$9
-AX$8,0)</f>
        <v>0</v>
      </c>
      <c r="AY9" s="114">
        <v>0</v>
      </c>
      <c r="AZ9" s="115">
        <f>SUMIF($A$11:$A$122,"&gt;"&amp;$A$1,AZ$11:AZ$122)</f>
        <v>0</v>
      </c>
      <c r="BA9" s="109">
        <f ca="1">SUMIF($A$11:$A$122,"&gt;"&amp;$A$1,BA$11:BA$122)</f>
        <v>0</v>
      </c>
      <c r="BB9" s="111">
        <f>SUMIF($A$11:$A$122,"&gt;"&amp;$A$1,BB$11:BB$122)</f>
        <v>0</v>
      </c>
      <c r="BC9" s="111">
        <f ca="1">SUMIF($A$11:$A$122,"&gt;"&amp;$A$1,BC$11:BC$122)</f>
        <v>0</v>
      </c>
      <c r="BD9" s="111">
        <f ca="1">SUMIF($A$11:$A$122,"&gt;"&amp;$A$1,BD$11:BD$122)</f>
        <v>0</v>
      </c>
      <c r="BE9" s="111">
        <f t="shared" ref="BE9:BG9" ca="1" si="6">SUMIF($A$11:$A$122,"&gt;"&amp;$A$1,BE$11:BE$122)</f>
        <v>0</v>
      </c>
      <c r="BF9" s="111">
        <f t="shared" ca="1" si="6"/>
        <v>0</v>
      </c>
      <c r="BG9" s="115">
        <f t="shared" ca="1" si="6"/>
        <v>0</v>
      </c>
      <c r="BH9" s="113">
        <f>BH$10-BH$8</f>
        <v>0</v>
      </c>
      <c r="BI9" s="109">
        <f t="shared" ref="BI9:CA9" ca="1" si="7">SUMIF($A$11:$A$122,"&gt;"&amp;$A$1,BI$11:BI$122)</f>
        <v>0</v>
      </c>
      <c r="BJ9" s="114">
        <f ca="1">SUMIFS(tb_rec_uni[soma.meses],
INDIRECT("tb_rec_uni[natureza]"),"parcela.fin.total.ik",
INDIRECT("tb_rec_uni[empresa]"),BJ$6)-BJ8</f>
        <v>-8168137.9200000027</v>
      </c>
      <c r="BK9" s="109">
        <f t="shared" ca="1" si="7"/>
        <v>0</v>
      </c>
      <c r="BL9" s="111">
        <f t="shared" si="7"/>
        <v>0</v>
      </c>
      <c r="BM9" s="111">
        <f t="shared" ca="1" si="7"/>
        <v>0</v>
      </c>
      <c r="BN9" s="111">
        <f t="shared" ca="1" si="7"/>
        <v>0</v>
      </c>
      <c r="BO9" s="111">
        <f t="shared" ca="1" si="7"/>
        <v>0</v>
      </c>
      <c r="BP9" s="111">
        <f t="shared" ca="1" si="7"/>
        <v>0</v>
      </c>
      <c r="BQ9" s="115">
        <f t="shared" ca="1" si="7"/>
        <v>0</v>
      </c>
      <c r="BR9" s="113">
        <f>BR$10-BR$8</f>
        <v>0</v>
      </c>
      <c r="BS9" s="109">
        <f t="shared" ca="1" si="7"/>
        <v>0</v>
      </c>
      <c r="BT9" s="114">
        <f ca="1">SUMIFS(tb_rec_uni[soma.meses],
INDIRECT("tb_rec_uni[natureza]"),"parcela.fin.total.ik",
INDIRECT("tb_rec_uni[empresa]"),BT$6)-BT8</f>
        <v>0</v>
      </c>
      <c r="BU9" s="109">
        <f t="shared" ca="1" si="7"/>
        <v>0</v>
      </c>
      <c r="BV9" s="111">
        <f t="shared" si="7"/>
        <v>0</v>
      </c>
      <c r="BW9" s="111">
        <f t="shared" ca="1" si="7"/>
        <v>0</v>
      </c>
      <c r="BX9" s="111">
        <f t="shared" ca="1" si="7"/>
        <v>0</v>
      </c>
      <c r="BY9" s="111">
        <f t="shared" ca="1" si="7"/>
        <v>0</v>
      </c>
      <c r="BZ9" s="111">
        <f t="shared" ca="1" si="7"/>
        <v>0</v>
      </c>
      <c r="CA9" s="115">
        <f t="shared" ca="1" si="7"/>
        <v>0</v>
      </c>
      <c r="CB9" s="113">
        <f>CB$10-CB$8</f>
        <v>0</v>
      </c>
      <c r="CC9" s="109">
        <f ca="1">SUMIF($A$11:$A$122,"&gt;"&amp;$A$1,CC$11:CC$122)</f>
        <v>0</v>
      </c>
      <c r="CD9" s="114">
        <f ca="1">IFERROR(SUMIF(ecns[empresa], CD$6,ecns[repasse.cef.total])
-CE$8
-CE$9
-CD$8,0)</f>
        <v>0</v>
      </c>
      <c r="CE9" s="114">
        <v>0</v>
      </c>
      <c r="CF9" s="115">
        <f>SUMIF($A$11:$A$122,"&gt;"&amp;$A$1,CF$11:CF$122)</f>
        <v>0</v>
      </c>
      <c r="CG9" s="109">
        <f ca="1">SUMIF($A$11:$A$122,"&gt;"&amp;$A$1,CG$11:CG$122)</f>
        <v>0</v>
      </c>
      <c r="CH9" s="111">
        <f>SUMIF($A$11:$A$122,"&gt;"&amp;$A$1,CH$11:CH$122)</f>
        <v>0</v>
      </c>
      <c r="CI9" s="111">
        <f ca="1">SUMIF($A$11:$A$122,"&gt;"&amp;$A$1,CI$11:CI$122)</f>
        <v>0</v>
      </c>
      <c r="CJ9" s="111">
        <f ca="1">SUMIF($A$11:$A$122,"&gt;"&amp;$A$1,CJ$11:CJ$122)</f>
        <v>0</v>
      </c>
      <c r="CK9" s="111">
        <f t="shared" ref="CK9:CM9" ca="1" si="8">SUMIF($A$11:$A$122,"&gt;"&amp;$A$1,CK$11:CK$122)</f>
        <v>0</v>
      </c>
      <c r="CL9" s="111">
        <f t="shared" ca="1" si="8"/>
        <v>0</v>
      </c>
      <c r="CM9" s="115">
        <f t="shared" ca="1" si="8"/>
        <v>0</v>
      </c>
      <c r="CN9" s="113">
        <f>CN$10-CN$8</f>
        <v>0</v>
      </c>
      <c r="CO9" s="109">
        <f ca="1">SUMIF($A$11:$A$122,"&gt;"&amp;$A$1,CO$11:CO$122)</f>
        <v>0</v>
      </c>
      <c r="CP9" s="114">
        <f ca="1">IFERROR(SUMIF(ecns[empresa], CP$6,ecns[repasse.cef.total])
-CQ$8
-CQ$9
-CP$8,0)</f>
        <v>0</v>
      </c>
      <c r="CQ9" s="114">
        <v>0</v>
      </c>
      <c r="CR9" s="115">
        <f>SUMIF($A$11:$A$122,"&gt;"&amp;$A$1,CR$11:CR$122)</f>
        <v>0</v>
      </c>
      <c r="CS9" s="109">
        <f ca="1">SUMIF($A$11:$A$122,"&gt;"&amp;$A$1,CS$11:CS$122)</f>
        <v>0</v>
      </c>
      <c r="CT9" s="111">
        <f>SUMIF($A$11:$A$122,"&gt;"&amp;$A$1,CT$11:CT$122)</f>
        <v>0</v>
      </c>
      <c r="CU9" s="111">
        <f ca="1">SUMIF($A$11:$A$122,"&gt;"&amp;$A$1,CU$11:CU$122)</f>
        <v>0</v>
      </c>
      <c r="CV9" s="111">
        <f>SUMIF($A$11:$A$122,"&gt;"&amp;$A$1,CV$11:CV$122)</f>
        <v>0</v>
      </c>
      <c r="CW9" s="111">
        <f t="shared" ref="CW9:CY9" si="9">SUMIF($A$11:$A$122,"&gt;"&amp;$A$1,CW$11:CW$122)</f>
        <v>0</v>
      </c>
      <c r="CX9" s="111">
        <f t="shared" si="9"/>
        <v>0</v>
      </c>
      <c r="CY9" s="116">
        <f t="shared" si="9"/>
        <v>0</v>
      </c>
    </row>
    <row r="10" spans="1:103" ht="15.75" customHeight="1" x14ac:dyDescent="0.25">
      <c r="A10" s="117" t="s">
        <v>25</v>
      </c>
      <c r="B10" s="113">
        <f>status.unis!I4</f>
        <v>0</v>
      </c>
      <c r="C10" s="118">
        <f t="shared" ref="C10:I10" ca="1" si="10">SUM(C8:C9)</f>
        <v>0</v>
      </c>
      <c r="D10" s="118">
        <f t="shared" ca="1" si="10"/>
        <v>0</v>
      </c>
      <c r="E10" s="118">
        <f t="shared" ca="1" si="10"/>
        <v>0</v>
      </c>
      <c r="F10" s="119">
        <f t="shared" si="10"/>
        <v>5349648.32</v>
      </c>
      <c r="G10" s="118">
        <f t="shared" ca="1" si="10"/>
        <v>0</v>
      </c>
      <c r="H10" s="118">
        <f t="shared" si="10"/>
        <v>0</v>
      </c>
      <c r="I10" s="118">
        <f t="shared" ca="1" si="10"/>
        <v>0</v>
      </c>
      <c r="J10" s="118">
        <f t="shared" ref="J10:M10" ca="1" si="11">SUM(J8:J9)</f>
        <v>0</v>
      </c>
      <c r="K10" s="118">
        <f t="shared" ca="1" si="11"/>
        <v>0</v>
      </c>
      <c r="L10" s="118">
        <f t="shared" ca="1" si="11"/>
        <v>0</v>
      </c>
      <c r="M10" s="119">
        <f t="shared" ca="1" si="11"/>
        <v>0</v>
      </c>
      <c r="N10" s="113">
        <f>status.unis!I8</f>
        <v>0</v>
      </c>
      <c r="O10" s="118">
        <f t="shared" ref="O10:Y10" ca="1" si="12">SUM(O8:O9)</f>
        <v>0</v>
      </c>
      <c r="P10" s="118">
        <f t="shared" ca="1" si="12"/>
        <v>0</v>
      </c>
      <c r="Q10" s="118">
        <f t="shared" ca="1" si="12"/>
        <v>0</v>
      </c>
      <c r="R10" s="119">
        <f t="shared" si="12"/>
        <v>5133141.9800000004</v>
      </c>
      <c r="S10" s="118">
        <f t="shared" ca="1" si="12"/>
        <v>0</v>
      </c>
      <c r="T10" s="118">
        <f t="shared" si="12"/>
        <v>0</v>
      </c>
      <c r="U10" s="118">
        <f t="shared" ca="1" si="12"/>
        <v>0</v>
      </c>
      <c r="V10" s="118">
        <f t="shared" ca="1" si="12"/>
        <v>0</v>
      </c>
      <c r="W10" s="118">
        <f t="shared" ca="1" si="12"/>
        <v>0</v>
      </c>
      <c r="X10" s="118">
        <f t="shared" ca="1" si="12"/>
        <v>0</v>
      </c>
      <c r="Y10" s="119">
        <f t="shared" ca="1" si="12"/>
        <v>0</v>
      </c>
      <c r="Z10" s="113" t="e">
        <f>status.unis!#REF!</f>
        <v>#REF!</v>
      </c>
      <c r="AA10" s="118">
        <f ca="1">SUM(AA8:AA9)</f>
        <v>0</v>
      </c>
      <c r="AB10" s="118">
        <f ca="1">SUM(AB8:AB9)</f>
        <v>0</v>
      </c>
      <c r="AC10" s="118">
        <f ca="1">SUM(AC8:AC9)</f>
        <v>0</v>
      </c>
      <c r="AD10" s="118">
        <f>SUM(AD8:AD9)</f>
        <v>0</v>
      </c>
      <c r="AE10" s="118">
        <f t="shared" ref="AE10:AI10" ca="1" si="13">SUM(AE8:AE9)</f>
        <v>0</v>
      </c>
      <c r="AF10" s="118">
        <f t="shared" ca="1" si="13"/>
        <v>0</v>
      </c>
      <c r="AG10" s="118">
        <f t="shared" ca="1" si="13"/>
        <v>0</v>
      </c>
      <c r="AH10" s="118">
        <f t="shared" ca="1" si="13"/>
        <v>0</v>
      </c>
      <c r="AI10" s="119">
        <f t="shared" ca="1" si="13"/>
        <v>0</v>
      </c>
      <c r="AJ10" s="113">
        <f>status.unis!I16</f>
        <v>0</v>
      </c>
      <c r="AK10" s="118">
        <f t="shared" ref="AK10:AU10" ca="1" si="14">SUM(AK8:AK9)</f>
        <v>0</v>
      </c>
      <c r="AL10" s="118">
        <f t="shared" ca="1" si="14"/>
        <v>0</v>
      </c>
      <c r="AM10" s="118">
        <f t="shared" ca="1" si="14"/>
        <v>0</v>
      </c>
      <c r="AN10" s="119">
        <f t="shared" si="14"/>
        <v>3523204.19</v>
      </c>
      <c r="AO10" s="118">
        <f t="shared" ca="1" si="14"/>
        <v>0</v>
      </c>
      <c r="AP10" s="118">
        <f t="shared" si="14"/>
        <v>0</v>
      </c>
      <c r="AQ10" s="118">
        <f t="shared" ca="1" si="14"/>
        <v>0</v>
      </c>
      <c r="AR10" s="118">
        <f t="shared" ca="1" si="14"/>
        <v>0</v>
      </c>
      <c r="AS10" s="118">
        <f t="shared" ca="1" si="14"/>
        <v>0</v>
      </c>
      <c r="AT10" s="118">
        <f t="shared" ca="1" si="14"/>
        <v>0</v>
      </c>
      <c r="AU10" s="119">
        <f t="shared" ca="1" si="14"/>
        <v>0</v>
      </c>
      <c r="AV10" s="113">
        <f>status.unis!I20</f>
        <v>0</v>
      </c>
      <c r="AW10" s="118">
        <f ca="1">SUM(AW8:AW9)</f>
        <v>0</v>
      </c>
      <c r="AX10" s="118">
        <f t="shared" ref="AX10:AZ10" ca="1" si="15">SUM(AX8:AX9)</f>
        <v>0</v>
      </c>
      <c r="AY10" s="118">
        <f t="shared" ca="1" si="15"/>
        <v>0</v>
      </c>
      <c r="AZ10" s="119">
        <f t="shared" si="15"/>
        <v>4209441.97</v>
      </c>
      <c r="BA10" s="118">
        <f ca="1">SUM(BA8:BA9)</f>
        <v>0</v>
      </c>
      <c r="BB10" s="118">
        <f>SUM(BB8:BB9)</f>
        <v>0</v>
      </c>
      <c r="BC10" s="118">
        <f t="shared" ref="BC10:BG10" ca="1" si="16">SUM(BC8:BC9)</f>
        <v>0</v>
      </c>
      <c r="BD10" s="118">
        <f t="shared" ca="1" si="16"/>
        <v>0</v>
      </c>
      <c r="BE10" s="118">
        <f t="shared" ca="1" si="16"/>
        <v>0</v>
      </c>
      <c r="BF10" s="118">
        <f t="shared" ca="1" si="16"/>
        <v>0</v>
      </c>
      <c r="BG10" s="119">
        <f t="shared" ca="1" si="16"/>
        <v>0</v>
      </c>
      <c r="BH10" s="113">
        <f>status.unis!I24</f>
        <v>0</v>
      </c>
      <c r="BI10" s="118">
        <f ca="1">SUM(BI8:BI9)</f>
        <v>0</v>
      </c>
      <c r="BJ10" s="118">
        <f ca="1">SUM(BJ8:BJ9)</f>
        <v>0</v>
      </c>
      <c r="BK10" s="118">
        <f ca="1">SUM(BK8:BK9)</f>
        <v>0</v>
      </c>
      <c r="BL10" s="118">
        <f>SUM(BL8:BL9)</f>
        <v>0</v>
      </c>
      <c r="BM10" s="118">
        <f t="shared" ref="BM10:BQ10" ca="1" si="17">SUM(BM8:BM9)</f>
        <v>0</v>
      </c>
      <c r="BN10" s="118">
        <f t="shared" ca="1" si="17"/>
        <v>0</v>
      </c>
      <c r="BO10" s="118">
        <f t="shared" ca="1" si="17"/>
        <v>0</v>
      </c>
      <c r="BP10" s="118">
        <f t="shared" ca="1" si="17"/>
        <v>0</v>
      </c>
      <c r="BQ10" s="119">
        <f t="shared" ca="1" si="17"/>
        <v>0</v>
      </c>
      <c r="BR10" s="113">
        <f>status.unis!AG4</f>
        <v>0</v>
      </c>
      <c r="BS10" s="118">
        <f ca="1">SUM(BS8:BS9)</f>
        <v>0</v>
      </c>
      <c r="BT10" s="118">
        <f ca="1">SUM(BT8:BT9)</f>
        <v>0</v>
      </c>
      <c r="BU10" s="118">
        <f ca="1">SUM(BU8:BU9)</f>
        <v>0</v>
      </c>
      <c r="BV10" s="118">
        <f>SUM(BV8:BV9)</f>
        <v>0</v>
      </c>
      <c r="BW10" s="118">
        <f t="shared" ref="BW10:CA10" ca="1" si="18">SUM(BW8:BW9)</f>
        <v>0</v>
      </c>
      <c r="BX10" s="118">
        <f t="shared" ca="1" si="18"/>
        <v>0</v>
      </c>
      <c r="BY10" s="118">
        <f t="shared" ca="1" si="18"/>
        <v>0</v>
      </c>
      <c r="BZ10" s="118">
        <f t="shared" ca="1" si="18"/>
        <v>0</v>
      </c>
      <c r="CA10" s="119">
        <f t="shared" ca="1" si="18"/>
        <v>0</v>
      </c>
      <c r="CB10" s="113">
        <f>status.unis!I32</f>
        <v>0</v>
      </c>
      <c r="CC10" s="118">
        <f t="shared" ref="CC10:CM10" ca="1" si="19">SUM(CC8:CC9)</f>
        <v>0</v>
      </c>
      <c r="CD10" s="118">
        <f t="shared" ca="1" si="19"/>
        <v>0</v>
      </c>
      <c r="CE10" s="118">
        <f t="shared" ca="1" si="19"/>
        <v>0</v>
      </c>
      <c r="CF10" s="119">
        <f t="shared" si="19"/>
        <v>5316734.0999999996</v>
      </c>
      <c r="CG10" s="118">
        <f t="shared" ca="1" si="19"/>
        <v>0</v>
      </c>
      <c r="CH10" s="118">
        <f t="shared" si="19"/>
        <v>0</v>
      </c>
      <c r="CI10" s="118">
        <f t="shared" ca="1" si="19"/>
        <v>0</v>
      </c>
      <c r="CJ10" s="118">
        <f t="shared" ca="1" si="19"/>
        <v>0</v>
      </c>
      <c r="CK10" s="118">
        <f t="shared" ca="1" si="19"/>
        <v>0</v>
      </c>
      <c r="CL10" s="118">
        <f t="shared" ca="1" si="19"/>
        <v>0</v>
      </c>
      <c r="CM10" s="119">
        <f t="shared" ca="1" si="19"/>
        <v>0</v>
      </c>
      <c r="CN10" s="113">
        <f>status.unis!I36</f>
        <v>0</v>
      </c>
      <c r="CO10" s="118">
        <f ca="1">SUM(CO8:CO9)</f>
        <v>0</v>
      </c>
      <c r="CP10" s="118">
        <f t="shared" ref="CP10:CR10" ca="1" si="20">SUM(CP8:CP9)</f>
        <v>0</v>
      </c>
      <c r="CQ10" s="118">
        <f t="shared" ca="1" si="20"/>
        <v>0</v>
      </c>
      <c r="CR10" s="119">
        <f t="shared" si="20"/>
        <v>0</v>
      </c>
      <c r="CS10" s="118">
        <f ca="1">SUM(CS8:CS9)</f>
        <v>0</v>
      </c>
      <c r="CT10" s="118">
        <f>SUM(CT8:CT9)</f>
        <v>0</v>
      </c>
      <c r="CU10" s="118">
        <f t="shared" ref="CU10:CY10" ca="1" si="21">SUM(CU8:CU9)</f>
        <v>0</v>
      </c>
      <c r="CV10" s="118">
        <f t="shared" si="21"/>
        <v>0</v>
      </c>
      <c r="CW10" s="118">
        <f t="shared" si="21"/>
        <v>0</v>
      </c>
      <c r="CX10" s="118">
        <f t="shared" si="21"/>
        <v>0</v>
      </c>
      <c r="CY10" s="120">
        <f t="shared" si="21"/>
        <v>0</v>
      </c>
    </row>
    <row r="11" spans="1:103" x14ac:dyDescent="0.25">
      <c r="A11" s="121">
        <v>44440</v>
      </c>
      <c r="B11" s="122">
        <f>COUNTIFS(
    tb_estq[empresa], B$6,
    tb_estq[Data da venda / reserva], "&gt;=" &amp; $A11,
    tb_estq[Data da venda / reserva], "&lt;"  &amp; EOMONTH($A11,0) + 1
)</f>
        <v>0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11"/>
      <c r="I11" s="123">
        <f ca="1">SUMIFS(
  m.vb[valor],
  m.vb[nucleo],$B$1,
  m.vb[variavel],I$7,
  m.vb[mes],$A11
)</f>
        <v>0</v>
      </c>
      <c r="J11" s="123">
        <f ca="1">SUMIFS(
  m.vb[valor],
  m.vb[nucleo],$B$1,
  m.vb[variavel],J$7,
  m.vb[mes],$A11
)</f>
        <v>0</v>
      </c>
      <c r="K11" s="123">
        <f ca="1">SUMIFS(
  m.vb[valor],
  m.vb[nucleo],$B$1,
  m.vb[variavel],K$7,
  m.vb[mes],$A11
)</f>
        <v>0</v>
      </c>
      <c r="L11" s="123">
        <f ca="1">SUMIFS(
  m.vb[valor],
  m.vb[nucleo],$B$1,
  m.vb[variavel],L$7,
  m.vb[mes],$A11
)</f>
        <v>0</v>
      </c>
      <c r="M11" s="124">
        <f ca="1">SUMIFS(
  m.vb[valor],
  m.vb[nucleo],$B$1,
  m.vb[variavel],M$7,
  m.vb[mes],$A11
)</f>
        <v>0</v>
      </c>
      <c r="N11" s="122">
        <f>COUNTIFS(
    tb_estq[empresa], N$6,
    tb_estq[Data da venda / reserva], "&gt;=" &amp; $A11,
    tb_estq[Data da venda / reserva], "&lt;"  &amp; EOMONTH($A11,0) + 1
)</f>
        <v>0</v>
      </c>
      <c r="O11" s="123">
        <v>0</v>
      </c>
      <c r="P11" s="123">
        <v>0</v>
      </c>
      <c r="Q11" s="123">
        <v>0</v>
      </c>
      <c r="R11" s="123">
        <v>0</v>
      </c>
      <c r="S11" s="123">
        <v>0</v>
      </c>
      <c r="T11" s="111"/>
      <c r="U11" s="123">
        <f ca="1">SUMIFS(
  m.vb[valor],
  m.vb[nucleo],$N$1,
  m.vb[variavel],U$7,
  m.vb[mes],$A11
)</f>
        <v>0</v>
      </c>
      <c r="V11" s="123">
        <f ca="1">SUMIFS(
  m.vb[valor],
  m.vb[nucleo],$N$1,
  m.vb[variavel],V$7,
  m.vb[mes],$A11
)</f>
        <v>0</v>
      </c>
      <c r="W11" s="123">
        <f ca="1">SUMIFS(
  m.vb[valor],
  m.vb[nucleo],$N$1,
  m.vb[variavel],W$7,
  m.vb[mes],$A11
)</f>
        <v>0</v>
      </c>
      <c r="X11" s="123">
        <f ca="1">SUMIFS(
  m.vb[valor],
  m.vb[nucleo],$N$1,
  m.vb[variavel],X$7,
  m.vb[mes],$A11
)</f>
        <v>0</v>
      </c>
      <c r="Y11" s="124">
        <f ca="1">SUMIFS(
  m.vb[valor],
  m.vb[nucleo],$N$1,
  m.vb[variavel],Y$7,
  m.vb[mes],$A11
)</f>
        <v>0</v>
      </c>
      <c r="Z11" s="122">
        <f>COUNTIFS(
    tb_estq[empresa], Z$6,
    tb_estq[Data da venda / reserva], "&gt;=" &amp; $A11,
    tb_estq[Data da venda / reserva], "&lt;"  &amp; EOMONTH($A11,0) + 1
)</f>
        <v>0</v>
      </c>
      <c r="AA11" s="123">
        <v>0</v>
      </c>
      <c r="AB11" s="123">
        <v>0</v>
      </c>
      <c r="AC11" s="123">
        <v>0</v>
      </c>
      <c r="AD11" s="111"/>
      <c r="AE11" s="123">
        <f ca="1">SUMIFS(
  m.vb[valor],
  m.vb[nucleo],$Z$1,
  m.vb[variavel],AE$7,
  m.vb[mes],$A11
)</f>
        <v>0</v>
      </c>
      <c r="AF11" s="123">
        <f ca="1">SUMIFS(
  m.vb[valor],
  m.vb[nucleo],$Z$1,
  m.vb[variavel],AF$7,
  m.vb[mes],$A11
)</f>
        <v>0</v>
      </c>
      <c r="AG11" s="123">
        <f ca="1">SUMIFS(
  m.vb[valor],
  m.vb[nucleo],$Z$1,
  m.vb[variavel],AG$7,
  m.vb[mes],$A11
)</f>
        <v>0</v>
      </c>
      <c r="AH11" s="123">
        <f ca="1">SUMIFS(
  m.vb[valor],
  m.vb[nucleo],$Z$1,
  m.vb[variavel],AH$7,
  m.vb[mes],$A11
)</f>
        <v>0</v>
      </c>
      <c r="AI11" s="124">
        <f ca="1">SUMIFS(
  m.vb[valor],
  m.vb[nucleo],$Z$1,
  m.vb[variavel],AI$7,
  m.vb[mes],$A11
)</f>
        <v>0</v>
      </c>
      <c r="AJ11" s="122">
        <f>COUNTIFS(
    tb_estq[empresa], AJ$6,
    tb_estq[Data da venda / reserva], "&gt;=" &amp; $A11,
    tb_estq[Data da venda / reserva], "&lt;"  &amp; EOMONTH($A11,0) + 1
)</f>
        <v>0</v>
      </c>
      <c r="AK11" s="123">
        <v>0</v>
      </c>
      <c r="AL11" s="123">
        <v>0</v>
      </c>
      <c r="AM11" s="123">
        <v>0</v>
      </c>
      <c r="AN11" s="123">
        <v>0</v>
      </c>
      <c r="AO11" s="123">
        <v>0</v>
      </c>
      <c r="AP11" s="111"/>
      <c r="AQ11" s="123">
        <f ca="1">SUMIFS(
  m.vb[valor],
  m.vb[nucleo],$AJ$1,
  m.vb[variavel],AQ$7,
  m.vb[mes],$A11
)</f>
        <v>0</v>
      </c>
      <c r="AR11" s="123">
        <f ca="1">SUMIFS(
  m.vb[valor],
  m.vb[nucleo],$AJ$1,
  m.vb[variavel],AR$7,
  m.vb[mes],$A11
)</f>
        <v>0</v>
      </c>
      <c r="AS11" s="123">
        <f ca="1">SUMIFS(
  m.vb[valor],
  m.vb[nucleo],$AJ$1,
  m.vb[variavel],AS$7,
  m.vb[mes],$A11
)</f>
        <v>0</v>
      </c>
      <c r="AT11" s="123">
        <f ca="1">SUMIFS(
  m.vb[valor],
  m.vb[nucleo],$AJ$1,
  m.vb[variavel],AT$7,
  m.vb[mes],$A11
)</f>
        <v>0</v>
      </c>
      <c r="AU11" s="124">
        <f ca="1">SUMIFS(
  m.vb[valor],
  m.vb[nucleo],$AJ$1,
  m.vb[variavel],AU$7,
  m.vb[mes],$A11
)</f>
        <v>0</v>
      </c>
      <c r="AV11" s="122">
        <f>COUNTIFS(
    tb_estq[empresa], AV$6,
    tb_estq[Data da venda / reserva], "&gt;=" &amp; $A11,
    tb_estq[Data da venda / reserva], "&lt;"  &amp; EOMONTH($A11,0) + 1
)</f>
        <v>0</v>
      </c>
      <c r="AW11" s="123">
        <v>0</v>
      </c>
      <c r="AX11" s="123">
        <v>0</v>
      </c>
      <c r="AY11" s="123">
        <v>0</v>
      </c>
      <c r="AZ11" s="123">
        <v>0</v>
      </c>
      <c r="BA11" s="123">
        <v>0</v>
      </c>
      <c r="BB11" s="111"/>
      <c r="BC11" s="123">
        <f ca="1">SUMIFS(
  m.vb[valor],
  m.vb[nucleo],$AV$1,
  m.vb[variavel],BC$7,
  m.vb[mes],$A11
)</f>
        <v>0</v>
      </c>
      <c r="BD11" s="123">
        <f ca="1">SUMIFS(
  m.vb[valor],
  m.vb[nucleo],$AV$1,
  m.vb[variavel],BD$7,
  m.vb[mes],$A11
)</f>
        <v>0</v>
      </c>
      <c r="BE11" s="123">
        <f ca="1">SUMIFS(
  m.vb[valor],
  m.vb[nucleo],$AV$1,
  m.vb[variavel],BE$7,
  m.vb[mes],$A11
)</f>
        <v>0</v>
      </c>
      <c r="BF11" s="123">
        <f ca="1">SUMIFS(
  m.vb[valor],
  m.vb[nucleo],$AV$1,
  m.vb[variavel],BF$7,
  m.vb[mes],$A11
)</f>
        <v>0</v>
      </c>
      <c r="BG11" s="124">
        <f ca="1">SUMIFS(
  m.vb[valor],
  m.vb[nucleo],$AV$1,
  m.vb[variavel],BG$7,
  m.vb[mes],$A11
)</f>
        <v>0</v>
      </c>
      <c r="BH11" s="122">
        <f>COUNTIFS(
    tb_estq[empresa], BH$6,
    tb_estq[Data da venda / reserva], "&gt;=" &amp; $A11,
    tb_estq[Data da venda / reserva], "&lt;"  &amp; EOMONTH($A11,0) + 1
)</f>
        <v>0</v>
      </c>
      <c r="BI11" s="123">
        <v>0</v>
      </c>
      <c r="BJ11" s="111">
        <v>0</v>
      </c>
      <c r="BK11" s="123">
        <v>0</v>
      </c>
      <c r="BL11" s="111"/>
      <c r="BM11" s="123">
        <f ca="1">SUMIFS(
  m.vb[valor],
  m.vb[nucleo],$BH$1,
  m.vb[variavel],BM$7,
  m.vb[mes],$A11
)</f>
        <v>0</v>
      </c>
      <c r="BN11" s="123">
        <f ca="1">SUMIFS(
  m.vb[valor],
  m.vb[nucleo],$BH$1,
  m.vb[variavel],BN$7,
  m.vb[mes],$A11
)</f>
        <v>0</v>
      </c>
      <c r="BO11" s="123">
        <f ca="1">SUMIFS(
  m.vb[valor],
  m.vb[nucleo],$BH$1,
  m.vb[variavel],BO$7,
  m.vb[mes],$A11
)</f>
        <v>0</v>
      </c>
      <c r="BP11" s="123">
        <f ca="1">SUMIFS(
  m.vb[valor],
  m.vb[nucleo],$BH$1,
  m.vb[variavel],BP$7,
  m.vb[mes],$A11
)</f>
        <v>0</v>
      </c>
      <c r="BQ11" s="124">
        <f ca="1">SUMIFS(
  m.vb[valor],
  m.vb[nucleo],$BH$1,
  m.vb[variavel],BQ$7,
  m.vb[mes],$A11
)</f>
        <v>0</v>
      </c>
      <c r="BR11" s="122">
        <f>COUNTIFS(
    tb_estq[empresa], BR$6,
    tb_estq[Data da venda / reserva], "&gt;=" &amp; $A11,
    tb_estq[Data da venda / reserva], "&lt;"  &amp; EOMONTH($A11,0) + 1
)</f>
        <v>0</v>
      </c>
      <c r="BS11" s="123">
        <v>0</v>
      </c>
      <c r="BT11" s="123">
        <v>0</v>
      </c>
      <c r="BU11" s="123">
        <v>0</v>
      </c>
      <c r="BV11" s="111"/>
      <c r="BW11" s="123">
        <f ca="1">SUMIFS(
  m.vb[valor],
  m.vb[nucleo],$BR$1,
  m.vb[variavel],BW$7,
  m.vb[mes],$A11
)</f>
        <v>0</v>
      </c>
      <c r="BX11" s="123">
        <f ca="1">SUMIFS(
  m.vb[valor],
  m.vb[nucleo],$BR$1,
  m.vb[variavel],BX$7,
  m.vb[mes],$A11
)</f>
        <v>0</v>
      </c>
      <c r="BY11" s="123">
        <f ca="1">SUMIFS(
  m.vb[valor],
  m.vb[nucleo],$BR$1,
  m.vb[variavel],BY$7,
  m.vb[mes],$A11
)</f>
        <v>0</v>
      </c>
      <c r="BZ11" s="123">
        <f ca="1">SUMIFS(
  m.vb[valor],
  m.vb[nucleo],$BR$1,
  m.vb[variavel],BZ$7,
  m.vb[mes],$A11
)</f>
        <v>0</v>
      </c>
      <c r="CA11" s="124">
        <f ca="1">SUMIFS(
  m.vb[valor],
  m.vb[nucleo],$BR$1,
  m.vb[variavel],CA$7,
  m.vb[mes],$A11
)</f>
        <v>0</v>
      </c>
      <c r="CB11" s="122">
        <f>COUNTIFS(
    tb_estq[empresa], CB$6,
    tb_estq[Data da venda / reserva], "&gt;=" &amp; $A11,
    tb_estq[Data da venda / reserva], "&lt;"  &amp; EOMONTH($A11,0) + 1
)</f>
        <v>0</v>
      </c>
      <c r="CC11" s="123">
        <v>0</v>
      </c>
      <c r="CD11" s="123">
        <v>0</v>
      </c>
      <c r="CE11" s="123">
        <v>0</v>
      </c>
      <c r="CF11" s="123">
        <v>0</v>
      </c>
      <c r="CG11" s="123">
        <v>0</v>
      </c>
      <c r="CH11" s="111"/>
      <c r="CI11" s="123">
        <f ca="1">SUMIFS(
  m.vb[valor],
  m.vb[nucleo],$CB$1,
  m.vb[variavel],CI$7,
  m.vb[mes],$A11
)</f>
        <v>0</v>
      </c>
      <c r="CJ11" s="123">
        <f ca="1">SUMIFS(
  m.vb[valor],
  m.vb[nucleo],$CB$1,
  m.vb[variavel],CJ$7,
  m.vb[mes],$A11
)</f>
        <v>0</v>
      </c>
      <c r="CK11" s="123">
        <f ca="1">SUMIFS(
  m.vb[valor],
  m.vb[nucleo],$CB$1,
  m.vb[variavel],CK$7,
  m.vb[mes],$A11
)</f>
        <v>0</v>
      </c>
      <c r="CL11" s="123">
        <f ca="1">SUMIFS(
  m.vb[valor],
  m.vb[nucleo],$CB$1,
  m.vb[variavel],CL$7,
  m.vb[mes],$A11
)</f>
        <v>0</v>
      </c>
      <c r="CM11" s="124">
        <f ca="1">SUMIFS(
  m.vb[valor],
  m.vb[nucleo],$CB$1,
  m.vb[variavel],CM$7,
  m.vb[mes],$A11
)</f>
        <v>0</v>
      </c>
      <c r="CN11" s="122">
        <f>COUNTIFS(
    tb_estq[empresa], CN$6,
    tb_estq[Data da venda / reserva], "&gt;=" &amp; $A11,
    tb_estq[Data da venda / reserva], "&lt;"  &amp; EOMONTH($A11,0) + 1
)</f>
        <v>0</v>
      </c>
      <c r="CO11" s="123">
        <v>0</v>
      </c>
      <c r="CP11" s="123">
        <v>0</v>
      </c>
      <c r="CQ11" s="123">
        <v>0</v>
      </c>
      <c r="CR11" s="123">
        <v>0</v>
      </c>
      <c r="CS11" s="123">
        <v>0</v>
      </c>
      <c r="CT11" s="111"/>
      <c r="CU11" s="123">
        <f ca="1">SUMIFS(
  m.vb[valor],
  m.vb[nucleo],$CN$1,
  m.vb[variavel],CU$7,
  m.vb[mes],$A11
)</f>
        <v>0</v>
      </c>
      <c r="CV11" s="123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3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3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5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21">
        <v>44470</v>
      </c>
      <c r="B12" s="122">
        <f>COUNTIFS(
    tb_estq[empresa], B$6,
    tb_estq[Data da venda / reserva], "&gt;=" &amp; $A12,
    tb_estq[Data da venda / reserva], "&lt;"  &amp; EOMONTH($A12,0) + 1
)</f>
        <v>0</v>
      </c>
      <c r="C12" s="123">
        <v>0</v>
      </c>
      <c r="D12" s="123">
        <v>0</v>
      </c>
      <c r="E12" s="123">
        <v>0</v>
      </c>
      <c r="F12" s="123">
        <v>0</v>
      </c>
      <c r="G12" s="123">
        <v>0</v>
      </c>
      <c r="H12" s="111"/>
      <c r="I12" s="123">
        <f ca="1">SUMIFS(
  m.vb[valor],
  m.vb[nucleo],$B$1,
  m.vb[variavel],I$7,
  m.vb[mes],$A12
)</f>
        <v>0</v>
      </c>
      <c r="J12" s="123">
        <f ca="1">SUMIFS(
  m.vb[valor],
  m.vb[nucleo],$B$1,
  m.vb[variavel],J$7,
  m.vb[mes],$A12
)</f>
        <v>0</v>
      </c>
      <c r="K12" s="123">
        <f ca="1">SUMIFS(
  m.vb[valor],
  m.vb[nucleo],$B$1,
  m.vb[variavel],K$7,
  m.vb[mes],$A12
)</f>
        <v>0</v>
      </c>
      <c r="L12" s="123">
        <f ca="1">SUMIFS(
  m.vb[valor],
  m.vb[nucleo],$B$1,
  m.vb[variavel],L$7,
  m.vb[mes],$A12
)</f>
        <v>0</v>
      </c>
      <c r="M12" s="124">
        <f ca="1">SUMIFS(
  m.vb[valor],
  m.vb[nucleo],$B$1,
  m.vb[variavel],M$7,
  m.vb[mes],$A12
)</f>
        <v>0</v>
      </c>
      <c r="N12" s="122">
        <f>COUNTIFS(
    tb_estq[empresa], N$6,
    tb_estq[Data da venda / reserva], "&gt;=" &amp; $A12,
    tb_estq[Data da venda / reserva], "&lt;"  &amp; EOMONTH($A12,0) + 1
)</f>
        <v>0</v>
      </c>
      <c r="O12" s="123">
        <v>0</v>
      </c>
      <c r="P12" s="123">
        <v>0</v>
      </c>
      <c r="Q12" s="123">
        <v>0</v>
      </c>
      <c r="R12" s="123">
        <v>0</v>
      </c>
      <c r="S12" s="123">
        <v>0</v>
      </c>
      <c r="T12" s="111"/>
      <c r="U12" s="123">
        <f ca="1">SUMIFS(
  m.vb[valor],
  m.vb[nucleo],$N$1,
  m.vb[variavel],U$7,
  m.vb[mes],$A12
)</f>
        <v>0</v>
      </c>
      <c r="V12" s="123">
        <f ca="1">SUMIFS(
  m.vb[valor],
  m.vb[nucleo],$N$1,
  m.vb[variavel],V$7,
  m.vb[mes],$A12
)</f>
        <v>0</v>
      </c>
      <c r="W12" s="123">
        <f ca="1">SUMIFS(
  m.vb[valor],
  m.vb[nucleo],$N$1,
  m.vb[variavel],W$7,
  m.vb[mes],$A12
)</f>
        <v>0</v>
      </c>
      <c r="X12" s="123">
        <f ca="1">SUMIFS(
  m.vb[valor],
  m.vb[nucleo],$N$1,
  m.vb[variavel],X$7,
  m.vb[mes],$A12
)</f>
        <v>0</v>
      </c>
      <c r="Y12" s="124">
        <f ca="1">SUMIFS(
  m.vb[valor],
  m.vb[nucleo],$N$1,
  m.vb[variavel],Y$7,
  m.vb[mes],$A12
)</f>
        <v>0</v>
      </c>
      <c r="Z12" s="122">
        <f>COUNTIFS(
    tb_estq[empresa], Z$6,
    tb_estq[Data da venda / reserva], "&gt;=" &amp; $A12,
    tb_estq[Data da venda / reserva], "&lt;"  &amp; EOMONTH($A12,0) + 1
)</f>
        <v>0</v>
      </c>
      <c r="AA12" s="123">
        <v>0</v>
      </c>
      <c r="AB12" s="123">
        <v>0</v>
      </c>
      <c r="AC12" s="123">
        <v>0</v>
      </c>
      <c r="AD12" s="111"/>
      <c r="AE12" s="123">
        <f ca="1">SUMIFS(
  m.vb[valor],
  m.vb[nucleo],$Z$1,
  m.vb[variavel],AE$7,
  m.vb[mes],$A12
)</f>
        <v>0</v>
      </c>
      <c r="AF12" s="123">
        <f ca="1">SUMIFS(
  m.vb[valor],
  m.vb[nucleo],$Z$1,
  m.vb[variavel],AF$7,
  m.vb[mes],$A12
)</f>
        <v>0</v>
      </c>
      <c r="AG12" s="123">
        <f ca="1">SUMIFS(
  m.vb[valor],
  m.vb[nucleo],$Z$1,
  m.vb[variavel],AG$7,
  m.vb[mes],$A12
)</f>
        <v>0</v>
      </c>
      <c r="AH12" s="123">
        <f ca="1">SUMIFS(
  m.vb[valor],
  m.vb[nucleo],$Z$1,
  m.vb[variavel],AH$7,
  m.vb[mes],$A12
)</f>
        <v>0</v>
      </c>
      <c r="AI12" s="124">
        <f ca="1">SUMIFS(
  m.vb[valor],
  m.vb[nucleo],$Z$1,
  m.vb[variavel],AI$7,
  m.vb[mes],$A12
)</f>
        <v>0</v>
      </c>
      <c r="AJ12" s="122">
        <f>COUNTIFS(
    tb_estq[empresa], AJ$6,
    tb_estq[Data da venda / reserva], "&gt;=" &amp; $A12,
    tb_estq[Data da venda / reserva], "&lt;"  &amp; EOMONTH($A12,0) + 1
)</f>
        <v>0</v>
      </c>
      <c r="AK12" s="123">
        <v>0</v>
      </c>
      <c r="AL12" s="123">
        <v>0</v>
      </c>
      <c r="AM12" s="123">
        <v>0</v>
      </c>
      <c r="AN12" s="123">
        <v>0</v>
      </c>
      <c r="AO12" s="123">
        <v>0</v>
      </c>
      <c r="AP12" s="111"/>
      <c r="AQ12" s="123">
        <f ca="1">SUMIFS(
  m.vb[valor],
  m.vb[nucleo],$AJ$1,
  m.vb[variavel],AQ$7,
  m.vb[mes],$A12
)</f>
        <v>0</v>
      </c>
      <c r="AR12" s="123">
        <f ca="1">SUMIFS(
  m.vb[valor],
  m.vb[nucleo],$AJ$1,
  m.vb[variavel],AR$7,
  m.vb[mes],$A12
)</f>
        <v>0</v>
      </c>
      <c r="AS12" s="123">
        <f ca="1">SUMIFS(
  m.vb[valor],
  m.vb[nucleo],$AJ$1,
  m.vb[variavel],AS$7,
  m.vb[mes],$A12
)</f>
        <v>0</v>
      </c>
      <c r="AT12" s="123">
        <f ca="1">SUMIFS(
  m.vb[valor],
  m.vb[nucleo],$AJ$1,
  m.vb[variavel],AT$7,
  m.vb[mes],$A12
)</f>
        <v>0</v>
      </c>
      <c r="AU12" s="124">
        <f ca="1">SUMIFS(
  m.vb[valor],
  m.vb[nucleo],$AJ$1,
  m.vb[variavel],AU$7,
  m.vb[mes],$A12
)</f>
        <v>0</v>
      </c>
      <c r="AV12" s="122">
        <f>COUNTIFS(
    tb_estq[empresa], AV$6,
    tb_estq[Data da venda / reserva], "&gt;=" &amp; $A12,
    tb_estq[Data da venda / reserva], "&lt;"  &amp; EOMONTH($A12,0) + 1
)</f>
        <v>0</v>
      </c>
      <c r="AW12" s="123">
        <v>0</v>
      </c>
      <c r="AX12" s="123">
        <v>0</v>
      </c>
      <c r="AY12" s="123">
        <v>0</v>
      </c>
      <c r="AZ12" s="123">
        <v>0</v>
      </c>
      <c r="BA12" s="123">
        <v>0</v>
      </c>
      <c r="BB12" s="111"/>
      <c r="BC12" s="123">
        <f ca="1">SUMIFS(
  m.vb[valor],
  m.vb[nucleo],$AV$1,
  m.vb[variavel],BC$7,
  m.vb[mes],$A12
)</f>
        <v>0</v>
      </c>
      <c r="BD12" s="123">
        <f ca="1">SUMIFS(
  m.vb[valor],
  m.vb[nucleo],$AV$1,
  m.vb[variavel],BD$7,
  m.vb[mes],$A12
)</f>
        <v>0</v>
      </c>
      <c r="BE12" s="123">
        <f ca="1">SUMIFS(
  m.vb[valor],
  m.vb[nucleo],$AV$1,
  m.vb[variavel],BE$7,
  m.vb[mes],$A12
)</f>
        <v>0</v>
      </c>
      <c r="BF12" s="123">
        <f ca="1">SUMIFS(
  m.vb[valor],
  m.vb[nucleo],$AV$1,
  m.vb[variavel],BF$7,
  m.vb[mes],$A12
)</f>
        <v>0</v>
      </c>
      <c r="BG12" s="124">
        <f ca="1">SUMIFS(
  m.vb[valor],
  m.vb[nucleo],$AV$1,
  m.vb[variavel],BG$7,
  m.vb[mes],$A12
)</f>
        <v>0</v>
      </c>
      <c r="BH12" s="122">
        <f>COUNTIFS(
    tb_estq[empresa], BH$6,
    tb_estq[Data da venda / reserva], "&gt;=" &amp; $A12,
    tb_estq[Data da venda / reserva], "&lt;"  &amp; EOMONTH($A12,0) + 1
)</f>
        <v>0</v>
      </c>
      <c r="BI12" s="123">
        <v>0</v>
      </c>
      <c r="BJ12" s="111">
        <v>0</v>
      </c>
      <c r="BK12" s="123">
        <v>0</v>
      </c>
      <c r="BL12" s="111"/>
      <c r="BM12" s="123">
        <f ca="1">SUMIFS(
  m.vb[valor],
  m.vb[nucleo],$BH$1,
  m.vb[variavel],BM$7,
  m.vb[mes],$A12
)</f>
        <v>0</v>
      </c>
      <c r="BN12" s="123">
        <f ca="1">SUMIFS(
  m.vb[valor],
  m.vb[nucleo],$BH$1,
  m.vb[variavel],BN$7,
  m.vb[mes],$A12
)</f>
        <v>0</v>
      </c>
      <c r="BO12" s="123">
        <f ca="1">SUMIFS(
  m.vb[valor],
  m.vb[nucleo],$BH$1,
  m.vb[variavel],BO$7,
  m.vb[mes],$A12
)</f>
        <v>0</v>
      </c>
      <c r="BP12" s="123">
        <f ca="1">SUMIFS(
  m.vb[valor],
  m.vb[nucleo],$BH$1,
  m.vb[variavel],BP$7,
  m.vb[mes],$A12
)</f>
        <v>0</v>
      </c>
      <c r="BQ12" s="124">
        <f ca="1">SUMIFS(
  m.vb[valor],
  m.vb[nucleo],$BH$1,
  m.vb[variavel],BQ$7,
  m.vb[mes],$A12
)</f>
        <v>0</v>
      </c>
      <c r="BR12" s="122">
        <f>COUNTIFS(
    tb_estq[empresa], BR$6,
    tb_estq[Data da venda / reserva], "&gt;=" &amp; $A12,
    tb_estq[Data da venda / reserva], "&lt;"  &amp; EOMONTH($A12,0) + 1
)</f>
        <v>0</v>
      </c>
      <c r="BS12" s="123">
        <v>0</v>
      </c>
      <c r="BT12" s="123">
        <v>0</v>
      </c>
      <c r="BU12" s="123">
        <v>0</v>
      </c>
      <c r="BV12" s="111"/>
      <c r="BW12" s="123">
        <f ca="1">SUMIFS(
  m.vb[valor],
  m.vb[nucleo],$BR$1,
  m.vb[variavel],BW$7,
  m.vb[mes],$A12
)</f>
        <v>0</v>
      </c>
      <c r="BX12" s="123">
        <f ca="1">SUMIFS(
  m.vb[valor],
  m.vb[nucleo],$BR$1,
  m.vb[variavel],BX$7,
  m.vb[mes],$A12
)</f>
        <v>0</v>
      </c>
      <c r="BY12" s="123">
        <f ca="1">SUMIFS(
  m.vb[valor],
  m.vb[nucleo],$BR$1,
  m.vb[variavel],BY$7,
  m.vb[mes],$A12
)</f>
        <v>0</v>
      </c>
      <c r="BZ12" s="123">
        <f ca="1">SUMIFS(
  m.vb[valor],
  m.vb[nucleo],$BR$1,
  m.vb[variavel],BZ$7,
  m.vb[mes],$A12
)</f>
        <v>0</v>
      </c>
      <c r="CA12" s="124">
        <f ca="1">SUMIFS(
  m.vb[valor],
  m.vb[nucleo],$BR$1,
  m.vb[variavel],CA$7,
  m.vb[mes],$A12
)</f>
        <v>0</v>
      </c>
      <c r="CB12" s="122">
        <f>COUNTIFS(
    tb_estq[empresa], CB$6,
    tb_estq[Data da venda / reserva], "&gt;=" &amp; $A12,
    tb_estq[Data da venda / reserva], "&lt;"  &amp; EOMONTH($A12,0) + 1
)</f>
        <v>0</v>
      </c>
      <c r="CC12" s="123">
        <v>0</v>
      </c>
      <c r="CD12" s="123">
        <v>0</v>
      </c>
      <c r="CE12" s="123">
        <v>0</v>
      </c>
      <c r="CF12" s="123">
        <v>0</v>
      </c>
      <c r="CG12" s="123">
        <v>0</v>
      </c>
      <c r="CH12" s="111"/>
      <c r="CI12" s="123">
        <f ca="1">SUMIFS(
  m.vb[valor],
  m.vb[nucleo],$CB$1,
  m.vb[variavel],CI$7,
  m.vb[mes],$A12
)</f>
        <v>0</v>
      </c>
      <c r="CJ12" s="123">
        <f ca="1">SUMIFS(
  m.vb[valor],
  m.vb[nucleo],$CB$1,
  m.vb[variavel],CJ$7,
  m.vb[mes],$A12
)</f>
        <v>0</v>
      </c>
      <c r="CK12" s="123">
        <f ca="1">SUMIFS(
  m.vb[valor],
  m.vb[nucleo],$CB$1,
  m.vb[variavel],CK$7,
  m.vb[mes],$A12
)</f>
        <v>0</v>
      </c>
      <c r="CL12" s="123">
        <f ca="1">SUMIFS(
  m.vb[valor],
  m.vb[nucleo],$CB$1,
  m.vb[variavel],CL$7,
  m.vb[mes],$A12
)</f>
        <v>0</v>
      </c>
      <c r="CM12" s="124">
        <f ca="1">SUMIFS(
  m.vb[valor],
  m.vb[nucleo],$CB$1,
  m.vb[variavel],CM$7,
  m.vb[mes],$A12
)</f>
        <v>0</v>
      </c>
      <c r="CN12" s="122">
        <f>COUNTIFS(
    tb_estq[empresa], CN$6,
    tb_estq[Data da venda / reserva], "&gt;=" &amp; $A12,
    tb_estq[Data da venda / reserva], "&lt;"  &amp; EOMONTH($A12,0) + 1
)</f>
        <v>0</v>
      </c>
      <c r="CO12" s="123">
        <v>0</v>
      </c>
      <c r="CP12" s="123">
        <v>0</v>
      </c>
      <c r="CQ12" s="123">
        <v>0</v>
      </c>
      <c r="CR12" s="123">
        <v>0</v>
      </c>
      <c r="CS12" s="123">
        <v>0</v>
      </c>
      <c r="CT12" s="111"/>
      <c r="CU12" s="123">
        <f ca="1">SUMIFS(
  m.vb[valor],
  m.vb[nucleo],$CN$1,
  m.vb[variavel],CU$7,
  m.vb[mes],$A12
)</f>
        <v>0</v>
      </c>
      <c r="CV12" s="123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3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3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5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21">
        <v>44501</v>
      </c>
      <c r="B13" s="122">
        <f>COUNTIFS(
    tb_estq[empresa], B$6,
    tb_estq[Data da venda / reserva], "&gt;=" &amp; $A13,
    tb_estq[Data da venda / reserva], "&lt;"  &amp; EOMONTH($A13,0) + 1
)</f>
        <v>0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11"/>
      <c r="I13" s="123">
        <f ca="1">SUMIFS(
  m.vb[valor],
  m.vb[nucleo],$B$1,
  m.vb[variavel],I$7,
  m.vb[mes],$A13
)</f>
        <v>0</v>
      </c>
      <c r="J13" s="123">
        <f ca="1">SUMIFS(
  m.vb[valor],
  m.vb[nucleo],$B$1,
  m.vb[variavel],J$7,
  m.vb[mes],$A13
)</f>
        <v>0</v>
      </c>
      <c r="K13" s="123">
        <f ca="1">SUMIFS(
  m.vb[valor],
  m.vb[nucleo],$B$1,
  m.vb[variavel],K$7,
  m.vb[mes],$A13
)</f>
        <v>0</v>
      </c>
      <c r="L13" s="123">
        <f ca="1">SUMIFS(
  m.vb[valor],
  m.vb[nucleo],$B$1,
  m.vb[variavel],L$7,
  m.vb[mes],$A13
)</f>
        <v>0</v>
      </c>
      <c r="M13" s="124">
        <f ca="1">SUMIFS(
  m.vb[valor],
  m.vb[nucleo],$B$1,
  m.vb[variavel],M$7,
  m.vb[mes],$A13
)</f>
        <v>0</v>
      </c>
      <c r="N13" s="122">
        <f>COUNTIFS(
    tb_estq[empresa], N$6,
    tb_estq[Data da venda / reserva], "&gt;=" &amp; $A13,
    tb_estq[Data da venda / reserva], "&lt;"  &amp; EOMONTH($A13,0) + 1
)</f>
        <v>0</v>
      </c>
      <c r="O13" s="123">
        <v>0</v>
      </c>
      <c r="P13" s="123">
        <v>0</v>
      </c>
      <c r="Q13" s="123">
        <v>0</v>
      </c>
      <c r="R13" s="123">
        <v>0</v>
      </c>
      <c r="S13" s="123">
        <v>0</v>
      </c>
      <c r="T13" s="111"/>
      <c r="U13" s="123">
        <f ca="1">SUMIFS(
  m.vb[valor],
  m.vb[nucleo],$N$1,
  m.vb[variavel],U$7,
  m.vb[mes],$A13
)</f>
        <v>0</v>
      </c>
      <c r="V13" s="123">
        <f ca="1">SUMIFS(
  m.vb[valor],
  m.vb[nucleo],$N$1,
  m.vb[variavel],V$7,
  m.vb[mes],$A13
)</f>
        <v>0</v>
      </c>
      <c r="W13" s="123">
        <f ca="1">SUMIFS(
  m.vb[valor],
  m.vb[nucleo],$N$1,
  m.vb[variavel],W$7,
  m.vb[mes],$A13
)</f>
        <v>0</v>
      </c>
      <c r="X13" s="123">
        <f ca="1">SUMIFS(
  m.vb[valor],
  m.vb[nucleo],$N$1,
  m.vb[variavel],X$7,
  m.vb[mes],$A13
)</f>
        <v>0</v>
      </c>
      <c r="Y13" s="124">
        <f ca="1">SUMIFS(
  m.vb[valor],
  m.vb[nucleo],$N$1,
  m.vb[variavel],Y$7,
  m.vb[mes],$A13
)</f>
        <v>0</v>
      </c>
      <c r="Z13" s="122">
        <f>COUNTIFS(
    tb_estq[empresa], Z$6,
    tb_estq[Data da venda / reserva], "&gt;=" &amp; $A13,
    tb_estq[Data da venda / reserva], "&lt;"  &amp; EOMONTH($A13,0) + 1
)</f>
        <v>0</v>
      </c>
      <c r="AA13" s="123">
        <v>0</v>
      </c>
      <c r="AB13" s="123">
        <v>0</v>
      </c>
      <c r="AC13" s="123">
        <v>0</v>
      </c>
      <c r="AD13" s="111"/>
      <c r="AE13" s="123">
        <f ca="1">SUMIFS(
  m.vb[valor],
  m.vb[nucleo],$Z$1,
  m.vb[variavel],AE$7,
  m.vb[mes],$A13
)</f>
        <v>0</v>
      </c>
      <c r="AF13" s="123">
        <f ca="1">SUMIFS(
  m.vb[valor],
  m.vb[nucleo],$Z$1,
  m.vb[variavel],AF$7,
  m.vb[mes],$A13
)</f>
        <v>0</v>
      </c>
      <c r="AG13" s="123">
        <f ca="1">SUMIFS(
  m.vb[valor],
  m.vb[nucleo],$Z$1,
  m.vb[variavel],AG$7,
  m.vb[mes],$A13
)</f>
        <v>0</v>
      </c>
      <c r="AH13" s="123">
        <f ca="1">SUMIFS(
  m.vb[valor],
  m.vb[nucleo],$Z$1,
  m.vb[variavel],AH$7,
  m.vb[mes],$A13
)</f>
        <v>0</v>
      </c>
      <c r="AI13" s="124">
        <f ca="1">SUMIFS(
  m.vb[valor],
  m.vb[nucleo],$Z$1,
  m.vb[variavel],AI$7,
  m.vb[mes],$A13
)</f>
        <v>0</v>
      </c>
      <c r="AJ13" s="122">
        <f>COUNTIFS(
    tb_estq[empresa], AJ$6,
    tb_estq[Data da venda / reserva], "&gt;=" &amp; $A13,
    tb_estq[Data da venda / reserva], "&lt;"  &amp; EOMONTH($A13,0) + 1
)</f>
        <v>0</v>
      </c>
      <c r="AK13" s="123">
        <v>0</v>
      </c>
      <c r="AL13" s="123">
        <v>0</v>
      </c>
      <c r="AM13" s="123">
        <v>0</v>
      </c>
      <c r="AN13" s="123">
        <v>0</v>
      </c>
      <c r="AO13" s="123">
        <v>0</v>
      </c>
      <c r="AP13" s="111"/>
      <c r="AQ13" s="123">
        <f ca="1">SUMIFS(
  m.vb[valor],
  m.vb[nucleo],$AJ$1,
  m.vb[variavel],AQ$7,
  m.vb[mes],$A13
)</f>
        <v>0</v>
      </c>
      <c r="AR13" s="123">
        <f ca="1">SUMIFS(
  m.vb[valor],
  m.vb[nucleo],$AJ$1,
  m.vb[variavel],AR$7,
  m.vb[mes],$A13
)</f>
        <v>0</v>
      </c>
      <c r="AS13" s="123">
        <f ca="1">SUMIFS(
  m.vb[valor],
  m.vb[nucleo],$AJ$1,
  m.vb[variavel],AS$7,
  m.vb[mes],$A13
)</f>
        <v>0</v>
      </c>
      <c r="AT13" s="123">
        <f ca="1">SUMIFS(
  m.vb[valor],
  m.vb[nucleo],$AJ$1,
  m.vb[variavel],AT$7,
  m.vb[mes],$A13
)</f>
        <v>0</v>
      </c>
      <c r="AU13" s="124">
        <f ca="1">SUMIFS(
  m.vb[valor],
  m.vb[nucleo],$AJ$1,
  m.vb[variavel],AU$7,
  m.vb[mes],$A13
)</f>
        <v>0</v>
      </c>
      <c r="AV13" s="122">
        <f>COUNTIFS(
    tb_estq[empresa], AV$6,
    tb_estq[Data da venda / reserva], "&gt;=" &amp; $A13,
    tb_estq[Data da venda / reserva], "&lt;"  &amp; EOMONTH($A13,0) + 1
)</f>
        <v>0</v>
      </c>
      <c r="AW13" s="123">
        <v>0</v>
      </c>
      <c r="AX13" s="123">
        <v>0</v>
      </c>
      <c r="AY13" s="123">
        <v>0</v>
      </c>
      <c r="AZ13" s="123">
        <v>0</v>
      </c>
      <c r="BA13" s="123">
        <v>0</v>
      </c>
      <c r="BB13" s="111"/>
      <c r="BC13" s="123">
        <f ca="1">SUMIFS(
  m.vb[valor],
  m.vb[nucleo],$AV$1,
  m.vb[variavel],BC$7,
  m.vb[mes],$A13
)</f>
        <v>0</v>
      </c>
      <c r="BD13" s="123">
        <f ca="1">SUMIFS(
  m.vb[valor],
  m.vb[nucleo],$AV$1,
  m.vb[variavel],BD$7,
  m.vb[mes],$A13
)</f>
        <v>0</v>
      </c>
      <c r="BE13" s="123">
        <f ca="1">SUMIFS(
  m.vb[valor],
  m.vb[nucleo],$AV$1,
  m.vb[variavel],BE$7,
  m.vb[mes],$A13
)</f>
        <v>0</v>
      </c>
      <c r="BF13" s="123">
        <f ca="1">SUMIFS(
  m.vb[valor],
  m.vb[nucleo],$AV$1,
  m.vb[variavel],BF$7,
  m.vb[mes],$A13
)</f>
        <v>0</v>
      </c>
      <c r="BG13" s="124">
        <f ca="1">SUMIFS(
  m.vb[valor],
  m.vb[nucleo],$AV$1,
  m.vb[variavel],BG$7,
  m.vb[mes],$A13
)</f>
        <v>0</v>
      </c>
      <c r="BH13" s="122">
        <f>COUNTIFS(
    tb_estq[empresa], BH$6,
    tb_estq[Data da venda / reserva], "&gt;=" &amp; $A13,
    tb_estq[Data da venda / reserva], "&lt;"  &amp; EOMONTH($A13,0) + 1
)</f>
        <v>0</v>
      </c>
      <c r="BI13" s="123">
        <v>0</v>
      </c>
      <c r="BJ13" s="111">
        <v>0</v>
      </c>
      <c r="BK13" s="123">
        <v>0</v>
      </c>
      <c r="BL13" s="111"/>
      <c r="BM13" s="123">
        <f ca="1">SUMIFS(
  m.vb[valor],
  m.vb[nucleo],$BH$1,
  m.vb[variavel],BM$7,
  m.vb[mes],$A13
)</f>
        <v>0</v>
      </c>
      <c r="BN13" s="123">
        <f ca="1">SUMIFS(
  m.vb[valor],
  m.vb[nucleo],$BH$1,
  m.vb[variavel],BN$7,
  m.vb[mes],$A13
)</f>
        <v>0</v>
      </c>
      <c r="BO13" s="123">
        <f ca="1">SUMIFS(
  m.vb[valor],
  m.vb[nucleo],$BH$1,
  m.vb[variavel],BO$7,
  m.vb[mes],$A13
)</f>
        <v>0</v>
      </c>
      <c r="BP13" s="123">
        <f ca="1">SUMIFS(
  m.vb[valor],
  m.vb[nucleo],$BH$1,
  m.vb[variavel],BP$7,
  m.vb[mes],$A13
)</f>
        <v>0</v>
      </c>
      <c r="BQ13" s="124">
        <f ca="1">SUMIFS(
  m.vb[valor],
  m.vb[nucleo],$BH$1,
  m.vb[variavel],BQ$7,
  m.vb[mes],$A13
)</f>
        <v>0</v>
      </c>
      <c r="BR13" s="122">
        <f>COUNTIFS(
    tb_estq[empresa], BR$6,
    tb_estq[Data da venda / reserva], "&gt;=" &amp; $A13,
    tb_estq[Data da venda / reserva], "&lt;"  &amp; EOMONTH($A13,0) + 1
)</f>
        <v>0</v>
      </c>
      <c r="BS13" s="123">
        <v>0</v>
      </c>
      <c r="BT13" s="123">
        <v>0</v>
      </c>
      <c r="BU13" s="123">
        <v>0</v>
      </c>
      <c r="BV13" s="111"/>
      <c r="BW13" s="123">
        <f ca="1">SUMIFS(
  m.vb[valor],
  m.vb[nucleo],$BR$1,
  m.vb[variavel],BW$7,
  m.vb[mes],$A13
)</f>
        <v>0</v>
      </c>
      <c r="BX13" s="123">
        <f ca="1">SUMIFS(
  m.vb[valor],
  m.vb[nucleo],$BR$1,
  m.vb[variavel],BX$7,
  m.vb[mes],$A13
)</f>
        <v>0</v>
      </c>
      <c r="BY13" s="123">
        <f ca="1">SUMIFS(
  m.vb[valor],
  m.vb[nucleo],$BR$1,
  m.vb[variavel],BY$7,
  m.vb[mes],$A13
)</f>
        <v>0</v>
      </c>
      <c r="BZ13" s="123">
        <f ca="1">SUMIFS(
  m.vb[valor],
  m.vb[nucleo],$BR$1,
  m.vb[variavel],BZ$7,
  m.vb[mes],$A13
)</f>
        <v>0</v>
      </c>
      <c r="CA13" s="124">
        <f ca="1">SUMIFS(
  m.vb[valor],
  m.vb[nucleo],$BR$1,
  m.vb[variavel],CA$7,
  m.vb[mes],$A13
)</f>
        <v>0</v>
      </c>
      <c r="CB13" s="122">
        <f>COUNTIFS(
    tb_estq[empresa], CB$6,
    tb_estq[Data da venda / reserva], "&gt;=" &amp; $A13,
    tb_estq[Data da venda / reserva], "&lt;"  &amp; EOMONTH($A13,0) + 1
)</f>
        <v>0</v>
      </c>
      <c r="CC13" s="123">
        <v>0</v>
      </c>
      <c r="CD13" s="123">
        <v>0</v>
      </c>
      <c r="CE13" s="123">
        <v>0</v>
      </c>
      <c r="CF13" s="123">
        <v>0</v>
      </c>
      <c r="CG13" s="123">
        <v>0</v>
      </c>
      <c r="CH13" s="111"/>
      <c r="CI13" s="123">
        <f ca="1">SUMIFS(
  m.vb[valor],
  m.vb[nucleo],$CB$1,
  m.vb[variavel],CI$7,
  m.vb[mes],$A13
)</f>
        <v>0</v>
      </c>
      <c r="CJ13" s="123">
        <f ca="1">SUMIFS(
  m.vb[valor],
  m.vb[nucleo],$CB$1,
  m.vb[variavel],CJ$7,
  m.vb[mes],$A13
)</f>
        <v>0</v>
      </c>
      <c r="CK13" s="123">
        <f ca="1">SUMIFS(
  m.vb[valor],
  m.vb[nucleo],$CB$1,
  m.vb[variavel],CK$7,
  m.vb[mes],$A13
)</f>
        <v>0</v>
      </c>
      <c r="CL13" s="123">
        <f ca="1">SUMIFS(
  m.vb[valor],
  m.vb[nucleo],$CB$1,
  m.vb[variavel],CL$7,
  m.vb[mes],$A13
)</f>
        <v>0</v>
      </c>
      <c r="CM13" s="124">
        <f ca="1">SUMIFS(
  m.vb[valor],
  m.vb[nucleo],$CB$1,
  m.vb[variavel],CM$7,
  m.vb[mes],$A13
)</f>
        <v>0</v>
      </c>
      <c r="CN13" s="122">
        <f>COUNTIFS(
    tb_estq[empresa], CN$6,
    tb_estq[Data da venda / reserva], "&gt;=" &amp; $A13,
    tb_estq[Data da venda / reserva], "&lt;"  &amp; EOMONTH($A13,0) + 1
)</f>
        <v>0</v>
      </c>
      <c r="CO13" s="123">
        <v>0</v>
      </c>
      <c r="CP13" s="123">
        <v>0</v>
      </c>
      <c r="CQ13" s="123">
        <v>0</v>
      </c>
      <c r="CR13" s="123">
        <v>0</v>
      </c>
      <c r="CS13" s="123">
        <v>0</v>
      </c>
      <c r="CT13" s="111"/>
      <c r="CU13" s="123">
        <f ca="1">SUMIFS(
  m.vb[valor],
  m.vb[nucleo],$CN$1,
  m.vb[variavel],CU$7,
  m.vb[mes],$A13
)</f>
        <v>0</v>
      </c>
      <c r="CV13" s="123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3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3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5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21">
        <v>44531</v>
      </c>
      <c r="B14" s="122">
        <f>COUNTIFS(
    tb_estq[empresa], B$6,
    tb_estq[Data da venda / reserva], "&gt;=" &amp; $A14,
    tb_estq[Data da venda / reserva], "&lt;"  &amp; EOMONTH($A14,0) + 1
)</f>
        <v>0</v>
      </c>
      <c r="C14" s="123">
        <v>0</v>
      </c>
      <c r="D14" s="123">
        <v>0</v>
      </c>
      <c r="E14" s="123">
        <v>0</v>
      </c>
      <c r="F14" s="123">
        <v>0</v>
      </c>
      <c r="G14" s="123">
        <v>0</v>
      </c>
      <c r="H14" s="111"/>
      <c r="I14" s="123">
        <f ca="1">SUMIFS(
  m.vb[valor],
  m.vb[nucleo],$B$1,
  m.vb[variavel],I$7,
  m.vb[mes],$A14
)</f>
        <v>0</v>
      </c>
      <c r="J14" s="123">
        <f ca="1">SUMIFS(
  m.vb[valor],
  m.vb[nucleo],$B$1,
  m.vb[variavel],J$7,
  m.vb[mes],$A14
)</f>
        <v>0</v>
      </c>
      <c r="K14" s="123">
        <f ca="1">SUMIFS(
  m.vb[valor],
  m.vb[nucleo],$B$1,
  m.vb[variavel],K$7,
  m.vb[mes],$A14
)</f>
        <v>0</v>
      </c>
      <c r="L14" s="123">
        <f ca="1">SUMIFS(
  m.vb[valor],
  m.vb[nucleo],$B$1,
  m.vb[variavel],L$7,
  m.vb[mes],$A14
)</f>
        <v>0</v>
      </c>
      <c r="M14" s="124">
        <f ca="1">SUMIFS(
  m.vb[valor],
  m.vb[nucleo],$B$1,
  m.vb[variavel],M$7,
  m.vb[mes],$A14
)</f>
        <v>0</v>
      </c>
      <c r="N14" s="122">
        <f>COUNTIFS(
    tb_estq[empresa], N$6,
    tb_estq[Data da venda / reserva], "&gt;=" &amp; $A14,
    tb_estq[Data da venda / reserva], "&lt;"  &amp; EOMONTH($A14,0) + 1
)</f>
        <v>0</v>
      </c>
      <c r="O14" s="123">
        <v>0</v>
      </c>
      <c r="P14" s="123">
        <v>0</v>
      </c>
      <c r="Q14" s="123">
        <v>0</v>
      </c>
      <c r="R14" s="123">
        <v>0</v>
      </c>
      <c r="S14" s="123">
        <v>0</v>
      </c>
      <c r="T14" s="111"/>
      <c r="U14" s="123">
        <f ca="1">SUMIFS(
  m.vb[valor],
  m.vb[nucleo],$N$1,
  m.vb[variavel],U$7,
  m.vb[mes],$A14
)</f>
        <v>0</v>
      </c>
      <c r="V14" s="123">
        <f ca="1">SUMIFS(
  m.vb[valor],
  m.vb[nucleo],$N$1,
  m.vb[variavel],V$7,
  m.vb[mes],$A14
)</f>
        <v>0</v>
      </c>
      <c r="W14" s="123">
        <f ca="1">SUMIFS(
  m.vb[valor],
  m.vb[nucleo],$N$1,
  m.vb[variavel],W$7,
  m.vb[mes],$A14
)</f>
        <v>0</v>
      </c>
      <c r="X14" s="123">
        <f ca="1">SUMIFS(
  m.vb[valor],
  m.vb[nucleo],$N$1,
  m.vb[variavel],X$7,
  m.vb[mes],$A14
)</f>
        <v>0</v>
      </c>
      <c r="Y14" s="124">
        <f ca="1">SUMIFS(
  m.vb[valor],
  m.vb[nucleo],$N$1,
  m.vb[variavel],Y$7,
  m.vb[mes],$A14
)</f>
        <v>0</v>
      </c>
      <c r="Z14" s="122">
        <f>COUNTIFS(
    tb_estq[empresa], Z$6,
    tb_estq[Data da venda / reserva], "&gt;=" &amp; $A14,
    tb_estq[Data da venda / reserva], "&lt;"  &amp; EOMONTH($A14,0) + 1
)</f>
        <v>0</v>
      </c>
      <c r="AA14" s="123">
        <v>0</v>
      </c>
      <c r="AB14" s="123">
        <v>0</v>
      </c>
      <c r="AC14" s="123">
        <v>0</v>
      </c>
      <c r="AD14" s="111"/>
      <c r="AE14" s="123">
        <f ca="1">SUMIFS(
  m.vb[valor],
  m.vb[nucleo],$Z$1,
  m.vb[variavel],AE$7,
  m.vb[mes],$A14
)</f>
        <v>0</v>
      </c>
      <c r="AF14" s="123">
        <f ca="1">SUMIFS(
  m.vb[valor],
  m.vb[nucleo],$Z$1,
  m.vb[variavel],AF$7,
  m.vb[mes],$A14
)</f>
        <v>0</v>
      </c>
      <c r="AG14" s="123">
        <f ca="1">SUMIFS(
  m.vb[valor],
  m.vb[nucleo],$Z$1,
  m.vb[variavel],AG$7,
  m.vb[mes],$A14
)</f>
        <v>0</v>
      </c>
      <c r="AH14" s="123">
        <f ca="1">SUMIFS(
  m.vb[valor],
  m.vb[nucleo],$Z$1,
  m.vb[variavel],AH$7,
  m.vb[mes],$A14
)</f>
        <v>0</v>
      </c>
      <c r="AI14" s="124">
        <f ca="1">SUMIFS(
  m.vb[valor],
  m.vb[nucleo],$Z$1,
  m.vb[variavel],AI$7,
  m.vb[mes],$A14
)</f>
        <v>0</v>
      </c>
      <c r="AJ14" s="122">
        <f>COUNTIFS(
    tb_estq[empresa], AJ$6,
    tb_estq[Data da venda / reserva], "&gt;=" &amp; $A14,
    tb_estq[Data da venda / reserva], "&lt;"  &amp; EOMONTH($A14,0) + 1
)</f>
        <v>0</v>
      </c>
      <c r="AK14" s="123">
        <v>0</v>
      </c>
      <c r="AL14" s="123">
        <v>0</v>
      </c>
      <c r="AM14" s="123">
        <v>0</v>
      </c>
      <c r="AN14" s="123">
        <v>0</v>
      </c>
      <c r="AO14" s="123">
        <v>0</v>
      </c>
      <c r="AP14" s="111"/>
      <c r="AQ14" s="123">
        <f ca="1">SUMIFS(
  m.vb[valor],
  m.vb[nucleo],$AJ$1,
  m.vb[variavel],AQ$7,
  m.vb[mes],$A14
)</f>
        <v>0</v>
      </c>
      <c r="AR14" s="123">
        <f ca="1">SUMIFS(
  m.vb[valor],
  m.vb[nucleo],$AJ$1,
  m.vb[variavel],AR$7,
  m.vb[mes],$A14
)</f>
        <v>0</v>
      </c>
      <c r="AS14" s="123">
        <f ca="1">SUMIFS(
  m.vb[valor],
  m.vb[nucleo],$AJ$1,
  m.vb[variavel],AS$7,
  m.vb[mes],$A14
)</f>
        <v>0</v>
      </c>
      <c r="AT14" s="123">
        <f ca="1">SUMIFS(
  m.vb[valor],
  m.vb[nucleo],$AJ$1,
  m.vb[variavel],AT$7,
  m.vb[mes],$A14
)</f>
        <v>0</v>
      </c>
      <c r="AU14" s="124">
        <f ca="1">SUMIFS(
  m.vb[valor],
  m.vb[nucleo],$AJ$1,
  m.vb[variavel],AU$7,
  m.vb[mes],$A14
)</f>
        <v>0</v>
      </c>
      <c r="AV14" s="122">
        <f>COUNTIFS(
    tb_estq[empresa], AV$6,
    tb_estq[Data da venda / reserva], "&gt;=" &amp; $A14,
    tb_estq[Data da venda / reserva], "&lt;"  &amp; EOMONTH($A14,0) + 1
)</f>
        <v>0</v>
      </c>
      <c r="AW14" s="123">
        <v>0</v>
      </c>
      <c r="AX14" s="123">
        <v>0</v>
      </c>
      <c r="AY14" s="123">
        <v>0</v>
      </c>
      <c r="AZ14" s="123">
        <v>0</v>
      </c>
      <c r="BA14" s="123">
        <v>0</v>
      </c>
      <c r="BB14" s="111"/>
      <c r="BC14" s="123">
        <f ca="1">SUMIFS(
  m.vb[valor],
  m.vb[nucleo],$AV$1,
  m.vb[variavel],BC$7,
  m.vb[mes],$A14
)</f>
        <v>0</v>
      </c>
      <c r="BD14" s="123">
        <f ca="1">SUMIFS(
  m.vb[valor],
  m.vb[nucleo],$AV$1,
  m.vb[variavel],BD$7,
  m.vb[mes],$A14
)</f>
        <v>0</v>
      </c>
      <c r="BE14" s="123">
        <f ca="1">SUMIFS(
  m.vb[valor],
  m.vb[nucleo],$AV$1,
  m.vb[variavel],BE$7,
  m.vb[mes],$A14
)</f>
        <v>0</v>
      </c>
      <c r="BF14" s="123">
        <f ca="1">SUMIFS(
  m.vb[valor],
  m.vb[nucleo],$AV$1,
  m.vb[variavel],BF$7,
  m.vb[mes],$A14
)</f>
        <v>0</v>
      </c>
      <c r="BG14" s="124">
        <f ca="1">SUMIFS(
  m.vb[valor],
  m.vb[nucleo],$AV$1,
  m.vb[variavel],BG$7,
  m.vb[mes],$A14
)</f>
        <v>0</v>
      </c>
      <c r="BH14" s="122">
        <f>COUNTIFS(
    tb_estq[empresa], BH$6,
    tb_estq[Data da venda / reserva], "&gt;=" &amp; $A14,
    tb_estq[Data da venda / reserva], "&lt;"  &amp; EOMONTH($A14,0) + 1
)</f>
        <v>0</v>
      </c>
      <c r="BI14" s="123">
        <v>0</v>
      </c>
      <c r="BJ14" s="111">
        <v>0</v>
      </c>
      <c r="BK14" s="123">
        <v>0</v>
      </c>
      <c r="BL14" s="111"/>
      <c r="BM14" s="123">
        <f ca="1">SUMIFS(
  m.vb[valor],
  m.vb[nucleo],$BH$1,
  m.vb[variavel],BM$7,
  m.vb[mes],$A14
)</f>
        <v>0</v>
      </c>
      <c r="BN14" s="123">
        <f ca="1">SUMIFS(
  m.vb[valor],
  m.vb[nucleo],$BH$1,
  m.vb[variavel],BN$7,
  m.vb[mes],$A14
)</f>
        <v>0</v>
      </c>
      <c r="BO14" s="123">
        <f ca="1">SUMIFS(
  m.vb[valor],
  m.vb[nucleo],$BH$1,
  m.vb[variavel],BO$7,
  m.vb[mes],$A14
)</f>
        <v>0</v>
      </c>
      <c r="BP14" s="123">
        <f ca="1">SUMIFS(
  m.vb[valor],
  m.vb[nucleo],$BH$1,
  m.vb[variavel],BP$7,
  m.vb[mes],$A14
)</f>
        <v>0</v>
      </c>
      <c r="BQ14" s="124">
        <f ca="1">SUMIFS(
  m.vb[valor],
  m.vb[nucleo],$BH$1,
  m.vb[variavel],BQ$7,
  m.vb[mes],$A14
)</f>
        <v>0</v>
      </c>
      <c r="BR14" s="122">
        <f>COUNTIFS(
    tb_estq[empresa], BR$6,
    tb_estq[Data da venda / reserva], "&gt;=" &amp; $A14,
    tb_estq[Data da venda / reserva], "&lt;"  &amp; EOMONTH($A14,0) + 1
)</f>
        <v>0</v>
      </c>
      <c r="BS14" s="123">
        <v>0</v>
      </c>
      <c r="BT14" s="123">
        <v>0</v>
      </c>
      <c r="BU14" s="123">
        <v>0</v>
      </c>
      <c r="BV14" s="111"/>
      <c r="BW14" s="123">
        <f ca="1">SUMIFS(
  m.vb[valor],
  m.vb[nucleo],$BR$1,
  m.vb[variavel],BW$7,
  m.vb[mes],$A14
)</f>
        <v>0</v>
      </c>
      <c r="BX14" s="123">
        <f ca="1">SUMIFS(
  m.vb[valor],
  m.vb[nucleo],$BR$1,
  m.vb[variavel],BX$7,
  m.vb[mes],$A14
)</f>
        <v>0</v>
      </c>
      <c r="BY14" s="123">
        <f ca="1">SUMIFS(
  m.vb[valor],
  m.vb[nucleo],$BR$1,
  m.vb[variavel],BY$7,
  m.vb[mes],$A14
)</f>
        <v>0</v>
      </c>
      <c r="BZ14" s="123">
        <f ca="1">SUMIFS(
  m.vb[valor],
  m.vb[nucleo],$BR$1,
  m.vb[variavel],BZ$7,
  m.vb[mes],$A14
)</f>
        <v>0</v>
      </c>
      <c r="CA14" s="124">
        <f ca="1">SUMIFS(
  m.vb[valor],
  m.vb[nucleo],$BR$1,
  m.vb[variavel],CA$7,
  m.vb[mes],$A14
)</f>
        <v>0</v>
      </c>
      <c r="CB14" s="122">
        <f>COUNTIFS(
    tb_estq[empresa], CB$6,
    tb_estq[Data da venda / reserva], "&gt;=" &amp; $A14,
    tb_estq[Data da venda / reserva], "&lt;"  &amp; EOMONTH($A14,0) + 1
)</f>
        <v>0</v>
      </c>
      <c r="CC14" s="123">
        <v>0</v>
      </c>
      <c r="CD14" s="123">
        <v>0</v>
      </c>
      <c r="CE14" s="123">
        <v>0</v>
      </c>
      <c r="CF14" s="123">
        <v>0</v>
      </c>
      <c r="CG14" s="123">
        <v>0</v>
      </c>
      <c r="CH14" s="111"/>
      <c r="CI14" s="123">
        <f ca="1">SUMIFS(
  m.vb[valor],
  m.vb[nucleo],$CB$1,
  m.vb[variavel],CI$7,
  m.vb[mes],$A14
)</f>
        <v>0</v>
      </c>
      <c r="CJ14" s="123">
        <f ca="1">SUMIFS(
  m.vb[valor],
  m.vb[nucleo],$CB$1,
  m.vb[variavel],CJ$7,
  m.vb[mes],$A14
)</f>
        <v>0</v>
      </c>
      <c r="CK14" s="123">
        <f ca="1">SUMIFS(
  m.vb[valor],
  m.vb[nucleo],$CB$1,
  m.vb[variavel],CK$7,
  m.vb[mes],$A14
)</f>
        <v>0</v>
      </c>
      <c r="CL14" s="123">
        <f ca="1">SUMIFS(
  m.vb[valor],
  m.vb[nucleo],$CB$1,
  m.vb[variavel],CL$7,
  m.vb[mes],$A14
)</f>
        <v>0</v>
      </c>
      <c r="CM14" s="124">
        <f ca="1">SUMIFS(
  m.vb[valor],
  m.vb[nucleo],$CB$1,
  m.vb[variavel],CM$7,
  m.vb[mes],$A14
)</f>
        <v>0</v>
      </c>
      <c r="CN14" s="122">
        <f>COUNTIFS(
    tb_estq[empresa], CN$6,
    tb_estq[Data da venda / reserva], "&gt;=" &amp; $A14,
    tb_estq[Data da venda / reserva], "&lt;"  &amp; EOMONTH($A14,0) + 1
)</f>
        <v>0</v>
      </c>
      <c r="CO14" s="123">
        <v>0</v>
      </c>
      <c r="CP14" s="123">
        <v>0</v>
      </c>
      <c r="CQ14" s="123">
        <v>0</v>
      </c>
      <c r="CR14" s="123">
        <v>0</v>
      </c>
      <c r="CS14" s="123">
        <v>0</v>
      </c>
      <c r="CT14" s="111"/>
      <c r="CU14" s="123">
        <f ca="1">SUMIFS(
  m.vb[valor],
  m.vb[nucleo],$CN$1,
  m.vb[variavel],CU$7,
  m.vb[mes],$A14
)</f>
        <v>0</v>
      </c>
      <c r="CV14" s="123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3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3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5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21">
        <v>44562</v>
      </c>
      <c r="B15" s="122">
        <f>COUNTIFS(
    tb_estq[empresa], B$6,
    tb_estq[Data da venda / reserva], "&gt;=" &amp; $A15,
    tb_estq[Data da venda / reserva], "&lt;"  &amp; EOMONTH($A15,0) + 1
)</f>
        <v>0</v>
      </c>
      <c r="C15" s="123">
        <f ca="1">SUMIFS(tb_rec_uni[2022-01-01],
INDIRECT("tb_rec_uni[natureza]"),"pro.soluto",
INDIRECT("tb_rec_uni[empresa]"),C$6)</f>
        <v>0</v>
      </c>
      <c r="D15" s="123">
        <f ca="1">SUMIFS(tb_rec_uni[2022-01-01],
INDIRECT("tb_rec_uni[natureza]"),"repasse.cef.obra",
INDIRECT("tb_rec_uni[empresa]"),D$6)</f>
        <v>0</v>
      </c>
      <c r="E15" s="123">
        <f ca="1">SUMIFS(tb_rec_uni[2022-01-01],
INDIRECT("tb_rec_uni[natureza]"),"repasse.cef.terreno",
INDIRECT("tb_rec_uni[empresa]"),E$6)</f>
        <v>0</v>
      </c>
      <c r="F15" s="123">
        <v>0</v>
      </c>
      <c r="G15" s="123">
        <f ca="1">SUMIFS(tb_rec_uni[2022-01-01],
INDIRECT("tb_rec_uni[natureza]"),"taxa.extra",
INDIRECT("tb_rec_uni[empresa]"),G$6)</f>
        <v>0</v>
      </c>
      <c r="H15" s="111"/>
      <c r="I15" s="123">
        <f ca="1">SUMIFS(
  m.vb[valor],
  m.vb[nucleo],$B$1,
  m.vb[variavel],I$7,
  m.vb[mes],$A15
)</f>
        <v>0</v>
      </c>
      <c r="J15" s="123">
        <f ca="1">SUMIFS(
  m.vb[valor],
  m.vb[nucleo],$B$1,
  m.vb[variavel],J$7,
  m.vb[mes],$A15
)</f>
        <v>0</v>
      </c>
      <c r="K15" s="123">
        <f ca="1">SUMIFS(
  m.vb[valor],
  m.vb[nucleo],$B$1,
  m.vb[variavel],K$7,
  m.vb[mes],$A15
)</f>
        <v>0</v>
      </c>
      <c r="L15" s="123">
        <f ca="1">SUMIFS(
  m.vb[valor],
  m.vb[nucleo],$B$1,
  m.vb[variavel],L$7,
  m.vb[mes],$A15
)</f>
        <v>0</v>
      </c>
      <c r="M15" s="124">
        <f ca="1">SUMIFS(
  m.vb[valor],
  m.vb[nucleo],$B$1,
  m.vb[variavel],M$7,
  m.vb[mes],$A15
)</f>
        <v>0</v>
      </c>
      <c r="N15" s="122">
        <f>COUNTIFS(
    tb_estq[empresa], N$6,
    tb_estq[Data da venda / reserva], "&gt;=" &amp; $A15,
    tb_estq[Data da venda / reserva], "&lt;"  &amp; EOMONTH($A15,0) + 1
)</f>
        <v>0</v>
      </c>
      <c r="O15" s="123">
        <f ca="1">SUMIFS(tb_rec_uni[2022-01-01],
INDIRECT("tb_rec_uni[natureza]"),"pro.soluto",
INDIRECT("tb_rec_uni[empresa]"),O$6)</f>
        <v>0</v>
      </c>
      <c r="P15" s="123">
        <f ca="1">SUMIFS(tb_rec_uni[2022-01-01],
INDIRECT("tb_rec_uni[natureza]"),"repasse.cef.obra",
INDIRECT("tb_rec_uni[empresa]"),P$6)</f>
        <v>0</v>
      </c>
      <c r="Q15" s="123">
        <f ca="1">SUMIFS(tb_rec_uni[2022-01-01],
INDIRECT("tb_rec_uni[natureza]"),"repasse.cef.terreno",
INDIRECT("tb_rec_uni[empresa]"),Q$6)</f>
        <v>0</v>
      </c>
      <c r="R15" s="123">
        <v>0</v>
      </c>
      <c r="S15" s="123">
        <f ca="1">SUMIFS(tb_rec_uni[2022-01-01],
INDIRECT("tb_rec_uni[natureza]"),"taxa.extra",
INDIRECT("tb_rec_uni[empresa]"),S$6)</f>
        <v>0</v>
      </c>
      <c r="T15" s="111"/>
      <c r="U15" s="123">
        <f ca="1">SUMIFS(
  m.vb[valor],
  m.vb[nucleo],$N$1,
  m.vb[variavel],U$7,
  m.vb[mes],$A15
)</f>
        <v>0</v>
      </c>
      <c r="V15" s="123">
        <f ca="1">SUMIFS(
  m.vb[valor],
  m.vb[nucleo],$N$1,
  m.vb[variavel],V$7,
  m.vb[mes],$A15
)</f>
        <v>0</v>
      </c>
      <c r="W15" s="123">
        <f ca="1">SUMIFS(
  m.vb[valor],
  m.vb[nucleo],$N$1,
  m.vb[variavel],W$7,
  m.vb[mes],$A15
)</f>
        <v>0</v>
      </c>
      <c r="X15" s="123">
        <f ca="1">SUMIFS(
  m.vb[valor],
  m.vb[nucleo],$N$1,
  m.vb[variavel],X$7,
  m.vb[mes],$A15
)</f>
        <v>0</v>
      </c>
      <c r="Y15" s="124">
        <f ca="1">SUMIFS(
  m.vb[valor],
  m.vb[nucleo],$N$1,
  m.vb[variavel],Y$7,
  m.vb[mes],$A15
)</f>
        <v>0</v>
      </c>
      <c r="Z15" s="122">
        <f>COUNTIFS(
    tb_estq[empresa], Z$6,
    tb_estq[Data da venda / reserva], "&gt;=" &amp; $A15,
    tb_estq[Data da venda / reserva], "&lt;"  &amp; EOMONTH($A15,0) + 1
)</f>
        <v>0</v>
      </c>
      <c r="AA15" s="123">
        <f ca="1">SUMIFS(tb_rec_uni[2022-01-01],
INDIRECT("tb_rec_uni[natureza]"),"pro.soluto",
INDIRECT("tb_rec_uni[empresa]"),AA$6)</f>
        <v>0</v>
      </c>
      <c r="AB15" s="123">
        <f ca="1">SUMIFS(tb_rec_uni[2022-01-01],
INDIRECT("tb_rec_uni[natureza]"),"parcela.fin.total.ik",
INDIRECT("tb_rec_uni[empresa]"),AB$6)</f>
        <v>0</v>
      </c>
      <c r="AC15" s="123">
        <f ca="1">SUMIFS(tb_rec_uni[2022-01-01],
INDIRECT("tb_rec_uni[natureza]"),"taxa.extra",
INDIRECT("tb_rec_uni[empresa]"),AC$6)</f>
        <v>0</v>
      </c>
      <c r="AD15" s="111"/>
      <c r="AE15" s="123">
        <f ca="1">SUMIFS(
  m.vb[valor],
  m.vb[nucleo],$Z$1,
  m.vb[variavel],AE$7,
  m.vb[mes],$A15
)</f>
        <v>0</v>
      </c>
      <c r="AF15" s="123">
        <f ca="1">SUMIFS(
  m.vb[valor],
  m.vb[nucleo],$Z$1,
  m.vb[variavel],AF$7,
  m.vb[mes],$A15
)</f>
        <v>0</v>
      </c>
      <c r="AG15" s="123">
        <f ca="1">SUMIFS(
  m.vb[valor],
  m.vb[nucleo],$Z$1,
  m.vb[variavel],AG$7,
  m.vb[mes],$A15
)</f>
        <v>0</v>
      </c>
      <c r="AH15" s="123">
        <f ca="1">SUMIFS(
  m.vb[valor],
  m.vb[nucleo],$Z$1,
  m.vb[variavel],AH$7,
  m.vb[mes],$A15
)</f>
        <v>0</v>
      </c>
      <c r="AI15" s="124">
        <f ca="1">SUMIFS(
  m.vb[valor],
  m.vb[nucleo],$Z$1,
  m.vb[variavel],AI$7,
  m.vb[mes],$A15
)</f>
        <v>0</v>
      </c>
      <c r="AJ15" s="122">
        <f>COUNTIFS(
    tb_estq[empresa], AJ$6,
    tb_estq[Data da venda / reserva], "&gt;=" &amp; $A15,
    tb_estq[Data da venda / reserva], "&lt;"  &amp; EOMONTH($A15,0) + 1
)</f>
        <v>0</v>
      </c>
      <c r="AK15" s="123">
        <f ca="1">SUMIFS(tb_rec_uni[2022-01-01],
INDIRECT("tb_rec_uni[natureza]"),"pro.soluto",
INDIRECT("tb_rec_uni[empresa]"),AK$6)</f>
        <v>0</v>
      </c>
      <c r="AL15" s="123">
        <f ca="1">SUMIFS(tb_rec_uni[2022-01-01],
INDIRECT("tb_rec_uni[natureza]"),"repasse.cef.obra",
INDIRECT("tb_rec_uni[empresa]"),AL$6)</f>
        <v>0</v>
      </c>
      <c r="AM15" s="123">
        <f ca="1">SUMIFS(tb_rec_uni[2022-01-01],
INDIRECT("tb_rec_uni[natureza]"),"repasse.cef.terreno",
INDIRECT("tb_rec_uni[empresa]"),AM$6)</f>
        <v>0</v>
      </c>
      <c r="AN15" s="123">
        <v>0</v>
      </c>
      <c r="AO15" s="123">
        <f ca="1">SUMIFS(tb_rec_uni[2022-01-01],
INDIRECT("tb_rec_uni[natureza]"),"taxa.extra",
INDIRECT("tb_rec_uni[empresa]"),AO$6)</f>
        <v>0</v>
      </c>
      <c r="AP15" s="111"/>
      <c r="AQ15" s="123">
        <f ca="1">SUMIFS(
  m.vb[valor],
  m.vb[nucleo],$AJ$1,
  m.vb[variavel],AQ$7,
  m.vb[mes],$A15
)</f>
        <v>0</v>
      </c>
      <c r="AR15" s="123">
        <f ca="1">SUMIFS(
  m.vb[valor],
  m.vb[nucleo],$AJ$1,
  m.vb[variavel],AR$7,
  m.vb[mes],$A15
)</f>
        <v>0</v>
      </c>
      <c r="AS15" s="123">
        <f ca="1">SUMIFS(
  m.vb[valor],
  m.vb[nucleo],$AJ$1,
  m.vb[variavel],AS$7,
  m.vb[mes],$A15
)</f>
        <v>0</v>
      </c>
      <c r="AT15" s="123">
        <f ca="1">SUMIFS(
  m.vb[valor],
  m.vb[nucleo],$AJ$1,
  m.vb[variavel],AT$7,
  m.vb[mes],$A15
)</f>
        <v>0</v>
      </c>
      <c r="AU15" s="124">
        <f ca="1">SUMIFS(
  m.vb[valor],
  m.vb[nucleo],$AJ$1,
  m.vb[variavel],AU$7,
  m.vb[mes],$A15
)</f>
        <v>0</v>
      </c>
      <c r="AV15" s="122">
        <f>COUNTIFS(
    tb_estq[empresa], AV$6,
    tb_estq[Data da venda / reserva], "&gt;=" &amp; $A15,
    tb_estq[Data da venda / reserva], "&lt;"  &amp; EOMONTH($A15,0) + 1
)</f>
        <v>0</v>
      </c>
      <c r="AW15" s="123">
        <f ca="1">SUMIFS(tb_rec_uni[2022-01-01],
INDIRECT("tb_rec_uni[natureza]"),"pro.soluto",
INDIRECT("tb_rec_uni[empresa]"),AW$6)</f>
        <v>0</v>
      </c>
      <c r="AX15" s="123">
        <f ca="1">SUMIFS(tb_rec_uni[2022-01-01],
INDIRECT("tb_rec_uni[natureza]"),"repasse.cef.obra",
INDIRECT("tb_rec_uni[empresa]"),AX$6)</f>
        <v>0</v>
      </c>
      <c r="AY15" s="123">
        <f ca="1">SUMIFS(tb_rec_uni[2022-01-01],
INDIRECT("tb_rec_uni[natureza]"),"repasse.cef.terreno",
INDIRECT("tb_rec_uni[empresa]"),AY$6)</f>
        <v>0</v>
      </c>
      <c r="AZ15" s="123">
        <v>0</v>
      </c>
      <c r="BA15" s="123">
        <f ca="1">SUMIFS(tb_rec_uni[2022-01-01],
INDIRECT("tb_rec_uni[natureza]"),"taxa.extra",
INDIRECT("tb_rec_uni[empresa]"),BA$6)</f>
        <v>0</v>
      </c>
      <c r="BB15" s="111"/>
      <c r="BC15" s="123">
        <f ca="1">SUMIFS(
  m.vb[valor],
  m.vb[nucleo],$AV$1,
  m.vb[variavel],BC$7,
  m.vb[mes],$A15
)</f>
        <v>0</v>
      </c>
      <c r="BD15" s="123">
        <f ca="1">SUMIFS(
  m.vb[valor],
  m.vb[nucleo],$AV$1,
  m.vb[variavel],BD$7,
  m.vb[mes],$A15
)</f>
        <v>0</v>
      </c>
      <c r="BE15" s="123">
        <f ca="1">SUMIFS(
  m.vb[valor],
  m.vb[nucleo],$AV$1,
  m.vb[variavel],BE$7,
  m.vb[mes],$A15
)</f>
        <v>0</v>
      </c>
      <c r="BF15" s="123">
        <f ca="1">SUMIFS(
  m.vb[valor],
  m.vb[nucleo],$AV$1,
  m.vb[variavel],BF$7,
  m.vb[mes],$A15
)</f>
        <v>0</v>
      </c>
      <c r="BG15" s="124">
        <f ca="1">SUMIFS(
  m.vb[valor],
  m.vb[nucleo],$AV$1,
  m.vb[variavel],BG$7,
  m.vb[mes],$A15
)</f>
        <v>0</v>
      </c>
      <c r="BH15" s="122">
        <f>COUNTIFS(
    tb_estq[empresa], BH$6,
    tb_estq[Data da venda / reserva], "&gt;=" &amp; $A15,
    tb_estq[Data da venda / reserva], "&lt;"  &amp; EOMONTH($A15,0) + 1
)</f>
        <v>0</v>
      </c>
      <c r="BI15" s="123">
        <f ca="1">SUMIFS(tb_rec_uni[2022-01-01],
INDIRECT("tb_rec_uni[natureza]"),"pro.soluto",
INDIRECT("tb_rec_uni[empresa]"),BI$6)</f>
        <v>0</v>
      </c>
      <c r="BJ15" s="111">
        <v>0</v>
      </c>
      <c r="BK15" s="123">
        <f ca="1">SUMIFS(tb_rec_uni[2022-01-01],
INDIRECT("tb_rec_uni[natureza]"),"taxa.extra",
INDIRECT("tb_rec_uni[empresa]"),BK$6)</f>
        <v>0</v>
      </c>
      <c r="BL15" s="111"/>
      <c r="BM15" s="123">
        <f ca="1">SUMIFS(
  m.vb[valor],
  m.vb[nucleo],$BH$1,
  m.vb[variavel],BM$7,
  m.vb[mes],$A15
)</f>
        <v>0</v>
      </c>
      <c r="BN15" s="123">
        <f ca="1">SUMIFS(
  m.vb[valor],
  m.vb[nucleo],$BH$1,
  m.vb[variavel],BN$7,
  m.vb[mes],$A15
)</f>
        <v>0</v>
      </c>
      <c r="BO15" s="123">
        <f ca="1">SUMIFS(
  m.vb[valor],
  m.vb[nucleo],$BH$1,
  m.vb[variavel],BO$7,
  m.vb[mes],$A15
)</f>
        <v>0</v>
      </c>
      <c r="BP15" s="123">
        <f ca="1">SUMIFS(
  m.vb[valor],
  m.vb[nucleo],$BH$1,
  m.vb[variavel],BP$7,
  m.vb[mes],$A15
)</f>
        <v>0</v>
      </c>
      <c r="BQ15" s="124">
        <f ca="1">SUMIFS(
  m.vb[valor],
  m.vb[nucleo],$BH$1,
  m.vb[variavel],BQ$7,
  m.vb[mes],$A15
)</f>
        <v>0</v>
      </c>
      <c r="BR15" s="122">
        <f>COUNTIFS(
    tb_estq[empresa], BR$6,
    tb_estq[Data da venda / reserva], "&gt;=" &amp; $A15,
    tb_estq[Data da venda / reserva], "&lt;"  &amp; EOMONTH($A15,0) + 1
)</f>
        <v>0</v>
      </c>
      <c r="BS15" s="123">
        <f ca="1">SUMIFS(tb_rec_uni[2022-01-01],
INDIRECT("tb_rec_uni[natureza]"),"pro.soluto",
INDIRECT("tb_rec_uni[empresa]"),BS$6)</f>
        <v>0</v>
      </c>
      <c r="BT15" s="123">
        <f ca="1">SUMIFS(tb_rec_uni[2022-01-01],
INDIRECT("tb_rec_uni[natureza]"),"parcela.fin.total.ik",
INDIRECT("tb_rec_uni[empresa]"),BT$6)</f>
        <v>0</v>
      </c>
      <c r="BU15" s="123">
        <f ca="1">SUMIFS(tb_rec_uni[2022-01-01],
INDIRECT("tb_rec_uni[natureza]"),"taxa.extra",
INDIRECT("tb_rec_uni[empresa]"),BU$6)</f>
        <v>0</v>
      </c>
      <c r="BV15" s="111"/>
      <c r="BW15" s="123">
        <f ca="1">SUMIFS(
  m.vb[valor],
  m.vb[nucleo],$BR$1,
  m.vb[variavel],BW$7,
  m.vb[mes],$A15
)</f>
        <v>0</v>
      </c>
      <c r="BX15" s="123">
        <f ca="1">SUMIFS(
  m.vb[valor],
  m.vb[nucleo],$BR$1,
  m.vb[variavel],BX$7,
  m.vb[mes],$A15
)</f>
        <v>0</v>
      </c>
      <c r="BY15" s="123">
        <f ca="1">SUMIFS(
  m.vb[valor],
  m.vb[nucleo],$BR$1,
  m.vb[variavel],BY$7,
  m.vb[mes],$A15
)</f>
        <v>0</v>
      </c>
      <c r="BZ15" s="123">
        <f ca="1">SUMIFS(
  m.vb[valor],
  m.vb[nucleo],$BR$1,
  m.vb[variavel],BZ$7,
  m.vb[mes],$A15
)</f>
        <v>0</v>
      </c>
      <c r="CA15" s="124">
        <f ca="1">SUMIFS(
  m.vb[valor],
  m.vb[nucleo],$BR$1,
  m.vb[variavel],CA$7,
  m.vb[mes],$A15
)</f>
        <v>0</v>
      </c>
      <c r="CB15" s="122">
        <f>COUNTIFS(
    tb_estq[empresa], CB$6,
    tb_estq[Data da venda / reserva], "&gt;=" &amp; $A15,
    tb_estq[Data da venda / reserva], "&lt;"  &amp; EOMONTH($A15,0) + 1
)</f>
        <v>0</v>
      </c>
      <c r="CC15" s="123">
        <f ca="1">SUMIFS(tb_rec_uni[2022-01-01],
INDIRECT("tb_rec_uni[natureza]"),"pro.soluto",
INDIRECT("tb_rec_uni[empresa]"),CC$6)</f>
        <v>0</v>
      </c>
      <c r="CD15" s="123">
        <f ca="1">SUMIFS(tb_rec_uni[2022-01-01],
INDIRECT("tb_rec_uni[natureza]"),"repasse.cef.obra",
INDIRECT("tb_rec_uni[empresa]"),CD$6)</f>
        <v>0</v>
      </c>
      <c r="CE15" s="123">
        <f ca="1">SUMIFS(tb_rec_uni[2022-01-01],
INDIRECT("tb_rec_uni[natureza]"),"repasse.cef.terreno",
INDIRECT("tb_rec_uni[empresa]"),CE$6)</f>
        <v>0</v>
      </c>
      <c r="CF15" s="123">
        <v>0</v>
      </c>
      <c r="CG15" s="123">
        <f ca="1">SUMIFS(tb_rec_uni[2022-01-01],
INDIRECT("tb_rec_uni[natureza]"),"taxa.extra",
INDIRECT("tb_rec_uni[empresa]"),CG$6)</f>
        <v>0</v>
      </c>
      <c r="CH15" s="111"/>
      <c r="CI15" s="123">
        <f ca="1">SUMIFS(
  m.vb[valor],
  m.vb[nucleo],$CB$1,
  m.vb[variavel],CI$7,
  m.vb[mes],$A15
)</f>
        <v>0</v>
      </c>
      <c r="CJ15" s="123">
        <f ca="1">SUMIFS(
  m.vb[valor],
  m.vb[nucleo],$CB$1,
  m.vb[variavel],CJ$7,
  m.vb[mes],$A15
)</f>
        <v>0</v>
      </c>
      <c r="CK15" s="123">
        <f ca="1">SUMIFS(
  m.vb[valor],
  m.vb[nucleo],$CB$1,
  m.vb[variavel],CK$7,
  m.vb[mes],$A15
)</f>
        <v>0</v>
      </c>
      <c r="CL15" s="123">
        <f ca="1">SUMIFS(
  m.vb[valor],
  m.vb[nucleo],$CB$1,
  m.vb[variavel],CL$7,
  m.vb[mes],$A15
)</f>
        <v>0</v>
      </c>
      <c r="CM15" s="124">
        <f ca="1">SUMIFS(
  m.vb[valor],
  m.vb[nucleo],$CB$1,
  m.vb[variavel],CM$7,
  m.vb[mes],$A15
)</f>
        <v>0</v>
      </c>
      <c r="CN15" s="122">
        <f>COUNTIFS(
    tb_estq[empresa], CN$6,
    tb_estq[Data da venda / reserva], "&gt;=" &amp; $A15,
    tb_estq[Data da venda / reserva], "&lt;"  &amp; EOMONTH($A15,0) + 1
)</f>
        <v>0</v>
      </c>
      <c r="CO15" s="123">
        <f ca="1">SUMIFS(tb_rec_uni[2022-01-01],
INDIRECT("tb_rec_uni[natureza]"),"pro.soluto",
INDIRECT("tb_rec_uni[empresa]"),CO$6)</f>
        <v>0</v>
      </c>
      <c r="CP15" s="123">
        <f ca="1">SUMIFS(tb_rec_uni[2022-01-01],
INDIRECT("tb_rec_uni[natureza]"),"repasse.cef.obra",
INDIRECT("tb_rec_uni[empresa]"),CP$6)</f>
        <v>0</v>
      </c>
      <c r="CQ15" s="123">
        <f ca="1">SUMIFS(tb_rec_uni[2022-01-01],
INDIRECT("tb_rec_uni[natureza]"),"repasse.cef.terreno",
INDIRECT("tb_rec_uni[empresa]"),CQ$6)</f>
        <v>0</v>
      </c>
      <c r="CR15" s="123">
        <v>0</v>
      </c>
      <c r="CS15" s="123">
        <f ca="1">SUMIFS(tb_rec_uni[2022-01-01],
INDIRECT("tb_rec_uni[natureza]"),"taxa.extra",
INDIRECT("tb_rec_uni[empresa]"),CS$6)</f>
        <v>0</v>
      </c>
      <c r="CT15" s="111"/>
      <c r="CU15" s="123">
        <f ca="1">SUMIFS(
  m.vb[valor],
  m.vb[nucleo],$CN$1,
  m.vb[variavel],CU$7,
  m.vb[mes],$A15
)</f>
        <v>0</v>
      </c>
      <c r="CV15" s="123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3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3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5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21">
        <v>44593</v>
      </c>
      <c r="B16" s="122">
        <f>COUNTIFS(
    tb_estq[empresa], B$6,
    tb_estq[Data da venda / reserva], "&gt;=" &amp; $A16,
    tb_estq[Data da venda / reserva], "&lt;"  &amp; EOMONTH($A16,0) + 1
)</f>
        <v>0</v>
      </c>
      <c r="C16" s="123">
        <f ca="1">SUMIFS(tb_rec_uni[2022-02-01],
INDIRECT("tb_rec_uni[natureza]"),"pro.soluto",
INDIRECT("tb_rec_uni[empresa]"),C$6)</f>
        <v>0</v>
      </c>
      <c r="D16" s="123">
        <f ca="1">SUMIFS(tb_rec_uni[2022-02-01],
INDIRECT("tb_rec_uni[natureza]"),"repasse.cef.obra",
INDIRECT("tb_rec_uni[empresa]"),D$6)</f>
        <v>0</v>
      </c>
      <c r="E16" s="123">
        <f ca="1">SUMIFS(tb_rec_uni[2022-02-01],
INDIRECT("tb_rec_uni[natureza]"),"repasse.cef.terreno",
INDIRECT("tb_rec_uni[empresa]"),E$6)</f>
        <v>0</v>
      </c>
      <c r="F16" s="123">
        <v>0</v>
      </c>
      <c r="G16" s="123">
        <f ca="1">SUMIFS(tb_rec_uni[2022-02-01],
INDIRECT("tb_rec_uni[natureza]"),"taxa.extra",
INDIRECT("tb_rec_uni[empresa]"),G$6)</f>
        <v>0</v>
      </c>
      <c r="H16" s="111"/>
      <c r="I16" s="123">
        <f ca="1">SUMIFS(
  m.vb[valor],
  m.vb[nucleo],$B$1,
  m.vb[variavel],I$7,
  m.vb[mes],$A16
)</f>
        <v>0</v>
      </c>
      <c r="J16" s="123">
        <f ca="1">SUMIFS(
  m.vb[valor],
  m.vb[nucleo],$B$1,
  m.vb[variavel],J$7,
  m.vb[mes],$A16
)</f>
        <v>0</v>
      </c>
      <c r="K16" s="123">
        <f ca="1">SUMIFS(
  m.vb[valor],
  m.vb[nucleo],$B$1,
  m.vb[variavel],K$7,
  m.vb[mes],$A16
)</f>
        <v>0</v>
      </c>
      <c r="L16" s="123">
        <f ca="1">SUMIFS(
  m.vb[valor],
  m.vb[nucleo],$B$1,
  m.vb[variavel],L$7,
  m.vb[mes],$A16
)</f>
        <v>0</v>
      </c>
      <c r="M16" s="124">
        <f ca="1">SUMIFS(
  m.vb[valor],
  m.vb[nucleo],$B$1,
  m.vb[variavel],M$7,
  m.vb[mes],$A16
)</f>
        <v>0</v>
      </c>
      <c r="N16" s="122">
        <f>COUNTIFS(
    tb_estq[empresa], N$6,
    tb_estq[Data da venda / reserva], "&gt;=" &amp; $A16,
    tb_estq[Data da venda / reserva], "&lt;"  &amp; EOMONTH($A16,0) + 1
)</f>
        <v>0</v>
      </c>
      <c r="O16" s="123">
        <f ca="1">SUMIFS(tb_rec_uni[2022-02-01],
INDIRECT("tb_rec_uni[natureza]"),"pro.soluto",
INDIRECT("tb_rec_uni[empresa]"),O$6)</f>
        <v>0</v>
      </c>
      <c r="P16" s="123">
        <f ca="1">SUMIFS(tb_rec_uni[2022-02-01],
INDIRECT("tb_rec_uni[natureza]"),"repasse.cef.obra",
INDIRECT("tb_rec_uni[empresa]"),P$6)</f>
        <v>0</v>
      </c>
      <c r="Q16" s="123">
        <f ca="1">SUMIFS(tb_rec_uni[2022-02-01],
INDIRECT("tb_rec_uni[natureza]"),"repasse.cef.terreno",
INDIRECT("tb_rec_uni[empresa]"),Q$6)</f>
        <v>0</v>
      </c>
      <c r="R16" s="123">
        <v>0</v>
      </c>
      <c r="S16" s="123">
        <f ca="1">SUMIFS(tb_rec_uni[2022-02-01],
INDIRECT("tb_rec_uni[natureza]"),"taxa.extra",
INDIRECT("tb_rec_uni[empresa]"),S$6)</f>
        <v>0</v>
      </c>
      <c r="T16" s="111"/>
      <c r="U16" s="123">
        <f ca="1">SUMIFS(
  m.vb[valor],
  m.vb[nucleo],$N$1,
  m.vb[variavel],U$7,
  m.vb[mes],$A16
)</f>
        <v>0</v>
      </c>
      <c r="V16" s="123">
        <f ca="1">SUMIFS(
  m.vb[valor],
  m.vb[nucleo],$N$1,
  m.vb[variavel],V$7,
  m.vb[mes],$A16
)</f>
        <v>0</v>
      </c>
      <c r="W16" s="123">
        <f ca="1">SUMIFS(
  m.vb[valor],
  m.vb[nucleo],$N$1,
  m.vb[variavel],W$7,
  m.vb[mes],$A16
)</f>
        <v>0</v>
      </c>
      <c r="X16" s="123">
        <f ca="1">SUMIFS(
  m.vb[valor],
  m.vb[nucleo],$N$1,
  m.vb[variavel],X$7,
  m.vb[mes],$A16
)</f>
        <v>0</v>
      </c>
      <c r="Y16" s="124">
        <f ca="1">SUMIFS(
  m.vb[valor],
  m.vb[nucleo],$N$1,
  m.vb[variavel],Y$7,
  m.vb[mes],$A16
)</f>
        <v>0</v>
      </c>
      <c r="Z16" s="122">
        <f>COUNTIFS(
    tb_estq[empresa], Z$6,
    tb_estq[Data da venda / reserva], "&gt;=" &amp; $A16,
    tb_estq[Data da venda / reserva], "&lt;"  &amp; EOMONTH($A16,0) + 1
)</f>
        <v>0</v>
      </c>
      <c r="AA16" s="123">
        <f ca="1">SUMIFS(tb_rec_uni[2022-02-01],
INDIRECT("tb_rec_uni[natureza]"),"pro.soluto",
INDIRECT("tb_rec_uni[empresa]"),AA$6)</f>
        <v>0</v>
      </c>
      <c r="AB16" s="123">
        <f ca="1">SUMIFS(tb_rec_uni[2022-02-01],
INDIRECT("tb_rec_uni[natureza]"),"parcela.fin.total.ik",
INDIRECT("tb_rec_uni[empresa]"),AB$6)</f>
        <v>0</v>
      </c>
      <c r="AC16" s="123">
        <f ca="1">SUMIFS(tb_rec_uni[2022-02-01],
INDIRECT("tb_rec_uni[natureza]"),"taxa.extra",
INDIRECT("tb_rec_uni[empresa]"),AC$6)</f>
        <v>0</v>
      </c>
      <c r="AD16" s="111"/>
      <c r="AE16" s="123">
        <f ca="1">SUMIFS(
  m.vb[valor],
  m.vb[nucleo],$Z$1,
  m.vb[variavel],AE$7,
  m.vb[mes],$A16
)</f>
        <v>0</v>
      </c>
      <c r="AF16" s="123">
        <f ca="1">SUMIFS(
  m.vb[valor],
  m.vb[nucleo],$Z$1,
  m.vb[variavel],AF$7,
  m.vb[mes],$A16
)</f>
        <v>0</v>
      </c>
      <c r="AG16" s="123">
        <f ca="1">SUMIFS(
  m.vb[valor],
  m.vb[nucleo],$Z$1,
  m.vb[variavel],AG$7,
  m.vb[mes],$A16
)</f>
        <v>0</v>
      </c>
      <c r="AH16" s="123">
        <f ca="1">SUMIFS(
  m.vb[valor],
  m.vb[nucleo],$Z$1,
  m.vb[variavel],AH$7,
  m.vb[mes],$A16
)</f>
        <v>0</v>
      </c>
      <c r="AI16" s="124">
        <f ca="1">SUMIFS(
  m.vb[valor],
  m.vb[nucleo],$Z$1,
  m.vb[variavel],AI$7,
  m.vb[mes],$A16
)</f>
        <v>0</v>
      </c>
      <c r="AJ16" s="122">
        <f>COUNTIFS(
    tb_estq[empresa], AJ$6,
    tb_estq[Data da venda / reserva], "&gt;=" &amp; $A16,
    tb_estq[Data da venda / reserva], "&lt;"  &amp; EOMONTH($A16,0) + 1
)</f>
        <v>0</v>
      </c>
      <c r="AK16" s="123">
        <f ca="1">SUMIFS(tb_rec_uni[2022-02-01],
INDIRECT("tb_rec_uni[natureza]"),"pro.soluto",
INDIRECT("tb_rec_uni[empresa]"),AK$6)</f>
        <v>0</v>
      </c>
      <c r="AL16" s="123">
        <f ca="1">SUMIFS(tb_rec_uni[2022-02-01],
INDIRECT("tb_rec_uni[natureza]"),"repasse.cef.obra",
INDIRECT("tb_rec_uni[empresa]"),AL$6)</f>
        <v>0</v>
      </c>
      <c r="AM16" s="123">
        <f ca="1">SUMIFS(tb_rec_uni[2022-02-01],
INDIRECT("tb_rec_uni[natureza]"),"repasse.cef.terreno",
INDIRECT("tb_rec_uni[empresa]"),AM$6)</f>
        <v>0</v>
      </c>
      <c r="AN16" s="123">
        <v>0</v>
      </c>
      <c r="AO16" s="123">
        <f ca="1">SUMIFS(tb_rec_uni[2022-02-01],
INDIRECT("tb_rec_uni[natureza]"),"taxa.extra",
INDIRECT("tb_rec_uni[empresa]"),AO$6)</f>
        <v>0</v>
      </c>
      <c r="AP16" s="111"/>
      <c r="AQ16" s="123">
        <f ca="1">SUMIFS(
  m.vb[valor],
  m.vb[nucleo],$AJ$1,
  m.vb[variavel],AQ$7,
  m.vb[mes],$A16
)</f>
        <v>0</v>
      </c>
      <c r="AR16" s="123">
        <f ca="1">SUMIFS(
  m.vb[valor],
  m.vb[nucleo],$AJ$1,
  m.vb[variavel],AR$7,
  m.vb[mes],$A16
)</f>
        <v>0</v>
      </c>
      <c r="AS16" s="123">
        <f ca="1">SUMIFS(
  m.vb[valor],
  m.vb[nucleo],$AJ$1,
  m.vb[variavel],AS$7,
  m.vb[mes],$A16
)</f>
        <v>0</v>
      </c>
      <c r="AT16" s="123">
        <f ca="1">SUMIFS(
  m.vb[valor],
  m.vb[nucleo],$AJ$1,
  m.vb[variavel],AT$7,
  m.vb[mes],$A16
)</f>
        <v>0</v>
      </c>
      <c r="AU16" s="124">
        <f ca="1">SUMIFS(
  m.vb[valor],
  m.vb[nucleo],$AJ$1,
  m.vb[variavel],AU$7,
  m.vb[mes],$A16
)</f>
        <v>0</v>
      </c>
      <c r="AV16" s="122">
        <f>COUNTIFS(
    tb_estq[empresa], AV$6,
    tb_estq[Data da venda / reserva], "&gt;=" &amp; $A16,
    tb_estq[Data da venda / reserva], "&lt;"  &amp; EOMONTH($A16,0) + 1
)</f>
        <v>0</v>
      </c>
      <c r="AW16" s="123">
        <f ca="1">SUMIFS(tb_rec_uni[2022-02-01],
INDIRECT("tb_rec_uni[natureza]"),"pro.soluto",
INDIRECT("tb_rec_uni[empresa]"),AW$6)</f>
        <v>0</v>
      </c>
      <c r="AX16" s="123">
        <f ca="1">SUMIFS(tb_rec_uni[2022-02-01],
INDIRECT("tb_rec_uni[natureza]"),"repasse.cef.obra",
INDIRECT("tb_rec_uni[empresa]"),AX$6)</f>
        <v>0</v>
      </c>
      <c r="AY16" s="123">
        <f ca="1">SUMIFS(tb_rec_uni[2022-02-01],
INDIRECT("tb_rec_uni[natureza]"),"repasse.cef.terreno",
INDIRECT("tb_rec_uni[empresa]"),AY$6)</f>
        <v>0</v>
      </c>
      <c r="AZ16" s="123">
        <v>0</v>
      </c>
      <c r="BA16" s="123">
        <f ca="1">SUMIFS(tb_rec_uni[2022-02-01],
INDIRECT("tb_rec_uni[natureza]"),"taxa.extra",
INDIRECT("tb_rec_uni[empresa]"),BA$6)</f>
        <v>0</v>
      </c>
      <c r="BB16" s="111"/>
      <c r="BC16" s="123">
        <f ca="1">SUMIFS(
  m.vb[valor],
  m.vb[nucleo],$AV$1,
  m.vb[variavel],BC$7,
  m.vb[mes],$A16
)</f>
        <v>0</v>
      </c>
      <c r="BD16" s="123">
        <f ca="1">SUMIFS(
  m.vb[valor],
  m.vb[nucleo],$AV$1,
  m.vb[variavel],BD$7,
  m.vb[mes],$A16
)</f>
        <v>0</v>
      </c>
      <c r="BE16" s="123">
        <f ca="1">SUMIFS(
  m.vb[valor],
  m.vb[nucleo],$AV$1,
  m.vb[variavel],BE$7,
  m.vb[mes],$A16
)</f>
        <v>0</v>
      </c>
      <c r="BF16" s="123">
        <f ca="1">SUMIFS(
  m.vb[valor],
  m.vb[nucleo],$AV$1,
  m.vb[variavel],BF$7,
  m.vb[mes],$A16
)</f>
        <v>0</v>
      </c>
      <c r="BG16" s="124">
        <f ca="1">SUMIFS(
  m.vb[valor],
  m.vb[nucleo],$AV$1,
  m.vb[variavel],BG$7,
  m.vb[mes],$A16
)</f>
        <v>0</v>
      </c>
      <c r="BH16" s="122">
        <f>COUNTIFS(
    tb_estq[empresa], BH$6,
    tb_estq[Data da venda / reserva], "&gt;=" &amp; $A16,
    tb_estq[Data da venda / reserva], "&lt;"  &amp; EOMONTH($A16,0) + 1
)</f>
        <v>0</v>
      </c>
      <c r="BI16" s="123">
        <f ca="1">SUMIFS(tb_rec_uni[2022-02-01],
INDIRECT("tb_rec_uni[natureza]"),"pro.soluto",
INDIRECT("tb_rec_uni[empresa]"),BI$6)</f>
        <v>0</v>
      </c>
      <c r="BJ16" s="111">
        <v>0</v>
      </c>
      <c r="BK16" s="123">
        <f ca="1">SUMIFS(tb_rec_uni[2022-02-01],
INDIRECT("tb_rec_uni[natureza]"),"taxa.extra",
INDIRECT("tb_rec_uni[empresa]"),BK$6)</f>
        <v>0</v>
      </c>
      <c r="BL16" s="111"/>
      <c r="BM16" s="123">
        <f ca="1">SUMIFS(
  m.vb[valor],
  m.vb[nucleo],$BH$1,
  m.vb[variavel],BM$7,
  m.vb[mes],$A16
)</f>
        <v>0</v>
      </c>
      <c r="BN16" s="123">
        <f ca="1">SUMIFS(
  m.vb[valor],
  m.vb[nucleo],$BH$1,
  m.vb[variavel],BN$7,
  m.vb[mes],$A16
)</f>
        <v>0</v>
      </c>
      <c r="BO16" s="123">
        <f ca="1">SUMIFS(
  m.vb[valor],
  m.vb[nucleo],$BH$1,
  m.vb[variavel],BO$7,
  m.vb[mes],$A16
)</f>
        <v>0</v>
      </c>
      <c r="BP16" s="123">
        <f ca="1">SUMIFS(
  m.vb[valor],
  m.vb[nucleo],$BH$1,
  m.vb[variavel],BP$7,
  m.vb[mes],$A16
)</f>
        <v>0</v>
      </c>
      <c r="BQ16" s="124">
        <f ca="1">SUMIFS(
  m.vb[valor],
  m.vb[nucleo],$BH$1,
  m.vb[variavel],BQ$7,
  m.vb[mes],$A16
)</f>
        <v>0</v>
      </c>
      <c r="BR16" s="122">
        <f>COUNTIFS(
    tb_estq[empresa], BR$6,
    tb_estq[Data da venda / reserva], "&gt;=" &amp; $A16,
    tb_estq[Data da venda / reserva], "&lt;"  &amp; EOMONTH($A16,0) + 1
)</f>
        <v>0</v>
      </c>
      <c r="BS16" s="123">
        <f ca="1">SUMIFS(tb_rec_uni[2022-02-01],
INDIRECT("tb_rec_uni[natureza]"),"pro.soluto",
INDIRECT("tb_rec_uni[empresa]"),BS$6)</f>
        <v>0</v>
      </c>
      <c r="BT16" s="123">
        <f ca="1">SUMIFS(tb_rec_uni[2022-02-01],
INDIRECT("tb_rec_uni[natureza]"),"parcela.fin.total.ik",
INDIRECT("tb_rec_uni[empresa]"),BT$6)</f>
        <v>0</v>
      </c>
      <c r="BU16" s="123">
        <f ca="1">SUMIFS(tb_rec_uni[2022-02-01],
INDIRECT("tb_rec_uni[natureza]"),"taxa.extra",
INDIRECT("tb_rec_uni[empresa]"),BU$6)</f>
        <v>0</v>
      </c>
      <c r="BV16" s="111"/>
      <c r="BW16" s="123">
        <f ca="1">SUMIFS(
  m.vb[valor],
  m.vb[nucleo],$BR$1,
  m.vb[variavel],BW$7,
  m.vb[mes],$A16
)</f>
        <v>0</v>
      </c>
      <c r="BX16" s="123">
        <f ca="1">SUMIFS(
  m.vb[valor],
  m.vb[nucleo],$BR$1,
  m.vb[variavel],BX$7,
  m.vb[mes],$A16
)</f>
        <v>0</v>
      </c>
      <c r="BY16" s="123">
        <f ca="1">SUMIFS(
  m.vb[valor],
  m.vb[nucleo],$BR$1,
  m.vb[variavel],BY$7,
  m.vb[mes],$A16
)</f>
        <v>0</v>
      </c>
      <c r="BZ16" s="123">
        <f ca="1">SUMIFS(
  m.vb[valor],
  m.vb[nucleo],$BR$1,
  m.vb[variavel],BZ$7,
  m.vb[mes],$A16
)</f>
        <v>0</v>
      </c>
      <c r="CA16" s="124">
        <f ca="1">SUMIFS(
  m.vb[valor],
  m.vb[nucleo],$BR$1,
  m.vb[variavel],CA$7,
  m.vb[mes],$A16
)</f>
        <v>0</v>
      </c>
      <c r="CB16" s="122">
        <f>COUNTIFS(
    tb_estq[empresa], CB$6,
    tb_estq[Data da venda / reserva], "&gt;=" &amp; $A16,
    tb_estq[Data da venda / reserva], "&lt;"  &amp; EOMONTH($A16,0) + 1
)</f>
        <v>0</v>
      </c>
      <c r="CC16" s="123">
        <f ca="1">SUMIFS(tb_rec_uni[2022-02-01],
INDIRECT("tb_rec_uni[natureza]"),"pro.soluto",
INDIRECT("tb_rec_uni[empresa]"),CC$6)</f>
        <v>0</v>
      </c>
      <c r="CD16" s="123">
        <f ca="1">SUMIFS(tb_rec_uni[2022-02-01],
INDIRECT("tb_rec_uni[natureza]"),"repasse.cef.obra",
INDIRECT("tb_rec_uni[empresa]"),CD$6)</f>
        <v>0</v>
      </c>
      <c r="CE16" s="123">
        <f ca="1">SUMIFS(tb_rec_uni[2022-02-01],
INDIRECT("tb_rec_uni[natureza]"),"repasse.cef.terreno",
INDIRECT("tb_rec_uni[empresa]"),CE$6)</f>
        <v>0</v>
      </c>
      <c r="CF16" s="123">
        <v>0</v>
      </c>
      <c r="CG16" s="123">
        <f ca="1">SUMIFS(tb_rec_uni[2022-02-01],
INDIRECT("tb_rec_uni[natureza]"),"taxa.extra",
INDIRECT("tb_rec_uni[empresa]"),CG$6)</f>
        <v>0</v>
      </c>
      <c r="CH16" s="111"/>
      <c r="CI16" s="123">
        <f ca="1">SUMIFS(
  m.vb[valor],
  m.vb[nucleo],$CB$1,
  m.vb[variavel],CI$7,
  m.vb[mes],$A16
)</f>
        <v>0</v>
      </c>
      <c r="CJ16" s="123">
        <f ca="1">SUMIFS(
  m.vb[valor],
  m.vb[nucleo],$CB$1,
  m.vb[variavel],CJ$7,
  m.vb[mes],$A16
)</f>
        <v>0</v>
      </c>
      <c r="CK16" s="123">
        <f ca="1">SUMIFS(
  m.vb[valor],
  m.vb[nucleo],$CB$1,
  m.vb[variavel],CK$7,
  m.vb[mes],$A16
)</f>
        <v>0</v>
      </c>
      <c r="CL16" s="123">
        <f ca="1">SUMIFS(
  m.vb[valor],
  m.vb[nucleo],$CB$1,
  m.vb[variavel],CL$7,
  m.vb[mes],$A16
)</f>
        <v>0</v>
      </c>
      <c r="CM16" s="124">
        <f ca="1">SUMIFS(
  m.vb[valor],
  m.vb[nucleo],$CB$1,
  m.vb[variavel],CM$7,
  m.vb[mes],$A16
)</f>
        <v>0</v>
      </c>
      <c r="CN16" s="122">
        <f>COUNTIFS(
    tb_estq[empresa], CN$6,
    tb_estq[Data da venda / reserva], "&gt;=" &amp; $A16,
    tb_estq[Data da venda / reserva], "&lt;"  &amp; EOMONTH($A16,0) + 1
)</f>
        <v>0</v>
      </c>
      <c r="CO16" s="123">
        <f ca="1">SUMIFS(tb_rec_uni[2022-02-01],
INDIRECT("tb_rec_uni[natureza]"),"pro.soluto",
INDIRECT("tb_rec_uni[empresa]"),CO$6)</f>
        <v>0</v>
      </c>
      <c r="CP16" s="123">
        <f ca="1">SUMIFS(tb_rec_uni[2022-02-01],
INDIRECT("tb_rec_uni[natureza]"),"repasse.cef.obra",
INDIRECT("tb_rec_uni[empresa]"),CP$6)</f>
        <v>0</v>
      </c>
      <c r="CQ16" s="123">
        <f ca="1">SUMIFS(tb_rec_uni[2022-02-01],
INDIRECT("tb_rec_uni[natureza]"),"repasse.cef.terreno",
INDIRECT("tb_rec_uni[empresa]"),CQ$6)</f>
        <v>0</v>
      </c>
      <c r="CR16" s="123">
        <v>0</v>
      </c>
      <c r="CS16" s="123">
        <f ca="1">SUMIFS(tb_rec_uni[2022-02-01],
INDIRECT("tb_rec_uni[natureza]"),"taxa.extra",
INDIRECT("tb_rec_uni[empresa]"),CS$6)</f>
        <v>0</v>
      </c>
      <c r="CT16" s="111"/>
      <c r="CU16" s="123">
        <f ca="1">SUMIFS(
  m.vb[valor],
  m.vb[nucleo],$CN$1,
  m.vb[variavel],CU$7,
  m.vb[mes],$A16
)</f>
        <v>0</v>
      </c>
      <c r="CV16" s="123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3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3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5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21">
        <v>44621</v>
      </c>
      <c r="B17" s="122">
        <f>COUNTIFS(
    tb_estq[empresa], B$6,
    tb_estq[Data da venda / reserva], "&gt;=" &amp; $A17,
    tb_estq[Data da venda / reserva], "&lt;"  &amp; EOMONTH($A17,0) + 1
)</f>
        <v>0</v>
      </c>
      <c r="C17" s="123">
        <f ca="1">SUMIFS(tb_rec_uni[2022-03-01],
INDIRECT("tb_rec_uni[natureza]"),"pro.soluto",
INDIRECT("tb_rec_uni[empresa]"),C$6)</f>
        <v>0</v>
      </c>
      <c r="D17" s="123">
        <f ca="1">SUMIFS(tb_rec_uni[2022-03-01],
INDIRECT("tb_rec_uni[natureza]"),"repasse.cef.obra",
INDIRECT("tb_rec_uni[empresa]"),D$6)</f>
        <v>0</v>
      </c>
      <c r="E17" s="123">
        <f ca="1">SUMIFS(tb_rec_uni[2022-03-01],
INDIRECT("tb_rec_uni[natureza]"),"repasse.cef.terreno",
INDIRECT("tb_rec_uni[empresa]"),E$6)</f>
        <v>0</v>
      </c>
      <c r="F17" s="123">
        <v>0</v>
      </c>
      <c r="G17" s="123">
        <f ca="1">SUMIFS(tb_rec_uni[2022-03-01],
INDIRECT("tb_rec_uni[natureza]"),"taxa.extra",
INDIRECT("tb_rec_uni[empresa]"),G$6)</f>
        <v>0</v>
      </c>
      <c r="H17" s="111"/>
      <c r="I17" s="123">
        <f ca="1">SUMIFS(
  m.vb[valor],
  m.vb[nucleo],$B$1,
  m.vb[variavel],I$7,
  m.vb[mes],$A17
)</f>
        <v>0</v>
      </c>
      <c r="J17" s="123">
        <f ca="1">SUMIFS(
  m.vb[valor],
  m.vb[nucleo],$B$1,
  m.vb[variavel],J$7,
  m.vb[mes],$A17
)</f>
        <v>0</v>
      </c>
      <c r="K17" s="123">
        <f ca="1">SUMIFS(
  m.vb[valor],
  m.vb[nucleo],$B$1,
  m.vb[variavel],K$7,
  m.vb[mes],$A17
)</f>
        <v>0</v>
      </c>
      <c r="L17" s="123">
        <f ca="1">SUMIFS(
  m.vb[valor],
  m.vb[nucleo],$B$1,
  m.vb[variavel],L$7,
  m.vb[mes],$A17
)</f>
        <v>0</v>
      </c>
      <c r="M17" s="124">
        <f ca="1">SUMIFS(
  m.vb[valor],
  m.vb[nucleo],$B$1,
  m.vb[variavel],M$7,
  m.vb[mes],$A17
)</f>
        <v>0</v>
      </c>
      <c r="N17" s="122">
        <f>COUNTIFS(
    tb_estq[empresa], N$6,
    tb_estq[Data da venda / reserva], "&gt;=" &amp; $A17,
    tb_estq[Data da venda / reserva], "&lt;"  &amp; EOMONTH($A17,0) + 1
)</f>
        <v>0</v>
      </c>
      <c r="O17" s="123">
        <f ca="1">SUMIFS(tb_rec_uni[2022-03-01],
INDIRECT("tb_rec_uni[natureza]"),"pro.soluto",
INDIRECT("tb_rec_uni[empresa]"),O$6)</f>
        <v>0</v>
      </c>
      <c r="P17" s="123">
        <f ca="1">SUMIFS(tb_rec_uni[2022-03-01],
INDIRECT("tb_rec_uni[natureza]"),"repasse.cef.obra",
INDIRECT("tb_rec_uni[empresa]"),P$6)</f>
        <v>0</v>
      </c>
      <c r="Q17" s="123">
        <f ca="1">SUMIFS(tb_rec_uni[2022-03-01],
INDIRECT("tb_rec_uni[natureza]"),"repasse.cef.terreno",
INDIRECT("tb_rec_uni[empresa]"),Q$6)</f>
        <v>0</v>
      </c>
      <c r="R17" s="123">
        <v>0</v>
      </c>
      <c r="S17" s="123">
        <f ca="1">SUMIFS(tb_rec_uni[2022-03-01],
INDIRECT("tb_rec_uni[natureza]"),"taxa.extra",
INDIRECT("tb_rec_uni[empresa]"),S$6)</f>
        <v>0</v>
      </c>
      <c r="T17" s="111"/>
      <c r="U17" s="123">
        <f ca="1">SUMIFS(
  m.vb[valor],
  m.vb[nucleo],$N$1,
  m.vb[variavel],U$7,
  m.vb[mes],$A17
)</f>
        <v>0</v>
      </c>
      <c r="V17" s="123">
        <f ca="1">SUMIFS(
  m.vb[valor],
  m.vb[nucleo],$N$1,
  m.vb[variavel],V$7,
  m.vb[mes],$A17
)</f>
        <v>0</v>
      </c>
      <c r="W17" s="123">
        <f ca="1">SUMIFS(
  m.vb[valor],
  m.vb[nucleo],$N$1,
  m.vb[variavel],W$7,
  m.vb[mes],$A17
)</f>
        <v>0</v>
      </c>
      <c r="X17" s="123">
        <f ca="1">SUMIFS(
  m.vb[valor],
  m.vb[nucleo],$N$1,
  m.vb[variavel],X$7,
  m.vb[mes],$A17
)</f>
        <v>0</v>
      </c>
      <c r="Y17" s="124">
        <f ca="1">SUMIFS(
  m.vb[valor],
  m.vb[nucleo],$N$1,
  m.vb[variavel],Y$7,
  m.vb[mes],$A17
)</f>
        <v>0</v>
      </c>
      <c r="Z17" s="122">
        <f>COUNTIFS(
    tb_estq[empresa], Z$6,
    tb_estq[Data da venda / reserva], "&gt;=" &amp; $A17,
    tb_estq[Data da venda / reserva], "&lt;"  &amp; EOMONTH($A17,0) + 1
)</f>
        <v>0</v>
      </c>
      <c r="AA17" s="123">
        <f ca="1">SUMIFS(tb_rec_uni[2022-03-01],
INDIRECT("tb_rec_uni[natureza]"),"pro.soluto",
INDIRECT("tb_rec_uni[empresa]"),AA$6)</f>
        <v>0</v>
      </c>
      <c r="AB17" s="123">
        <f ca="1">SUMIFS(tb_rec_uni[2022-03-01],
INDIRECT("tb_rec_uni[natureza]"),"parcela.fin.total.ik",
INDIRECT("tb_rec_uni[empresa]"),AB$6)</f>
        <v>0</v>
      </c>
      <c r="AC17" s="123">
        <f ca="1">SUMIFS(tb_rec_uni[2022-03-01],
INDIRECT("tb_rec_uni[natureza]"),"taxa.extra",
INDIRECT("tb_rec_uni[empresa]"),AC$6)</f>
        <v>0</v>
      </c>
      <c r="AD17" s="111"/>
      <c r="AE17" s="123">
        <f ca="1">SUMIFS(
  m.vb[valor],
  m.vb[nucleo],$Z$1,
  m.vb[variavel],AE$7,
  m.vb[mes],$A17
)</f>
        <v>0</v>
      </c>
      <c r="AF17" s="123">
        <f ca="1">SUMIFS(
  m.vb[valor],
  m.vb[nucleo],$Z$1,
  m.vb[variavel],AF$7,
  m.vb[mes],$A17
)</f>
        <v>0</v>
      </c>
      <c r="AG17" s="123">
        <f ca="1">SUMIFS(
  m.vb[valor],
  m.vb[nucleo],$Z$1,
  m.vb[variavel],AG$7,
  m.vb[mes],$A17
)</f>
        <v>0</v>
      </c>
      <c r="AH17" s="123">
        <f ca="1">SUMIFS(
  m.vb[valor],
  m.vb[nucleo],$Z$1,
  m.vb[variavel],AH$7,
  m.vb[mes],$A17
)</f>
        <v>0</v>
      </c>
      <c r="AI17" s="124">
        <f ca="1">SUMIFS(
  m.vb[valor],
  m.vb[nucleo],$Z$1,
  m.vb[variavel],AI$7,
  m.vb[mes],$A17
)</f>
        <v>0</v>
      </c>
      <c r="AJ17" s="122">
        <f>COUNTIFS(
    tb_estq[empresa], AJ$6,
    tb_estq[Data da venda / reserva], "&gt;=" &amp; $A17,
    tb_estq[Data da venda / reserva], "&lt;"  &amp; EOMONTH($A17,0) + 1
)</f>
        <v>0</v>
      </c>
      <c r="AK17" s="123">
        <f ca="1">SUMIFS(tb_rec_uni[2022-03-01],
INDIRECT("tb_rec_uni[natureza]"),"pro.soluto",
INDIRECT("tb_rec_uni[empresa]"),AK$6)</f>
        <v>0</v>
      </c>
      <c r="AL17" s="123">
        <f ca="1">SUMIFS(tb_rec_uni[2022-03-01],
INDIRECT("tb_rec_uni[natureza]"),"repasse.cef.obra",
INDIRECT("tb_rec_uni[empresa]"),AL$6)</f>
        <v>0</v>
      </c>
      <c r="AM17" s="123">
        <f ca="1">SUMIFS(tb_rec_uni[2022-03-01],
INDIRECT("tb_rec_uni[natureza]"),"repasse.cef.terreno",
INDIRECT("tb_rec_uni[empresa]"),AM$6)</f>
        <v>0</v>
      </c>
      <c r="AN17" s="123">
        <v>0</v>
      </c>
      <c r="AO17" s="123">
        <f ca="1">SUMIFS(tb_rec_uni[2022-03-01],
INDIRECT("tb_rec_uni[natureza]"),"taxa.extra",
INDIRECT("tb_rec_uni[empresa]"),AO$6)</f>
        <v>0</v>
      </c>
      <c r="AP17" s="111"/>
      <c r="AQ17" s="123">
        <f ca="1">SUMIFS(
  m.vb[valor],
  m.vb[nucleo],$AJ$1,
  m.vb[variavel],AQ$7,
  m.vb[mes],$A17
)</f>
        <v>0</v>
      </c>
      <c r="AR17" s="123">
        <f ca="1">SUMIFS(
  m.vb[valor],
  m.vb[nucleo],$AJ$1,
  m.vb[variavel],AR$7,
  m.vb[mes],$A17
)</f>
        <v>0</v>
      </c>
      <c r="AS17" s="123">
        <f ca="1">SUMIFS(
  m.vb[valor],
  m.vb[nucleo],$AJ$1,
  m.vb[variavel],AS$7,
  m.vb[mes],$A17
)</f>
        <v>0</v>
      </c>
      <c r="AT17" s="123">
        <f ca="1">SUMIFS(
  m.vb[valor],
  m.vb[nucleo],$AJ$1,
  m.vb[variavel],AT$7,
  m.vb[mes],$A17
)</f>
        <v>0</v>
      </c>
      <c r="AU17" s="124">
        <f ca="1">SUMIFS(
  m.vb[valor],
  m.vb[nucleo],$AJ$1,
  m.vb[variavel],AU$7,
  m.vb[mes],$A17
)</f>
        <v>0</v>
      </c>
      <c r="AV17" s="122">
        <f>COUNTIFS(
    tb_estq[empresa], AV$6,
    tb_estq[Data da venda / reserva], "&gt;=" &amp; $A17,
    tb_estq[Data da venda / reserva], "&lt;"  &amp; EOMONTH($A17,0) + 1
)</f>
        <v>0</v>
      </c>
      <c r="AW17" s="123">
        <f ca="1">SUMIFS(tb_rec_uni[2022-03-01],
INDIRECT("tb_rec_uni[natureza]"),"pro.soluto",
INDIRECT("tb_rec_uni[empresa]"),AW$6)</f>
        <v>0</v>
      </c>
      <c r="AX17" s="123">
        <f ca="1">SUMIFS(tb_rec_uni[2022-03-01],
INDIRECT("tb_rec_uni[natureza]"),"repasse.cef.obra",
INDIRECT("tb_rec_uni[empresa]"),AX$6)</f>
        <v>0</v>
      </c>
      <c r="AY17" s="123">
        <f ca="1">SUMIFS(tb_rec_uni[2022-03-01],
INDIRECT("tb_rec_uni[natureza]"),"repasse.cef.terreno",
INDIRECT("tb_rec_uni[empresa]"),AY$6)</f>
        <v>0</v>
      </c>
      <c r="AZ17" s="123">
        <v>0</v>
      </c>
      <c r="BA17" s="123">
        <f ca="1">SUMIFS(tb_rec_uni[2022-03-01],
INDIRECT("tb_rec_uni[natureza]"),"taxa.extra",
INDIRECT("tb_rec_uni[empresa]"),BA$6)</f>
        <v>0</v>
      </c>
      <c r="BB17" s="111"/>
      <c r="BC17" s="123">
        <f ca="1">SUMIFS(
  m.vb[valor],
  m.vb[nucleo],$AV$1,
  m.vb[variavel],BC$7,
  m.vb[mes],$A17
)</f>
        <v>0</v>
      </c>
      <c r="BD17" s="123">
        <f ca="1">SUMIFS(
  m.vb[valor],
  m.vb[nucleo],$AV$1,
  m.vb[variavel],BD$7,
  m.vb[mes],$A17
)</f>
        <v>0</v>
      </c>
      <c r="BE17" s="123">
        <f ca="1">SUMIFS(
  m.vb[valor],
  m.vb[nucleo],$AV$1,
  m.vb[variavel],BE$7,
  m.vb[mes],$A17
)</f>
        <v>0</v>
      </c>
      <c r="BF17" s="123">
        <f ca="1">SUMIFS(
  m.vb[valor],
  m.vb[nucleo],$AV$1,
  m.vb[variavel],BF$7,
  m.vb[mes],$A17
)</f>
        <v>0</v>
      </c>
      <c r="BG17" s="124">
        <f ca="1">SUMIFS(
  m.vb[valor],
  m.vb[nucleo],$AV$1,
  m.vb[variavel],BG$7,
  m.vb[mes],$A17
)</f>
        <v>0</v>
      </c>
      <c r="BH17" s="122">
        <f>COUNTIFS(
    tb_estq[empresa], BH$6,
    tb_estq[Data da venda / reserva], "&gt;=" &amp; $A17,
    tb_estq[Data da venda / reserva], "&lt;"  &amp; EOMONTH($A17,0) + 1
)</f>
        <v>0</v>
      </c>
      <c r="BI17" s="123">
        <f ca="1">SUMIFS(tb_rec_uni[2022-03-01],
INDIRECT("tb_rec_uni[natureza]"),"pro.soluto",
INDIRECT("tb_rec_uni[empresa]"),BI$6)</f>
        <v>0</v>
      </c>
      <c r="BJ17" s="111">
        <v>0</v>
      </c>
      <c r="BK17" s="123">
        <f ca="1">SUMIFS(tb_rec_uni[2022-03-01],
INDIRECT("tb_rec_uni[natureza]"),"taxa.extra",
INDIRECT("tb_rec_uni[empresa]"),BK$6)</f>
        <v>0</v>
      </c>
      <c r="BL17" s="111"/>
      <c r="BM17" s="123">
        <f ca="1">SUMIFS(
  m.vb[valor],
  m.vb[nucleo],$BH$1,
  m.vb[variavel],BM$7,
  m.vb[mes],$A17
)</f>
        <v>0</v>
      </c>
      <c r="BN17" s="123">
        <f ca="1">SUMIFS(
  m.vb[valor],
  m.vb[nucleo],$BH$1,
  m.vb[variavel],BN$7,
  m.vb[mes],$A17
)</f>
        <v>0</v>
      </c>
      <c r="BO17" s="123">
        <f ca="1">SUMIFS(
  m.vb[valor],
  m.vb[nucleo],$BH$1,
  m.vb[variavel],BO$7,
  m.vb[mes],$A17
)</f>
        <v>0</v>
      </c>
      <c r="BP17" s="123">
        <f ca="1">SUMIFS(
  m.vb[valor],
  m.vb[nucleo],$BH$1,
  m.vb[variavel],BP$7,
  m.vb[mes],$A17
)</f>
        <v>0</v>
      </c>
      <c r="BQ17" s="124">
        <f ca="1">SUMIFS(
  m.vb[valor],
  m.vb[nucleo],$BH$1,
  m.vb[variavel],BQ$7,
  m.vb[mes],$A17
)</f>
        <v>0</v>
      </c>
      <c r="BR17" s="122">
        <f>COUNTIFS(
    tb_estq[empresa], BR$6,
    tb_estq[Data da venda / reserva], "&gt;=" &amp; $A17,
    tb_estq[Data da venda / reserva], "&lt;"  &amp; EOMONTH($A17,0) + 1
)</f>
        <v>0</v>
      </c>
      <c r="BS17" s="123">
        <f ca="1">SUMIFS(tb_rec_uni[2022-03-01],
INDIRECT("tb_rec_uni[natureza]"),"pro.soluto",
INDIRECT("tb_rec_uni[empresa]"),BS$6)</f>
        <v>0</v>
      </c>
      <c r="BT17" s="123">
        <f ca="1">SUMIFS(tb_rec_uni[2022-03-01],
INDIRECT("tb_rec_uni[natureza]"),"parcela.fin.total.ik",
INDIRECT("tb_rec_uni[empresa]"),BT$6)</f>
        <v>0</v>
      </c>
      <c r="BU17" s="123">
        <f ca="1">SUMIFS(tb_rec_uni[2022-03-01],
INDIRECT("tb_rec_uni[natureza]"),"taxa.extra",
INDIRECT("tb_rec_uni[empresa]"),BU$6)</f>
        <v>0</v>
      </c>
      <c r="BV17" s="111"/>
      <c r="BW17" s="123">
        <f ca="1">SUMIFS(
  m.vb[valor],
  m.vb[nucleo],$BR$1,
  m.vb[variavel],BW$7,
  m.vb[mes],$A17
)</f>
        <v>0</v>
      </c>
      <c r="BX17" s="123">
        <f ca="1">SUMIFS(
  m.vb[valor],
  m.vb[nucleo],$BR$1,
  m.vb[variavel],BX$7,
  m.vb[mes],$A17
)</f>
        <v>0</v>
      </c>
      <c r="BY17" s="123">
        <f ca="1">SUMIFS(
  m.vb[valor],
  m.vb[nucleo],$BR$1,
  m.vb[variavel],BY$7,
  m.vb[mes],$A17
)</f>
        <v>0</v>
      </c>
      <c r="BZ17" s="123">
        <f ca="1">SUMIFS(
  m.vb[valor],
  m.vb[nucleo],$BR$1,
  m.vb[variavel],BZ$7,
  m.vb[mes],$A17
)</f>
        <v>0</v>
      </c>
      <c r="CA17" s="124">
        <f ca="1">SUMIFS(
  m.vb[valor],
  m.vb[nucleo],$BR$1,
  m.vb[variavel],CA$7,
  m.vb[mes],$A17
)</f>
        <v>0</v>
      </c>
      <c r="CB17" s="122">
        <f>COUNTIFS(
    tb_estq[empresa], CB$6,
    tb_estq[Data da venda / reserva], "&gt;=" &amp; $A17,
    tb_estq[Data da venda / reserva], "&lt;"  &amp; EOMONTH($A17,0) + 1
)</f>
        <v>0</v>
      </c>
      <c r="CC17" s="123">
        <f ca="1">SUMIFS(tb_rec_uni[2022-03-01],
INDIRECT("tb_rec_uni[natureza]"),"pro.soluto",
INDIRECT("tb_rec_uni[empresa]"),CC$6)</f>
        <v>0</v>
      </c>
      <c r="CD17" s="123">
        <f ca="1">SUMIFS(tb_rec_uni[2022-03-01],
INDIRECT("tb_rec_uni[natureza]"),"repasse.cef.obra",
INDIRECT("tb_rec_uni[empresa]"),CD$6)</f>
        <v>0</v>
      </c>
      <c r="CE17" s="123">
        <f ca="1">SUMIFS(tb_rec_uni[2022-03-01],
INDIRECT("tb_rec_uni[natureza]"),"repasse.cef.terreno",
INDIRECT("tb_rec_uni[empresa]"),CE$6)</f>
        <v>0</v>
      </c>
      <c r="CF17" s="123">
        <v>0</v>
      </c>
      <c r="CG17" s="123">
        <f ca="1">SUMIFS(tb_rec_uni[2022-03-01],
INDIRECT("tb_rec_uni[natureza]"),"taxa.extra",
INDIRECT("tb_rec_uni[empresa]"),CG$6)</f>
        <v>0</v>
      </c>
      <c r="CH17" s="111"/>
      <c r="CI17" s="123">
        <f ca="1">SUMIFS(
  m.vb[valor],
  m.vb[nucleo],$CB$1,
  m.vb[variavel],CI$7,
  m.vb[mes],$A17
)</f>
        <v>0</v>
      </c>
      <c r="CJ17" s="123">
        <f ca="1">SUMIFS(
  m.vb[valor],
  m.vb[nucleo],$CB$1,
  m.vb[variavel],CJ$7,
  m.vb[mes],$A17
)</f>
        <v>0</v>
      </c>
      <c r="CK17" s="123">
        <f ca="1">SUMIFS(
  m.vb[valor],
  m.vb[nucleo],$CB$1,
  m.vb[variavel],CK$7,
  m.vb[mes],$A17
)</f>
        <v>0</v>
      </c>
      <c r="CL17" s="123">
        <f ca="1">SUMIFS(
  m.vb[valor],
  m.vb[nucleo],$CB$1,
  m.vb[variavel],CL$7,
  m.vb[mes],$A17
)</f>
        <v>0</v>
      </c>
      <c r="CM17" s="124">
        <f ca="1">SUMIFS(
  m.vb[valor],
  m.vb[nucleo],$CB$1,
  m.vb[variavel],CM$7,
  m.vb[mes],$A17
)</f>
        <v>0</v>
      </c>
      <c r="CN17" s="122">
        <f>COUNTIFS(
    tb_estq[empresa], CN$6,
    tb_estq[Data da venda / reserva], "&gt;=" &amp; $A17,
    tb_estq[Data da venda / reserva], "&lt;"  &amp; EOMONTH($A17,0) + 1
)</f>
        <v>0</v>
      </c>
      <c r="CO17" s="123">
        <f ca="1">SUMIFS(tb_rec_uni[2022-03-01],
INDIRECT("tb_rec_uni[natureza]"),"pro.soluto",
INDIRECT("tb_rec_uni[empresa]"),CO$6)</f>
        <v>0</v>
      </c>
      <c r="CP17" s="123">
        <f ca="1">SUMIFS(tb_rec_uni[2022-03-01],
INDIRECT("tb_rec_uni[natureza]"),"repasse.cef.obra",
INDIRECT("tb_rec_uni[empresa]"),CP$6)</f>
        <v>0</v>
      </c>
      <c r="CQ17" s="123">
        <f ca="1">SUMIFS(tb_rec_uni[2022-03-01],
INDIRECT("tb_rec_uni[natureza]"),"repasse.cef.terreno",
INDIRECT("tb_rec_uni[empresa]"),CQ$6)</f>
        <v>0</v>
      </c>
      <c r="CR17" s="123">
        <v>0</v>
      </c>
      <c r="CS17" s="123">
        <f ca="1">SUMIFS(tb_rec_uni[2022-03-01],
INDIRECT("tb_rec_uni[natureza]"),"taxa.extra",
INDIRECT("tb_rec_uni[empresa]"),CS$6)</f>
        <v>0</v>
      </c>
      <c r="CT17" s="111"/>
      <c r="CU17" s="123">
        <f ca="1">SUMIFS(
  m.vb[valor],
  m.vb[nucleo],$CN$1,
  m.vb[variavel],CU$7,
  m.vb[mes],$A17
)</f>
        <v>0</v>
      </c>
      <c r="CV17" s="123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3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3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5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21">
        <v>44652</v>
      </c>
      <c r="B18" s="122">
        <f>COUNTIFS(
    tb_estq[empresa], B$6,
    tb_estq[Data da venda / reserva], "&gt;=" &amp; $A18,
    tb_estq[Data da venda / reserva], "&lt;"  &amp; EOMONTH($A18,0) + 1
)</f>
        <v>0</v>
      </c>
      <c r="C18" s="123">
        <f ca="1">SUMIFS(tb_rec_uni[2022-04-01],
INDIRECT("tb_rec_uni[natureza]"),"pro.soluto",
INDIRECT("tb_rec_uni[empresa]"),C$6)</f>
        <v>0</v>
      </c>
      <c r="D18" s="123">
        <f ca="1">SUMIFS(tb_rec_uni[2022-04-01],
INDIRECT("tb_rec_uni[natureza]"),"repasse.cef.obra",
INDIRECT("tb_rec_uni[empresa]"),D$6)</f>
        <v>0</v>
      </c>
      <c r="E18" s="123">
        <f ca="1">SUMIFS(tb_rec_uni[2022-04-01],
INDIRECT("tb_rec_uni[natureza]"),"repasse.cef.terreno",
INDIRECT("tb_rec_uni[empresa]"),E$6)</f>
        <v>0</v>
      </c>
      <c r="F18" s="123">
        <v>0</v>
      </c>
      <c r="G18" s="123">
        <f ca="1">SUMIFS(tb_rec_uni[2022-04-01],
INDIRECT("tb_rec_uni[natureza]"),"taxa.extra",
INDIRECT("tb_rec_uni[empresa]"),G$6)</f>
        <v>0</v>
      </c>
      <c r="H18" s="111"/>
      <c r="I18" s="123">
        <f ca="1">SUMIFS(
  m.vb[valor],
  m.vb[nucleo],$B$1,
  m.vb[variavel],I$7,
  m.vb[mes],$A18
)</f>
        <v>0</v>
      </c>
      <c r="J18" s="123">
        <f ca="1">SUMIFS(
  m.vb[valor],
  m.vb[nucleo],$B$1,
  m.vb[variavel],J$7,
  m.vb[mes],$A18
)</f>
        <v>0</v>
      </c>
      <c r="K18" s="123">
        <f ca="1">SUMIFS(
  m.vb[valor],
  m.vb[nucleo],$B$1,
  m.vb[variavel],K$7,
  m.vb[mes],$A18
)</f>
        <v>0</v>
      </c>
      <c r="L18" s="123">
        <f ca="1">SUMIFS(
  m.vb[valor],
  m.vb[nucleo],$B$1,
  m.vb[variavel],L$7,
  m.vb[mes],$A18
)</f>
        <v>0</v>
      </c>
      <c r="M18" s="124">
        <f ca="1">SUMIFS(
  m.vb[valor],
  m.vb[nucleo],$B$1,
  m.vb[variavel],M$7,
  m.vb[mes],$A18
)</f>
        <v>0</v>
      </c>
      <c r="N18" s="122">
        <f>COUNTIFS(
    tb_estq[empresa], N$6,
    tb_estq[Data da venda / reserva], "&gt;=" &amp; $A18,
    tb_estq[Data da venda / reserva], "&lt;"  &amp; EOMONTH($A18,0) + 1
)</f>
        <v>0</v>
      </c>
      <c r="O18" s="123">
        <f ca="1">SUMIFS(tb_rec_uni[2022-04-01],
INDIRECT("tb_rec_uni[natureza]"),"pro.soluto",
INDIRECT("tb_rec_uni[empresa]"),O$6)</f>
        <v>0</v>
      </c>
      <c r="P18" s="123">
        <f ca="1">SUMIFS(tb_rec_uni[2022-04-01],
INDIRECT("tb_rec_uni[natureza]"),"repasse.cef.obra",
INDIRECT("tb_rec_uni[empresa]"),P$6)</f>
        <v>0</v>
      </c>
      <c r="Q18" s="123">
        <f ca="1">SUMIFS(tb_rec_uni[2022-04-01],
INDIRECT("tb_rec_uni[natureza]"),"repasse.cef.terreno",
INDIRECT("tb_rec_uni[empresa]"),Q$6)</f>
        <v>0</v>
      </c>
      <c r="R18" s="123">
        <v>0</v>
      </c>
      <c r="S18" s="123">
        <f ca="1">SUMIFS(tb_rec_uni[2022-04-01],
INDIRECT("tb_rec_uni[natureza]"),"taxa.extra",
INDIRECT("tb_rec_uni[empresa]"),S$6)</f>
        <v>0</v>
      </c>
      <c r="T18" s="111"/>
      <c r="U18" s="123">
        <f ca="1">SUMIFS(
  m.vb[valor],
  m.vb[nucleo],$N$1,
  m.vb[variavel],U$7,
  m.vb[mes],$A18
)</f>
        <v>0</v>
      </c>
      <c r="V18" s="123">
        <f ca="1">SUMIFS(
  m.vb[valor],
  m.vb[nucleo],$N$1,
  m.vb[variavel],V$7,
  m.vb[mes],$A18
)</f>
        <v>0</v>
      </c>
      <c r="W18" s="123">
        <f ca="1">SUMIFS(
  m.vb[valor],
  m.vb[nucleo],$N$1,
  m.vb[variavel],W$7,
  m.vb[mes],$A18
)</f>
        <v>0</v>
      </c>
      <c r="X18" s="123">
        <f ca="1">SUMIFS(
  m.vb[valor],
  m.vb[nucleo],$N$1,
  m.vb[variavel],X$7,
  m.vb[mes],$A18
)</f>
        <v>0</v>
      </c>
      <c r="Y18" s="124">
        <f ca="1">SUMIFS(
  m.vb[valor],
  m.vb[nucleo],$N$1,
  m.vb[variavel],Y$7,
  m.vb[mes],$A18
)</f>
        <v>0</v>
      </c>
      <c r="Z18" s="122">
        <f>COUNTIFS(
    tb_estq[empresa], Z$6,
    tb_estq[Data da venda / reserva], "&gt;=" &amp; $A18,
    tb_estq[Data da venda / reserva], "&lt;"  &amp; EOMONTH($A18,0) + 1
)</f>
        <v>0</v>
      </c>
      <c r="AA18" s="123">
        <f ca="1">SUMIFS(tb_rec_uni[2022-04-01],
INDIRECT("tb_rec_uni[natureza]"),"pro.soluto",
INDIRECT("tb_rec_uni[empresa]"),AA$6)</f>
        <v>0</v>
      </c>
      <c r="AB18" s="123">
        <f ca="1">SUMIFS(tb_rec_uni[2022-04-01],
INDIRECT("tb_rec_uni[natureza]"),"parcela.fin.total.ik",
INDIRECT("tb_rec_uni[empresa]"),AB$6)</f>
        <v>0</v>
      </c>
      <c r="AC18" s="123">
        <f ca="1">SUMIFS(tb_rec_uni[2022-04-01],
INDIRECT("tb_rec_uni[natureza]"),"taxa.extra",
INDIRECT("tb_rec_uni[empresa]"),AC$6)</f>
        <v>0</v>
      </c>
      <c r="AD18" s="111"/>
      <c r="AE18" s="123">
        <f ca="1">SUMIFS(
  m.vb[valor],
  m.vb[nucleo],$Z$1,
  m.vb[variavel],AE$7,
  m.vb[mes],$A18
)</f>
        <v>0</v>
      </c>
      <c r="AF18" s="123">
        <f ca="1">SUMIFS(
  m.vb[valor],
  m.vb[nucleo],$Z$1,
  m.vb[variavel],AF$7,
  m.vb[mes],$A18
)</f>
        <v>0</v>
      </c>
      <c r="AG18" s="123">
        <f ca="1">SUMIFS(
  m.vb[valor],
  m.vb[nucleo],$Z$1,
  m.vb[variavel],AG$7,
  m.vb[mes],$A18
)</f>
        <v>0</v>
      </c>
      <c r="AH18" s="123">
        <f ca="1">SUMIFS(
  m.vb[valor],
  m.vb[nucleo],$Z$1,
  m.vb[variavel],AH$7,
  m.vb[mes],$A18
)</f>
        <v>0</v>
      </c>
      <c r="AI18" s="124">
        <f ca="1">SUMIFS(
  m.vb[valor],
  m.vb[nucleo],$Z$1,
  m.vb[variavel],AI$7,
  m.vb[mes],$A18
)</f>
        <v>0</v>
      </c>
      <c r="AJ18" s="122">
        <f>COUNTIFS(
    tb_estq[empresa], AJ$6,
    tb_estq[Data da venda / reserva], "&gt;=" &amp; $A18,
    tb_estq[Data da venda / reserva], "&lt;"  &amp; EOMONTH($A18,0) + 1
)</f>
        <v>0</v>
      </c>
      <c r="AK18" s="123">
        <f ca="1">SUMIFS(tb_rec_uni[2022-04-01],
INDIRECT("tb_rec_uni[natureza]"),"pro.soluto",
INDIRECT("tb_rec_uni[empresa]"),AK$6)</f>
        <v>0</v>
      </c>
      <c r="AL18" s="123">
        <f ca="1">SUMIFS(tb_rec_uni[2022-04-01],
INDIRECT("tb_rec_uni[natureza]"),"repasse.cef.obra",
INDIRECT("tb_rec_uni[empresa]"),AL$6)</f>
        <v>0</v>
      </c>
      <c r="AM18" s="123">
        <f ca="1">SUMIFS(tb_rec_uni[2022-04-01],
INDIRECT("tb_rec_uni[natureza]"),"repasse.cef.terreno",
INDIRECT("tb_rec_uni[empresa]"),AM$6)</f>
        <v>0</v>
      </c>
      <c r="AN18" s="123">
        <v>0</v>
      </c>
      <c r="AO18" s="123">
        <f ca="1">SUMIFS(tb_rec_uni[2022-04-01],
INDIRECT("tb_rec_uni[natureza]"),"taxa.extra",
INDIRECT("tb_rec_uni[empresa]"),AO$6)</f>
        <v>0</v>
      </c>
      <c r="AP18" s="111"/>
      <c r="AQ18" s="123">
        <f ca="1">SUMIFS(
  m.vb[valor],
  m.vb[nucleo],$AJ$1,
  m.vb[variavel],AQ$7,
  m.vb[mes],$A18
)</f>
        <v>0</v>
      </c>
      <c r="AR18" s="123">
        <f ca="1">SUMIFS(
  m.vb[valor],
  m.vb[nucleo],$AJ$1,
  m.vb[variavel],AR$7,
  m.vb[mes],$A18
)</f>
        <v>0</v>
      </c>
      <c r="AS18" s="123">
        <f ca="1">SUMIFS(
  m.vb[valor],
  m.vb[nucleo],$AJ$1,
  m.vb[variavel],AS$7,
  m.vb[mes],$A18
)</f>
        <v>0</v>
      </c>
      <c r="AT18" s="123">
        <f ca="1">SUMIFS(
  m.vb[valor],
  m.vb[nucleo],$AJ$1,
  m.vb[variavel],AT$7,
  m.vb[mes],$A18
)</f>
        <v>0</v>
      </c>
      <c r="AU18" s="124">
        <f ca="1">SUMIFS(
  m.vb[valor],
  m.vb[nucleo],$AJ$1,
  m.vb[variavel],AU$7,
  m.vb[mes],$A18
)</f>
        <v>0</v>
      </c>
      <c r="AV18" s="122">
        <f>COUNTIFS(
    tb_estq[empresa], AV$6,
    tb_estq[Data da venda / reserva], "&gt;=" &amp; $A18,
    tb_estq[Data da venda / reserva], "&lt;"  &amp; EOMONTH($A18,0) + 1
)</f>
        <v>0</v>
      </c>
      <c r="AW18" s="123">
        <f ca="1">SUMIFS(tb_rec_uni[2022-04-01],
INDIRECT("tb_rec_uni[natureza]"),"pro.soluto",
INDIRECT("tb_rec_uni[empresa]"),AW$6)</f>
        <v>0</v>
      </c>
      <c r="AX18" s="123">
        <f ca="1">SUMIFS(tb_rec_uni[2022-04-01],
INDIRECT("tb_rec_uni[natureza]"),"repasse.cef.obra",
INDIRECT("tb_rec_uni[empresa]"),AX$6)</f>
        <v>0</v>
      </c>
      <c r="AY18" s="123">
        <f ca="1">SUMIFS(tb_rec_uni[2022-04-01],
INDIRECT("tb_rec_uni[natureza]"),"repasse.cef.terreno",
INDIRECT("tb_rec_uni[empresa]"),AY$6)</f>
        <v>0</v>
      </c>
      <c r="AZ18" s="123">
        <v>0</v>
      </c>
      <c r="BA18" s="123">
        <f ca="1">SUMIFS(tb_rec_uni[2022-04-01],
INDIRECT("tb_rec_uni[natureza]"),"taxa.extra",
INDIRECT("tb_rec_uni[empresa]"),BA$6)</f>
        <v>0</v>
      </c>
      <c r="BB18" s="111"/>
      <c r="BC18" s="123">
        <f ca="1">SUMIFS(
  m.vb[valor],
  m.vb[nucleo],$AV$1,
  m.vb[variavel],BC$7,
  m.vb[mes],$A18
)</f>
        <v>0</v>
      </c>
      <c r="BD18" s="123">
        <f ca="1">SUMIFS(
  m.vb[valor],
  m.vb[nucleo],$AV$1,
  m.vb[variavel],BD$7,
  m.vb[mes],$A18
)</f>
        <v>0</v>
      </c>
      <c r="BE18" s="123">
        <f ca="1">SUMIFS(
  m.vb[valor],
  m.vb[nucleo],$AV$1,
  m.vb[variavel],BE$7,
  m.vb[mes],$A18
)</f>
        <v>0</v>
      </c>
      <c r="BF18" s="123">
        <f ca="1">SUMIFS(
  m.vb[valor],
  m.vb[nucleo],$AV$1,
  m.vb[variavel],BF$7,
  m.vb[mes],$A18
)</f>
        <v>0</v>
      </c>
      <c r="BG18" s="124">
        <f ca="1">SUMIFS(
  m.vb[valor],
  m.vb[nucleo],$AV$1,
  m.vb[variavel],BG$7,
  m.vb[mes],$A18
)</f>
        <v>0</v>
      </c>
      <c r="BH18" s="122">
        <f>COUNTIFS(
    tb_estq[empresa], BH$6,
    tb_estq[Data da venda / reserva], "&gt;=" &amp; $A18,
    tb_estq[Data da venda / reserva], "&lt;"  &amp; EOMONTH($A18,0) + 1
)</f>
        <v>0</v>
      </c>
      <c r="BI18" s="123">
        <f ca="1">SUMIFS(tb_rec_uni[2022-04-01],
INDIRECT("tb_rec_uni[natureza]"),"pro.soluto",
INDIRECT("tb_rec_uni[empresa]"),BI$6)</f>
        <v>0</v>
      </c>
      <c r="BJ18" s="111">
        <v>0</v>
      </c>
      <c r="BK18" s="123">
        <f ca="1">SUMIFS(tb_rec_uni[2022-04-01],
INDIRECT("tb_rec_uni[natureza]"),"taxa.extra",
INDIRECT("tb_rec_uni[empresa]"),BK$6)</f>
        <v>0</v>
      </c>
      <c r="BL18" s="111"/>
      <c r="BM18" s="123">
        <f ca="1">SUMIFS(
  m.vb[valor],
  m.vb[nucleo],$BH$1,
  m.vb[variavel],BM$7,
  m.vb[mes],$A18
)</f>
        <v>0</v>
      </c>
      <c r="BN18" s="123">
        <f ca="1">SUMIFS(
  m.vb[valor],
  m.vb[nucleo],$BH$1,
  m.vb[variavel],BN$7,
  m.vb[mes],$A18
)</f>
        <v>0</v>
      </c>
      <c r="BO18" s="123">
        <f ca="1">SUMIFS(
  m.vb[valor],
  m.vb[nucleo],$BH$1,
  m.vb[variavel],BO$7,
  m.vb[mes],$A18
)</f>
        <v>0</v>
      </c>
      <c r="BP18" s="123">
        <f ca="1">SUMIFS(
  m.vb[valor],
  m.vb[nucleo],$BH$1,
  m.vb[variavel],BP$7,
  m.vb[mes],$A18
)</f>
        <v>0</v>
      </c>
      <c r="BQ18" s="124">
        <f ca="1">SUMIFS(
  m.vb[valor],
  m.vb[nucleo],$BH$1,
  m.vb[variavel],BQ$7,
  m.vb[mes],$A18
)</f>
        <v>0</v>
      </c>
      <c r="BR18" s="122">
        <f>COUNTIFS(
    tb_estq[empresa], BR$6,
    tb_estq[Data da venda / reserva], "&gt;=" &amp; $A18,
    tb_estq[Data da venda / reserva], "&lt;"  &amp; EOMONTH($A18,0) + 1
)</f>
        <v>0</v>
      </c>
      <c r="BS18" s="123">
        <f ca="1">SUMIFS(tb_rec_uni[2022-04-01],
INDIRECT("tb_rec_uni[natureza]"),"pro.soluto",
INDIRECT("tb_rec_uni[empresa]"),BS$6)</f>
        <v>0</v>
      </c>
      <c r="BT18" s="123">
        <f ca="1">SUMIFS(tb_rec_uni[2022-04-01],
INDIRECT("tb_rec_uni[natureza]"),"parcela.fin.total.ik",
INDIRECT("tb_rec_uni[empresa]"),BT$6)</f>
        <v>0</v>
      </c>
      <c r="BU18" s="123">
        <f ca="1">SUMIFS(tb_rec_uni[2022-04-01],
INDIRECT("tb_rec_uni[natureza]"),"taxa.extra",
INDIRECT("tb_rec_uni[empresa]"),BU$6)</f>
        <v>0</v>
      </c>
      <c r="BV18" s="111"/>
      <c r="BW18" s="123">
        <f ca="1">SUMIFS(
  m.vb[valor],
  m.vb[nucleo],$BR$1,
  m.vb[variavel],BW$7,
  m.vb[mes],$A18
)</f>
        <v>0</v>
      </c>
      <c r="BX18" s="123">
        <f ca="1">SUMIFS(
  m.vb[valor],
  m.vb[nucleo],$BR$1,
  m.vb[variavel],BX$7,
  m.vb[mes],$A18
)</f>
        <v>0</v>
      </c>
      <c r="BY18" s="123">
        <f ca="1">SUMIFS(
  m.vb[valor],
  m.vb[nucleo],$BR$1,
  m.vb[variavel],BY$7,
  m.vb[mes],$A18
)</f>
        <v>0</v>
      </c>
      <c r="BZ18" s="123">
        <f ca="1">SUMIFS(
  m.vb[valor],
  m.vb[nucleo],$BR$1,
  m.vb[variavel],BZ$7,
  m.vb[mes],$A18
)</f>
        <v>0</v>
      </c>
      <c r="CA18" s="124">
        <f ca="1">SUMIFS(
  m.vb[valor],
  m.vb[nucleo],$BR$1,
  m.vb[variavel],CA$7,
  m.vb[mes],$A18
)</f>
        <v>0</v>
      </c>
      <c r="CB18" s="122">
        <f>COUNTIFS(
    tb_estq[empresa], CB$6,
    tb_estq[Data da venda / reserva], "&gt;=" &amp; $A18,
    tb_estq[Data da venda / reserva], "&lt;"  &amp; EOMONTH($A18,0) + 1
)</f>
        <v>0</v>
      </c>
      <c r="CC18" s="123">
        <f ca="1">SUMIFS(tb_rec_uni[2022-04-01],
INDIRECT("tb_rec_uni[natureza]"),"pro.soluto",
INDIRECT("tb_rec_uni[empresa]"),CC$6)</f>
        <v>0</v>
      </c>
      <c r="CD18" s="123">
        <f ca="1">SUMIFS(tb_rec_uni[2022-04-01],
INDIRECT("tb_rec_uni[natureza]"),"repasse.cef.obra",
INDIRECT("tb_rec_uni[empresa]"),CD$6)</f>
        <v>0</v>
      </c>
      <c r="CE18" s="123">
        <f ca="1">SUMIFS(tb_rec_uni[2022-04-01],
INDIRECT("tb_rec_uni[natureza]"),"repasse.cef.terreno",
INDIRECT("tb_rec_uni[empresa]"),CE$6)</f>
        <v>0</v>
      </c>
      <c r="CF18" s="123">
        <v>0</v>
      </c>
      <c r="CG18" s="123">
        <f ca="1">SUMIFS(tb_rec_uni[2022-04-01],
INDIRECT("tb_rec_uni[natureza]"),"taxa.extra",
INDIRECT("tb_rec_uni[empresa]"),CG$6)</f>
        <v>0</v>
      </c>
      <c r="CH18" s="111"/>
      <c r="CI18" s="123">
        <f ca="1">SUMIFS(
  m.vb[valor],
  m.vb[nucleo],$CB$1,
  m.vb[variavel],CI$7,
  m.vb[mes],$A18
)</f>
        <v>0</v>
      </c>
      <c r="CJ18" s="123">
        <f ca="1">SUMIFS(
  m.vb[valor],
  m.vb[nucleo],$CB$1,
  m.vb[variavel],CJ$7,
  m.vb[mes],$A18
)</f>
        <v>0</v>
      </c>
      <c r="CK18" s="123">
        <f ca="1">SUMIFS(
  m.vb[valor],
  m.vb[nucleo],$CB$1,
  m.vb[variavel],CK$7,
  m.vb[mes],$A18
)</f>
        <v>0</v>
      </c>
      <c r="CL18" s="123">
        <f ca="1">SUMIFS(
  m.vb[valor],
  m.vb[nucleo],$CB$1,
  m.vb[variavel],CL$7,
  m.vb[mes],$A18
)</f>
        <v>0</v>
      </c>
      <c r="CM18" s="124">
        <f ca="1">SUMIFS(
  m.vb[valor],
  m.vb[nucleo],$CB$1,
  m.vb[variavel],CM$7,
  m.vb[mes],$A18
)</f>
        <v>0</v>
      </c>
      <c r="CN18" s="122">
        <f>COUNTIFS(
    tb_estq[empresa], CN$6,
    tb_estq[Data da venda / reserva], "&gt;=" &amp; $A18,
    tb_estq[Data da venda / reserva], "&lt;"  &amp; EOMONTH($A18,0) + 1
)</f>
        <v>0</v>
      </c>
      <c r="CO18" s="123">
        <f ca="1">SUMIFS(tb_rec_uni[2022-04-01],
INDIRECT("tb_rec_uni[natureza]"),"pro.soluto",
INDIRECT("tb_rec_uni[empresa]"),CO$6)</f>
        <v>0</v>
      </c>
      <c r="CP18" s="123">
        <f ca="1">SUMIFS(tb_rec_uni[2022-04-01],
INDIRECT("tb_rec_uni[natureza]"),"repasse.cef.obra",
INDIRECT("tb_rec_uni[empresa]"),CP$6)</f>
        <v>0</v>
      </c>
      <c r="CQ18" s="123">
        <f ca="1">SUMIFS(tb_rec_uni[2022-04-01],
INDIRECT("tb_rec_uni[natureza]"),"repasse.cef.terreno",
INDIRECT("tb_rec_uni[empresa]"),CQ$6)</f>
        <v>0</v>
      </c>
      <c r="CR18" s="123">
        <v>0</v>
      </c>
      <c r="CS18" s="123">
        <f ca="1">SUMIFS(tb_rec_uni[2022-04-01],
INDIRECT("tb_rec_uni[natureza]"),"taxa.extra",
INDIRECT("tb_rec_uni[empresa]"),CS$6)</f>
        <v>0</v>
      </c>
      <c r="CT18" s="111"/>
      <c r="CU18" s="123">
        <f ca="1">SUMIFS(
  m.vb[valor],
  m.vb[nucleo],$CN$1,
  m.vb[variavel],CU$7,
  m.vb[mes],$A18
)</f>
        <v>0</v>
      </c>
      <c r="CV18" s="123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3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3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5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21">
        <v>44682</v>
      </c>
      <c r="B19" s="122">
        <f>COUNTIFS(
    tb_estq[empresa], B$6,
    tb_estq[Data da venda / reserva], "&gt;=" &amp; $A19,
    tb_estq[Data da venda / reserva], "&lt;"  &amp; EOMONTH($A19,0) + 1
)</f>
        <v>0</v>
      </c>
      <c r="C19" s="123">
        <f ca="1">SUMIFS(tb_rec_uni[2022-05-01],
INDIRECT("tb_rec_uni[natureza]"),"pro.soluto",
INDIRECT("tb_rec_uni[empresa]"),C$6)</f>
        <v>0</v>
      </c>
      <c r="D19" s="123">
        <f ca="1">SUMIFS(tb_rec_uni[2022-05-01],
INDIRECT("tb_rec_uni[natureza]"),"repasse.cef.obra",
INDIRECT("tb_rec_uni[empresa]"),D$6)</f>
        <v>0</v>
      </c>
      <c r="E19" s="123">
        <f ca="1">SUMIFS(tb_rec_uni[2022-05-01],
INDIRECT("tb_rec_uni[natureza]"),"repasse.cef.terreno",
INDIRECT("tb_rec_uni[empresa]"),E$6)</f>
        <v>0</v>
      </c>
      <c r="F19" s="123">
        <v>0</v>
      </c>
      <c r="G19" s="123">
        <f ca="1">SUMIFS(tb_rec_uni[2022-05-01],
INDIRECT("tb_rec_uni[natureza]"),"taxa.extra",
INDIRECT("tb_rec_uni[empresa]"),G$6)</f>
        <v>0</v>
      </c>
      <c r="H19" s="111"/>
      <c r="I19" s="123">
        <f ca="1">SUMIFS(
  m.vb[valor],
  m.vb[nucleo],$B$1,
  m.vb[variavel],I$7,
  m.vb[mes],$A19
)</f>
        <v>0</v>
      </c>
      <c r="J19" s="123">
        <f ca="1">SUMIFS(
  m.vb[valor],
  m.vb[nucleo],$B$1,
  m.vb[variavel],J$7,
  m.vb[mes],$A19
)</f>
        <v>0</v>
      </c>
      <c r="K19" s="123">
        <f ca="1">SUMIFS(
  m.vb[valor],
  m.vb[nucleo],$B$1,
  m.vb[variavel],K$7,
  m.vb[mes],$A19
)</f>
        <v>0</v>
      </c>
      <c r="L19" s="123">
        <f ca="1">SUMIFS(
  m.vb[valor],
  m.vb[nucleo],$B$1,
  m.vb[variavel],L$7,
  m.vb[mes],$A19
)</f>
        <v>0</v>
      </c>
      <c r="M19" s="124">
        <f ca="1">SUMIFS(
  m.vb[valor],
  m.vb[nucleo],$B$1,
  m.vb[variavel],M$7,
  m.vb[mes],$A19
)</f>
        <v>0</v>
      </c>
      <c r="N19" s="122">
        <f>COUNTIFS(
    tb_estq[empresa], N$6,
    tb_estq[Data da venda / reserva], "&gt;=" &amp; $A19,
    tb_estq[Data da venda / reserva], "&lt;"  &amp; EOMONTH($A19,0) + 1
)</f>
        <v>0</v>
      </c>
      <c r="O19" s="123">
        <f ca="1">SUMIFS(tb_rec_uni[2022-05-01],
INDIRECT("tb_rec_uni[natureza]"),"pro.soluto",
INDIRECT("tb_rec_uni[empresa]"),O$6)</f>
        <v>0</v>
      </c>
      <c r="P19" s="123">
        <f ca="1">SUMIFS(tb_rec_uni[2022-05-01],
INDIRECT("tb_rec_uni[natureza]"),"repasse.cef.obra",
INDIRECT("tb_rec_uni[empresa]"),P$6)</f>
        <v>0</v>
      </c>
      <c r="Q19" s="123">
        <f ca="1">SUMIFS(tb_rec_uni[2022-05-01],
INDIRECT("tb_rec_uni[natureza]"),"repasse.cef.terreno",
INDIRECT("tb_rec_uni[empresa]"),Q$6)</f>
        <v>0</v>
      </c>
      <c r="R19" s="123">
        <v>0</v>
      </c>
      <c r="S19" s="123">
        <f ca="1">SUMIFS(tb_rec_uni[2022-05-01],
INDIRECT("tb_rec_uni[natureza]"),"taxa.extra",
INDIRECT("tb_rec_uni[empresa]"),S$6)</f>
        <v>0</v>
      </c>
      <c r="T19" s="111"/>
      <c r="U19" s="123">
        <f ca="1">SUMIFS(
  m.vb[valor],
  m.vb[nucleo],$N$1,
  m.vb[variavel],U$7,
  m.vb[mes],$A19
)</f>
        <v>0</v>
      </c>
      <c r="V19" s="123">
        <f ca="1">SUMIFS(
  m.vb[valor],
  m.vb[nucleo],$N$1,
  m.vb[variavel],V$7,
  m.vb[mes],$A19
)</f>
        <v>0</v>
      </c>
      <c r="W19" s="123">
        <f ca="1">SUMIFS(
  m.vb[valor],
  m.vb[nucleo],$N$1,
  m.vb[variavel],W$7,
  m.vb[mes],$A19
)</f>
        <v>0</v>
      </c>
      <c r="X19" s="123">
        <f ca="1">SUMIFS(
  m.vb[valor],
  m.vb[nucleo],$N$1,
  m.vb[variavel],X$7,
  m.vb[mes],$A19
)</f>
        <v>0</v>
      </c>
      <c r="Y19" s="124">
        <f ca="1">SUMIFS(
  m.vb[valor],
  m.vb[nucleo],$N$1,
  m.vb[variavel],Y$7,
  m.vb[mes],$A19
)</f>
        <v>0</v>
      </c>
      <c r="Z19" s="122">
        <f>COUNTIFS(
    tb_estq[empresa], Z$6,
    tb_estq[Data da venda / reserva], "&gt;=" &amp; $A19,
    tb_estq[Data da venda / reserva], "&lt;"  &amp; EOMONTH($A19,0) + 1
)</f>
        <v>0</v>
      </c>
      <c r="AA19" s="123">
        <f ca="1">SUMIFS(tb_rec_uni[2022-05-01],
INDIRECT("tb_rec_uni[natureza]"),"pro.soluto",
INDIRECT("tb_rec_uni[empresa]"),AA$6)</f>
        <v>0</v>
      </c>
      <c r="AB19" s="123">
        <f ca="1">SUMIFS(tb_rec_uni[2022-05-01],
INDIRECT("tb_rec_uni[natureza]"),"parcela.fin.total.ik",
INDIRECT("tb_rec_uni[empresa]"),AB$6)</f>
        <v>0</v>
      </c>
      <c r="AC19" s="123">
        <f ca="1">SUMIFS(tb_rec_uni[2022-05-01],
INDIRECT("tb_rec_uni[natureza]"),"taxa.extra",
INDIRECT("tb_rec_uni[empresa]"),AC$6)</f>
        <v>0</v>
      </c>
      <c r="AD19" s="111"/>
      <c r="AE19" s="123">
        <f ca="1">SUMIFS(
  m.vb[valor],
  m.vb[nucleo],$Z$1,
  m.vb[variavel],AE$7,
  m.vb[mes],$A19
)</f>
        <v>0</v>
      </c>
      <c r="AF19" s="123">
        <f ca="1">SUMIFS(
  m.vb[valor],
  m.vb[nucleo],$Z$1,
  m.vb[variavel],AF$7,
  m.vb[mes],$A19
)</f>
        <v>0</v>
      </c>
      <c r="AG19" s="123">
        <f ca="1">SUMIFS(
  m.vb[valor],
  m.vb[nucleo],$Z$1,
  m.vb[variavel],AG$7,
  m.vb[mes],$A19
)</f>
        <v>0</v>
      </c>
      <c r="AH19" s="123">
        <f ca="1">SUMIFS(
  m.vb[valor],
  m.vb[nucleo],$Z$1,
  m.vb[variavel],AH$7,
  m.vb[mes],$A19
)</f>
        <v>0</v>
      </c>
      <c r="AI19" s="124">
        <f ca="1">SUMIFS(
  m.vb[valor],
  m.vb[nucleo],$Z$1,
  m.vb[variavel],AI$7,
  m.vb[mes],$A19
)</f>
        <v>0</v>
      </c>
      <c r="AJ19" s="122">
        <f>COUNTIFS(
    tb_estq[empresa], AJ$6,
    tb_estq[Data da venda / reserva], "&gt;=" &amp; $A19,
    tb_estq[Data da venda / reserva], "&lt;"  &amp; EOMONTH($A19,0) + 1
)</f>
        <v>0</v>
      </c>
      <c r="AK19" s="123">
        <f ca="1">SUMIFS(tb_rec_uni[2022-05-01],
INDIRECT("tb_rec_uni[natureza]"),"pro.soluto",
INDIRECT("tb_rec_uni[empresa]"),AK$6)</f>
        <v>0</v>
      </c>
      <c r="AL19" s="123">
        <f ca="1">SUMIFS(tb_rec_uni[2022-05-01],
INDIRECT("tb_rec_uni[natureza]"),"repasse.cef.obra",
INDIRECT("tb_rec_uni[empresa]"),AL$6)</f>
        <v>0</v>
      </c>
      <c r="AM19" s="123">
        <f ca="1">SUMIFS(tb_rec_uni[2022-05-01],
INDIRECT("tb_rec_uni[natureza]"),"repasse.cef.terreno",
INDIRECT("tb_rec_uni[empresa]"),AM$6)</f>
        <v>0</v>
      </c>
      <c r="AN19" s="123">
        <v>0</v>
      </c>
      <c r="AO19" s="123">
        <f ca="1">SUMIFS(tb_rec_uni[2022-05-01],
INDIRECT("tb_rec_uni[natureza]"),"taxa.extra",
INDIRECT("tb_rec_uni[empresa]"),AO$6)</f>
        <v>0</v>
      </c>
      <c r="AP19" s="111"/>
      <c r="AQ19" s="123">
        <f ca="1">SUMIFS(
  m.vb[valor],
  m.vb[nucleo],$AJ$1,
  m.vb[variavel],AQ$7,
  m.vb[mes],$A19
)</f>
        <v>0</v>
      </c>
      <c r="AR19" s="123">
        <f ca="1">SUMIFS(
  m.vb[valor],
  m.vb[nucleo],$AJ$1,
  m.vb[variavel],AR$7,
  m.vb[mes],$A19
)</f>
        <v>0</v>
      </c>
      <c r="AS19" s="123">
        <f ca="1">SUMIFS(
  m.vb[valor],
  m.vb[nucleo],$AJ$1,
  m.vb[variavel],AS$7,
  m.vb[mes],$A19
)</f>
        <v>0</v>
      </c>
      <c r="AT19" s="123">
        <f ca="1">SUMIFS(
  m.vb[valor],
  m.vb[nucleo],$AJ$1,
  m.vb[variavel],AT$7,
  m.vb[mes],$A19
)</f>
        <v>0</v>
      </c>
      <c r="AU19" s="124">
        <f ca="1">SUMIFS(
  m.vb[valor],
  m.vb[nucleo],$AJ$1,
  m.vb[variavel],AU$7,
  m.vb[mes],$A19
)</f>
        <v>0</v>
      </c>
      <c r="AV19" s="122">
        <f>COUNTIFS(
    tb_estq[empresa], AV$6,
    tb_estq[Data da venda / reserva], "&gt;=" &amp; $A19,
    tb_estq[Data da venda / reserva], "&lt;"  &amp; EOMONTH($A19,0) + 1
)</f>
        <v>0</v>
      </c>
      <c r="AW19" s="123">
        <f ca="1">SUMIFS(tb_rec_uni[2022-05-01],
INDIRECT("tb_rec_uni[natureza]"),"pro.soluto",
INDIRECT("tb_rec_uni[empresa]"),AW$6)</f>
        <v>0</v>
      </c>
      <c r="AX19" s="123">
        <f ca="1">SUMIFS(tb_rec_uni[2022-05-01],
INDIRECT("tb_rec_uni[natureza]"),"repasse.cef.obra",
INDIRECT("tb_rec_uni[empresa]"),AX$6)</f>
        <v>0</v>
      </c>
      <c r="AY19" s="123">
        <f ca="1">SUMIFS(tb_rec_uni[2022-05-01],
INDIRECT("tb_rec_uni[natureza]"),"repasse.cef.terreno",
INDIRECT("tb_rec_uni[empresa]"),AY$6)</f>
        <v>0</v>
      </c>
      <c r="AZ19" s="123">
        <v>0</v>
      </c>
      <c r="BA19" s="123">
        <f ca="1">SUMIFS(tb_rec_uni[2022-05-01],
INDIRECT("tb_rec_uni[natureza]"),"taxa.extra",
INDIRECT("tb_rec_uni[empresa]"),BA$6)</f>
        <v>0</v>
      </c>
      <c r="BB19" s="111"/>
      <c r="BC19" s="123">
        <f ca="1">SUMIFS(
  m.vb[valor],
  m.vb[nucleo],$AV$1,
  m.vb[variavel],BC$7,
  m.vb[mes],$A19
)</f>
        <v>0</v>
      </c>
      <c r="BD19" s="123">
        <f ca="1">SUMIFS(
  m.vb[valor],
  m.vb[nucleo],$AV$1,
  m.vb[variavel],BD$7,
  m.vb[mes],$A19
)</f>
        <v>0</v>
      </c>
      <c r="BE19" s="123">
        <f ca="1">SUMIFS(
  m.vb[valor],
  m.vb[nucleo],$AV$1,
  m.vb[variavel],BE$7,
  m.vb[mes],$A19
)</f>
        <v>0</v>
      </c>
      <c r="BF19" s="123">
        <f ca="1">SUMIFS(
  m.vb[valor],
  m.vb[nucleo],$AV$1,
  m.vb[variavel],BF$7,
  m.vb[mes],$A19
)</f>
        <v>0</v>
      </c>
      <c r="BG19" s="124">
        <f ca="1">SUMIFS(
  m.vb[valor],
  m.vb[nucleo],$AV$1,
  m.vb[variavel],BG$7,
  m.vb[mes],$A19
)</f>
        <v>0</v>
      </c>
      <c r="BH19" s="122">
        <f>COUNTIFS(
    tb_estq[empresa], BH$6,
    tb_estq[Data da venda / reserva], "&gt;=" &amp; $A19,
    tb_estq[Data da venda / reserva], "&lt;"  &amp; EOMONTH($A19,0) + 1
)</f>
        <v>0</v>
      </c>
      <c r="BI19" s="123">
        <f ca="1">SUMIFS(tb_rec_uni[2022-05-01],
INDIRECT("tb_rec_uni[natureza]"),"pro.soluto",
INDIRECT("tb_rec_uni[empresa]"),BI$6)</f>
        <v>0</v>
      </c>
      <c r="BJ19" s="111">
        <v>0</v>
      </c>
      <c r="BK19" s="123">
        <f ca="1">SUMIFS(tb_rec_uni[2022-05-01],
INDIRECT("tb_rec_uni[natureza]"),"taxa.extra",
INDIRECT("tb_rec_uni[empresa]"),BK$6)</f>
        <v>0</v>
      </c>
      <c r="BL19" s="111"/>
      <c r="BM19" s="123">
        <f ca="1">SUMIFS(
  m.vb[valor],
  m.vb[nucleo],$BH$1,
  m.vb[variavel],BM$7,
  m.vb[mes],$A19
)</f>
        <v>0</v>
      </c>
      <c r="BN19" s="123">
        <f ca="1">SUMIFS(
  m.vb[valor],
  m.vb[nucleo],$BH$1,
  m.vb[variavel],BN$7,
  m.vb[mes],$A19
)</f>
        <v>0</v>
      </c>
      <c r="BO19" s="123">
        <f ca="1">SUMIFS(
  m.vb[valor],
  m.vb[nucleo],$BH$1,
  m.vb[variavel],BO$7,
  m.vb[mes],$A19
)</f>
        <v>0</v>
      </c>
      <c r="BP19" s="123">
        <f ca="1">SUMIFS(
  m.vb[valor],
  m.vb[nucleo],$BH$1,
  m.vb[variavel],BP$7,
  m.vb[mes],$A19
)</f>
        <v>0</v>
      </c>
      <c r="BQ19" s="124">
        <f ca="1">SUMIFS(
  m.vb[valor],
  m.vb[nucleo],$BH$1,
  m.vb[variavel],BQ$7,
  m.vb[mes],$A19
)</f>
        <v>0</v>
      </c>
      <c r="BR19" s="122">
        <f>COUNTIFS(
    tb_estq[empresa], BR$6,
    tb_estq[Data da venda / reserva], "&gt;=" &amp; $A19,
    tb_estq[Data da venda / reserva], "&lt;"  &amp; EOMONTH($A19,0) + 1
)</f>
        <v>0</v>
      </c>
      <c r="BS19" s="123">
        <f ca="1">SUMIFS(tb_rec_uni[2022-05-01],
INDIRECT("tb_rec_uni[natureza]"),"pro.soluto",
INDIRECT("tb_rec_uni[empresa]"),BS$6)</f>
        <v>0</v>
      </c>
      <c r="BT19" s="123">
        <f ca="1">SUMIFS(tb_rec_uni[2022-05-01],
INDIRECT("tb_rec_uni[natureza]"),"parcela.fin.total.ik",
INDIRECT("tb_rec_uni[empresa]"),BT$6)</f>
        <v>0</v>
      </c>
      <c r="BU19" s="123">
        <f ca="1">SUMIFS(tb_rec_uni[2022-05-01],
INDIRECT("tb_rec_uni[natureza]"),"taxa.extra",
INDIRECT("tb_rec_uni[empresa]"),BU$6)</f>
        <v>0</v>
      </c>
      <c r="BV19" s="111"/>
      <c r="BW19" s="123">
        <f ca="1">SUMIFS(
  m.vb[valor],
  m.vb[nucleo],$BR$1,
  m.vb[variavel],BW$7,
  m.vb[mes],$A19
)</f>
        <v>0</v>
      </c>
      <c r="BX19" s="123">
        <f ca="1">SUMIFS(
  m.vb[valor],
  m.vb[nucleo],$BR$1,
  m.vb[variavel],BX$7,
  m.vb[mes],$A19
)</f>
        <v>0</v>
      </c>
      <c r="BY19" s="123">
        <f ca="1">SUMIFS(
  m.vb[valor],
  m.vb[nucleo],$BR$1,
  m.vb[variavel],BY$7,
  m.vb[mes],$A19
)</f>
        <v>0</v>
      </c>
      <c r="BZ19" s="123">
        <f ca="1">SUMIFS(
  m.vb[valor],
  m.vb[nucleo],$BR$1,
  m.vb[variavel],BZ$7,
  m.vb[mes],$A19
)</f>
        <v>0</v>
      </c>
      <c r="CA19" s="124">
        <f ca="1">SUMIFS(
  m.vb[valor],
  m.vb[nucleo],$BR$1,
  m.vb[variavel],CA$7,
  m.vb[mes],$A19
)</f>
        <v>0</v>
      </c>
      <c r="CB19" s="122">
        <f>COUNTIFS(
    tb_estq[empresa], CB$6,
    tb_estq[Data da venda / reserva], "&gt;=" &amp; $A19,
    tb_estq[Data da venda / reserva], "&lt;"  &amp; EOMONTH($A19,0) + 1
)</f>
        <v>0</v>
      </c>
      <c r="CC19" s="123">
        <f ca="1">SUMIFS(tb_rec_uni[2022-05-01],
INDIRECT("tb_rec_uni[natureza]"),"pro.soluto",
INDIRECT("tb_rec_uni[empresa]"),CC$6)</f>
        <v>0</v>
      </c>
      <c r="CD19" s="123">
        <f ca="1">SUMIFS(tb_rec_uni[2022-05-01],
INDIRECT("tb_rec_uni[natureza]"),"repasse.cef.obra",
INDIRECT("tb_rec_uni[empresa]"),CD$6)</f>
        <v>0</v>
      </c>
      <c r="CE19" s="123">
        <f ca="1">SUMIFS(tb_rec_uni[2022-05-01],
INDIRECT("tb_rec_uni[natureza]"),"repasse.cef.terreno",
INDIRECT("tb_rec_uni[empresa]"),CE$6)</f>
        <v>0</v>
      </c>
      <c r="CF19" s="123">
        <v>0</v>
      </c>
      <c r="CG19" s="123">
        <f ca="1">SUMIFS(tb_rec_uni[2022-05-01],
INDIRECT("tb_rec_uni[natureza]"),"taxa.extra",
INDIRECT("tb_rec_uni[empresa]"),CG$6)</f>
        <v>0</v>
      </c>
      <c r="CH19" s="111"/>
      <c r="CI19" s="123">
        <f ca="1">SUMIFS(
  m.vb[valor],
  m.vb[nucleo],$CB$1,
  m.vb[variavel],CI$7,
  m.vb[mes],$A19
)</f>
        <v>0</v>
      </c>
      <c r="CJ19" s="123">
        <f ca="1">SUMIFS(
  m.vb[valor],
  m.vb[nucleo],$CB$1,
  m.vb[variavel],CJ$7,
  m.vb[mes],$A19
)</f>
        <v>0</v>
      </c>
      <c r="CK19" s="123">
        <f ca="1">SUMIFS(
  m.vb[valor],
  m.vb[nucleo],$CB$1,
  m.vb[variavel],CK$7,
  m.vb[mes],$A19
)</f>
        <v>0</v>
      </c>
      <c r="CL19" s="123">
        <f ca="1">SUMIFS(
  m.vb[valor],
  m.vb[nucleo],$CB$1,
  m.vb[variavel],CL$7,
  m.vb[mes],$A19
)</f>
        <v>0</v>
      </c>
      <c r="CM19" s="124">
        <f ca="1">SUMIFS(
  m.vb[valor],
  m.vb[nucleo],$CB$1,
  m.vb[variavel],CM$7,
  m.vb[mes],$A19
)</f>
        <v>0</v>
      </c>
      <c r="CN19" s="122">
        <f>COUNTIFS(
    tb_estq[empresa], CN$6,
    tb_estq[Data da venda / reserva], "&gt;=" &amp; $A19,
    tb_estq[Data da venda / reserva], "&lt;"  &amp; EOMONTH($A19,0) + 1
)</f>
        <v>0</v>
      </c>
      <c r="CO19" s="123">
        <f ca="1">SUMIFS(tb_rec_uni[2022-05-01],
INDIRECT("tb_rec_uni[natureza]"),"pro.soluto",
INDIRECT("tb_rec_uni[empresa]"),CO$6)</f>
        <v>0</v>
      </c>
      <c r="CP19" s="123">
        <f ca="1">SUMIFS(tb_rec_uni[2022-05-01],
INDIRECT("tb_rec_uni[natureza]"),"repasse.cef.obra",
INDIRECT("tb_rec_uni[empresa]"),CP$6)</f>
        <v>0</v>
      </c>
      <c r="CQ19" s="123">
        <f ca="1">SUMIFS(tb_rec_uni[2022-05-01],
INDIRECT("tb_rec_uni[natureza]"),"repasse.cef.terreno",
INDIRECT("tb_rec_uni[empresa]"),CQ$6)</f>
        <v>0</v>
      </c>
      <c r="CR19" s="123">
        <v>0</v>
      </c>
      <c r="CS19" s="123">
        <f ca="1">SUMIFS(tb_rec_uni[2022-05-01],
INDIRECT("tb_rec_uni[natureza]"),"taxa.extra",
INDIRECT("tb_rec_uni[empresa]"),CS$6)</f>
        <v>0</v>
      </c>
      <c r="CT19" s="111"/>
      <c r="CU19" s="123">
        <f ca="1">SUMIFS(
  m.vb[valor],
  m.vb[nucleo],$CN$1,
  m.vb[variavel],CU$7,
  m.vb[mes],$A19
)</f>
        <v>0</v>
      </c>
      <c r="CV19" s="123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3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3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5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21">
        <v>44713</v>
      </c>
      <c r="B20" s="122">
        <f>COUNTIFS(
    tb_estq[empresa], B$6,
    tb_estq[Data da venda / reserva], "&gt;=" &amp; $A20,
    tb_estq[Data da venda / reserva], "&lt;"  &amp; EOMONTH($A20,0) + 1
)</f>
        <v>0</v>
      </c>
      <c r="C20" s="123">
        <f ca="1">SUMIFS(tb_rec_uni[2022-06-01],
INDIRECT("tb_rec_uni[natureza]"),"pro.soluto",
INDIRECT("tb_rec_uni[empresa]"),C$6)</f>
        <v>0</v>
      </c>
      <c r="D20" s="123">
        <f ca="1">SUMIFS(tb_rec_uni[2022-06-01],
INDIRECT("tb_rec_uni[natureza]"),"repasse.cef.obra",
INDIRECT("tb_rec_uni[empresa]"),D$6)</f>
        <v>0</v>
      </c>
      <c r="E20" s="123">
        <f ca="1">SUMIFS(tb_rec_uni[2022-06-01],
INDIRECT("tb_rec_uni[natureza]"),"repasse.cef.terreno",
INDIRECT("tb_rec_uni[empresa]"),E$6)</f>
        <v>0</v>
      </c>
      <c r="F20" s="123">
        <v>0</v>
      </c>
      <c r="G20" s="123">
        <f ca="1">SUMIFS(tb_rec_uni[2022-06-01],
INDIRECT("tb_rec_uni[natureza]"),"taxa.extra",
INDIRECT("tb_rec_uni[empresa]"),G$6)</f>
        <v>0</v>
      </c>
      <c r="H20" s="111"/>
      <c r="I20" s="123">
        <f ca="1">SUMIFS(
  m.vb[valor],
  m.vb[nucleo],$B$1,
  m.vb[variavel],I$7,
  m.vb[mes],$A20
)</f>
        <v>0</v>
      </c>
      <c r="J20" s="123">
        <f ca="1">SUMIFS(
  m.vb[valor],
  m.vb[nucleo],$B$1,
  m.vb[variavel],J$7,
  m.vb[mes],$A20
)</f>
        <v>0</v>
      </c>
      <c r="K20" s="123">
        <f ca="1">SUMIFS(
  m.vb[valor],
  m.vb[nucleo],$B$1,
  m.vb[variavel],K$7,
  m.vb[mes],$A20
)</f>
        <v>0</v>
      </c>
      <c r="L20" s="123">
        <f ca="1">SUMIFS(
  m.vb[valor],
  m.vb[nucleo],$B$1,
  m.vb[variavel],L$7,
  m.vb[mes],$A20
)</f>
        <v>0</v>
      </c>
      <c r="M20" s="124">
        <f ca="1">SUMIFS(
  m.vb[valor],
  m.vb[nucleo],$B$1,
  m.vb[variavel],M$7,
  m.vb[mes],$A20
)</f>
        <v>0</v>
      </c>
      <c r="N20" s="122">
        <f>COUNTIFS(
    tb_estq[empresa], N$6,
    tb_estq[Data da venda / reserva], "&gt;=" &amp; $A20,
    tb_estq[Data da venda / reserva], "&lt;"  &amp; EOMONTH($A20,0) + 1
)</f>
        <v>0</v>
      </c>
      <c r="O20" s="123">
        <f ca="1">SUMIFS(tb_rec_uni[2022-06-01],
INDIRECT("tb_rec_uni[natureza]"),"pro.soluto",
INDIRECT("tb_rec_uni[empresa]"),O$6)</f>
        <v>0</v>
      </c>
      <c r="P20" s="123">
        <f ca="1">SUMIFS(tb_rec_uni[2022-06-01],
INDIRECT("tb_rec_uni[natureza]"),"repasse.cef.obra",
INDIRECT("tb_rec_uni[empresa]"),P$6)</f>
        <v>0</v>
      </c>
      <c r="Q20" s="123">
        <f ca="1">SUMIFS(tb_rec_uni[2022-06-01],
INDIRECT("tb_rec_uni[natureza]"),"repasse.cef.terreno",
INDIRECT("tb_rec_uni[empresa]"),Q$6)</f>
        <v>0</v>
      </c>
      <c r="R20" s="123">
        <v>0</v>
      </c>
      <c r="S20" s="123">
        <f ca="1">SUMIFS(tb_rec_uni[2022-06-01],
INDIRECT("tb_rec_uni[natureza]"),"taxa.extra",
INDIRECT("tb_rec_uni[empresa]"),S$6)</f>
        <v>0</v>
      </c>
      <c r="T20" s="111"/>
      <c r="U20" s="123">
        <f ca="1">SUMIFS(
  m.vb[valor],
  m.vb[nucleo],$N$1,
  m.vb[variavel],U$7,
  m.vb[mes],$A20
)</f>
        <v>0</v>
      </c>
      <c r="V20" s="123">
        <f ca="1">SUMIFS(
  m.vb[valor],
  m.vb[nucleo],$N$1,
  m.vb[variavel],V$7,
  m.vb[mes],$A20
)</f>
        <v>0</v>
      </c>
      <c r="W20" s="123">
        <f ca="1">SUMIFS(
  m.vb[valor],
  m.vb[nucleo],$N$1,
  m.vb[variavel],W$7,
  m.vb[mes],$A20
)</f>
        <v>0</v>
      </c>
      <c r="X20" s="123">
        <f ca="1">SUMIFS(
  m.vb[valor],
  m.vb[nucleo],$N$1,
  m.vb[variavel],X$7,
  m.vb[mes],$A20
)</f>
        <v>0</v>
      </c>
      <c r="Y20" s="124">
        <f ca="1">SUMIFS(
  m.vb[valor],
  m.vb[nucleo],$N$1,
  m.vb[variavel],Y$7,
  m.vb[mes],$A20
)</f>
        <v>0</v>
      </c>
      <c r="Z20" s="122">
        <f>COUNTIFS(
    tb_estq[empresa], Z$6,
    tb_estq[Data da venda / reserva], "&gt;=" &amp; $A20,
    tb_estq[Data da venda / reserva], "&lt;"  &amp; EOMONTH($A20,0) + 1
)</f>
        <v>0</v>
      </c>
      <c r="AA20" s="123">
        <f ca="1">SUMIFS(tb_rec_uni[2022-06-01],
INDIRECT("tb_rec_uni[natureza]"),"pro.soluto",
INDIRECT("tb_rec_uni[empresa]"),AA$6)</f>
        <v>0</v>
      </c>
      <c r="AB20" s="123">
        <f ca="1">SUMIFS(tb_rec_uni[2022-06-01],
INDIRECT("tb_rec_uni[natureza]"),"parcela.fin.total.ik",
INDIRECT("tb_rec_uni[empresa]"),AB$6)</f>
        <v>0</v>
      </c>
      <c r="AC20" s="123">
        <f ca="1">SUMIFS(tb_rec_uni[2022-06-01],
INDIRECT("tb_rec_uni[natureza]"),"taxa.extra",
INDIRECT("tb_rec_uni[empresa]"),AC$6)</f>
        <v>0</v>
      </c>
      <c r="AD20" s="111"/>
      <c r="AE20" s="123">
        <f ca="1">SUMIFS(
  m.vb[valor],
  m.vb[nucleo],$Z$1,
  m.vb[variavel],AE$7,
  m.vb[mes],$A20
)</f>
        <v>0</v>
      </c>
      <c r="AF20" s="123">
        <f ca="1">SUMIFS(
  m.vb[valor],
  m.vb[nucleo],$Z$1,
  m.vb[variavel],AF$7,
  m.vb[mes],$A20
)</f>
        <v>0</v>
      </c>
      <c r="AG20" s="123">
        <f ca="1">SUMIFS(
  m.vb[valor],
  m.vb[nucleo],$Z$1,
  m.vb[variavel],AG$7,
  m.vb[mes],$A20
)</f>
        <v>0</v>
      </c>
      <c r="AH20" s="123">
        <f ca="1">SUMIFS(
  m.vb[valor],
  m.vb[nucleo],$Z$1,
  m.vb[variavel],AH$7,
  m.vb[mes],$A20
)</f>
        <v>0</v>
      </c>
      <c r="AI20" s="124">
        <f ca="1">SUMIFS(
  m.vb[valor],
  m.vb[nucleo],$Z$1,
  m.vb[variavel],AI$7,
  m.vb[mes],$A20
)</f>
        <v>0</v>
      </c>
      <c r="AJ20" s="122">
        <f>COUNTIFS(
    tb_estq[empresa], AJ$6,
    tb_estq[Data da venda / reserva], "&gt;=" &amp; $A20,
    tb_estq[Data da venda / reserva], "&lt;"  &amp; EOMONTH($A20,0) + 1
)</f>
        <v>0</v>
      </c>
      <c r="AK20" s="123">
        <f ca="1">SUMIFS(tb_rec_uni[2022-06-01],
INDIRECT("tb_rec_uni[natureza]"),"pro.soluto",
INDIRECT("tb_rec_uni[empresa]"),AK$6)</f>
        <v>0</v>
      </c>
      <c r="AL20" s="123">
        <f ca="1">SUMIFS(tb_rec_uni[2022-06-01],
INDIRECT("tb_rec_uni[natureza]"),"repasse.cef.obra",
INDIRECT("tb_rec_uni[empresa]"),AL$6)</f>
        <v>0</v>
      </c>
      <c r="AM20" s="123">
        <f ca="1">SUMIFS(tb_rec_uni[2022-06-01],
INDIRECT("tb_rec_uni[natureza]"),"repasse.cef.terreno",
INDIRECT("tb_rec_uni[empresa]"),AM$6)</f>
        <v>0</v>
      </c>
      <c r="AN20" s="123">
        <v>0</v>
      </c>
      <c r="AO20" s="123">
        <f ca="1">SUMIFS(tb_rec_uni[2022-06-01],
INDIRECT("tb_rec_uni[natureza]"),"taxa.extra",
INDIRECT("tb_rec_uni[empresa]"),AO$6)</f>
        <v>0</v>
      </c>
      <c r="AP20" s="111"/>
      <c r="AQ20" s="123">
        <f ca="1">SUMIFS(
  m.vb[valor],
  m.vb[nucleo],$AJ$1,
  m.vb[variavel],AQ$7,
  m.vb[mes],$A20
)</f>
        <v>0</v>
      </c>
      <c r="AR20" s="123">
        <f ca="1">SUMIFS(
  m.vb[valor],
  m.vb[nucleo],$AJ$1,
  m.vb[variavel],AR$7,
  m.vb[mes],$A20
)</f>
        <v>0</v>
      </c>
      <c r="AS20" s="123">
        <f ca="1">SUMIFS(
  m.vb[valor],
  m.vb[nucleo],$AJ$1,
  m.vb[variavel],AS$7,
  m.vb[mes],$A20
)</f>
        <v>0</v>
      </c>
      <c r="AT20" s="123">
        <f ca="1">SUMIFS(
  m.vb[valor],
  m.vb[nucleo],$AJ$1,
  m.vb[variavel],AT$7,
  m.vb[mes],$A20
)</f>
        <v>0</v>
      </c>
      <c r="AU20" s="124">
        <f ca="1">SUMIFS(
  m.vb[valor],
  m.vb[nucleo],$AJ$1,
  m.vb[variavel],AU$7,
  m.vb[mes],$A20
)</f>
        <v>0</v>
      </c>
      <c r="AV20" s="122">
        <f>COUNTIFS(
    tb_estq[empresa], AV$6,
    tb_estq[Data da venda / reserva], "&gt;=" &amp; $A20,
    tb_estq[Data da venda / reserva], "&lt;"  &amp; EOMONTH($A20,0) + 1
)</f>
        <v>0</v>
      </c>
      <c r="AW20" s="123">
        <f ca="1">SUMIFS(tb_rec_uni[2022-06-01],
INDIRECT("tb_rec_uni[natureza]"),"pro.soluto",
INDIRECT("tb_rec_uni[empresa]"),AW$6)</f>
        <v>0</v>
      </c>
      <c r="AX20" s="123">
        <f ca="1">SUMIFS(tb_rec_uni[2022-06-01],
INDIRECT("tb_rec_uni[natureza]"),"repasse.cef.obra",
INDIRECT("tb_rec_uni[empresa]"),AX$6)</f>
        <v>0</v>
      </c>
      <c r="AY20" s="123">
        <f ca="1">SUMIFS(tb_rec_uni[2022-06-01],
INDIRECT("tb_rec_uni[natureza]"),"repasse.cef.terreno",
INDIRECT("tb_rec_uni[empresa]"),AY$6)</f>
        <v>0</v>
      </c>
      <c r="AZ20" s="123">
        <v>0</v>
      </c>
      <c r="BA20" s="123">
        <f ca="1">SUMIFS(tb_rec_uni[2022-06-01],
INDIRECT("tb_rec_uni[natureza]"),"taxa.extra",
INDIRECT("tb_rec_uni[empresa]"),BA$6)</f>
        <v>0</v>
      </c>
      <c r="BB20" s="111"/>
      <c r="BC20" s="123">
        <f ca="1">SUMIFS(
  m.vb[valor],
  m.vb[nucleo],$AV$1,
  m.vb[variavel],BC$7,
  m.vb[mes],$A20
)</f>
        <v>0</v>
      </c>
      <c r="BD20" s="123">
        <f ca="1">SUMIFS(
  m.vb[valor],
  m.vb[nucleo],$AV$1,
  m.vb[variavel],BD$7,
  m.vb[mes],$A20
)</f>
        <v>0</v>
      </c>
      <c r="BE20" s="123">
        <f ca="1">SUMIFS(
  m.vb[valor],
  m.vb[nucleo],$AV$1,
  m.vb[variavel],BE$7,
  m.vb[mes],$A20
)</f>
        <v>0</v>
      </c>
      <c r="BF20" s="123">
        <f ca="1">SUMIFS(
  m.vb[valor],
  m.vb[nucleo],$AV$1,
  m.vb[variavel],BF$7,
  m.vb[mes],$A20
)</f>
        <v>0</v>
      </c>
      <c r="BG20" s="124">
        <f ca="1">SUMIFS(
  m.vb[valor],
  m.vb[nucleo],$AV$1,
  m.vb[variavel],BG$7,
  m.vb[mes],$A20
)</f>
        <v>0</v>
      </c>
      <c r="BH20" s="122">
        <f>COUNTIFS(
    tb_estq[empresa], BH$6,
    tb_estq[Data da venda / reserva], "&gt;=" &amp; $A20,
    tb_estq[Data da venda / reserva], "&lt;"  &amp; EOMONTH($A20,0) + 1
)</f>
        <v>0</v>
      </c>
      <c r="BI20" s="123">
        <f ca="1">SUMIFS(tb_rec_uni[2022-06-01],
INDIRECT("tb_rec_uni[natureza]"),"pro.soluto",
INDIRECT("tb_rec_uni[empresa]"),BI$6)</f>
        <v>0</v>
      </c>
      <c r="BJ20" s="111">
        <v>0</v>
      </c>
      <c r="BK20" s="123">
        <f ca="1">SUMIFS(tb_rec_uni[2022-06-01],
INDIRECT("tb_rec_uni[natureza]"),"taxa.extra",
INDIRECT("tb_rec_uni[empresa]"),BK$6)</f>
        <v>0</v>
      </c>
      <c r="BL20" s="111"/>
      <c r="BM20" s="123">
        <f ca="1">SUMIFS(
  m.vb[valor],
  m.vb[nucleo],$BH$1,
  m.vb[variavel],BM$7,
  m.vb[mes],$A20
)</f>
        <v>0</v>
      </c>
      <c r="BN20" s="123">
        <f ca="1">SUMIFS(
  m.vb[valor],
  m.vb[nucleo],$BH$1,
  m.vb[variavel],BN$7,
  m.vb[mes],$A20
)</f>
        <v>0</v>
      </c>
      <c r="BO20" s="123">
        <f ca="1">SUMIFS(
  m.vb[valor],
  m.vb[nucleo],$BH$1,
  m.vb[variavel],BO$7,
  m.vb[mes],$A20
)</f>
        <v>0</v>
      </c>
      <c r="BP20" s="123">
        <f ca="1">SUMIFS(
  m.vb[valor],
  m.vb[nucleo],$BH$1,
  m.vb[variavel],BP$7,
  m.vb[mes],$A20
)</f>
        <v>0</v>
      </c>
      <c r="BQ20" s="124">
        <f ca="1">SUMIFS(
  m.vb[valor],
  m.vb[nucleo],$BH$1,
  m.vb[variavel],BQ$7,
  m.vb[mes],$A20
)</f>
        <v>0</v>
      </c>
      <c r="BR20" s="122">
        <f>COUNTIFS(
    tb_estq[empresa], BR$6,
    tb_estq[Data da venda / reserva], "&gt;=" &amp; $A20,
    tb_estq[Data da venda / reserva], "&lt;"  &amp; EOMONTH($A20,0) + 1
)</f>
        <v>0</v>
      </c>
      <c r="BS20" s="123">
        <f ca="1">SUMIFS(tb_rec_uni[2022-06-01],
INDIRECT("tb_rec_uni[natureza]"),"pro.soluto",
INDIRECT("tb_rec_uni[empresa]"),BS$6)</f>
        <v>0</v>
      </c>
      <c r="BT20" s="123">
        <f ca="1">SUMIFS(tb_rec_uni[2022-06-01],
INDIRECT("tb_rec_uni[natureza]"),"parcela.fin.total.ik",
INDIRECT("tb_rec_uni[empresa]"),BT$6)</f>
        <v>0</v>
      </c>
      <c r="BU20" s="123">
        <f ca="1">SUMIFS(tb_rec_uni[2022-06-01],
INDIRECT("tb_rec_uni[natureza]"),"taxa.extra",
INDIRECT("tb_rec_uni[empresa]"),BU$6)</f>
        <v>0</v>
      </c>
      <c r="BV20" s="111"/>
      <c r="BW20" s="123">
        <f ca="1">SUMIFS(
  m.vb[valor],
  m.vb[nucleo],$BR$1,
  m.vb[variavel],BW$7,
  m.vb[mes],$A20
)</f>
        <v>0</v>
      </c>
      <c r="BX20" s="123">
        <f ca="1">SUMIFS(
  m.vb[valor],
  m.vb[nucleo],$BR$1,
  m.vb[variavel],BX$7,
  m.vb[mes],$A20
)</f>
        <v>0</v>
      </c>
      <c r="BY20" s="123">
        <f ca="1">SUMIFS(
  m.vb[valor],
  m.vb[nucleo],$BR$1,
  m.vb[variavel],BY$7,
  m.vb[mes],$A20
)</f>
        <v>0</v>
      </c>
      <c r="BZ20" s="123">
        <f ca="1">SUMIFS(
  m.vb[valor],
  m.vb[nucleo],$BR$1,
  m.vb[variavel],BZ$7,
  m.vb[mes],$A20
)</f>
        <v>0</v>
      </c>
      <c r="CA20" s="124">
        <f ca="1">SUMIFS(
  m.vb[valor],
  m.vb[nucleo],$BR$1,
  m.vb[variavel],CA$7,
  m.vb[mes],$A20
)</f>
        <v>0</v>
      </c>
      <c r="CB20" s="122">
        <f>COUNTIFS(
    tb_estq[empresa], CB$6,
    tb_estq[Data da venda / reserva], "&gt;=" &amp; $A20,
    tb_estq[Data da venda / reserva], "&lt;"  &amp; EOMONTH($A20,0) + 1
)</f>
        <v>0</v>
      </c>
      <c r="CC20" s="123">
        <f ca="1">SUMIFS(tb_rec_uni[2022-06-01],
INDIRECT("tb_rec_uni[natureza]"),"pro.soluto",
INDIRECT("tb_rec_uni[empresa]"),CC$6)</f>
        <v>0</v>
      </c>
      <c r="CD20" s="123">
        <f ca="1">SUMIFS(tb_rec_uni[2022-06-01],
INDIRECT("tb_rec_uni[natureza]"),"repasse.cef.obra",
INDIRECT("tb_rec_uni[empresa]"),CD$6)</f>
        <v>0</v>
      </c>
      <c r="CE20" s="123">
        <f ca="1">SUMIFS(tb_rec_uni[2022-06-01],
INDIRECT("tb_rec_uni[natureza]"),"repasse.cef.terreno",
INDIRECT("tb_rec_uni[empresa]"),CE$6)</f>
        <v>0</v>
      </c>
      <c r="CF20" s="123">
        <v>0</v>
      </c>
      <c r="CG20" s="123">
        <f ca="1">SUMIFS(tb_rec_uni[2022-06-01],
INDIRECT("tb_rec_uni[natureza]"),"taxa.extra",
INDIRECT("tb_rec_uni[empresa]"),CG$6)</f>
        <v>0</v>
      </c>
      <c r="CH20" s="111"/>
      <c r="CI20" s="123">
        <f ca="1">SUMIFS(
  m.vb[valor],
  m.vb[nucleo],$CB$1,
  m.vb[variavel],CI$7,
  m.vb[mes],$A20
)</f>
        <v>0</v>
      </c>
      <c r="CJ20" s="123">
        <f ca="1">SUMIFS(
  m.vb[valor],
  m.vb[nucleo],$CB$1,
  m.vb[variavel],CJ$7,
  m.vb[mes],$A20
)</f>
        <v>0</v>
      </c>
      <c r="CK20" s="123">
        <f ca="1">SUMIFS(
  m.vb[valor],
  m.vb[nucleo],$CB$1,
  m.vb[variavel],CK$7,
  m.vb[mes],$A20
)</f>
        <v>0</v>
      </c>
      <c r="CL20" s="123">
        <f ca="1">SUMIFS(
  m.vb[valor],
  m.vb[nucleo],$CB$1,
  m.vb[variavel],CL$7,
  m.vb[mes],$A20
)</f>
        <v>0</v>
      </c>
      <c r="CM20" s="124">
        <f ca="1">SUMIFS(
  m.vb[valor],
  m.vb[nucleo],$CB$1,
  m.vb[variavel],CM$7,
  m.vb[mes],$A20
)</f>
        <v>0</v>
      </c>
      <c r="CN20" s="122">
        <f>COUNTIFS(
    tb_estq[empresa], CN$6,
    tb_estq[Data da venda / reserva], "&gt;=" &amp; $A20,
    tb_estq[Data da venda / reserva], "&lt;"  &amp; EOMONTH($A20,0) + 1
)</f>
        <v>0</v>
      </c>
      <c r="CO20" s="123">
        <f ca="1">SUMIFS(tb_rec_uni[2022-06-01],
INDIRECT("tb_rec_uni[natureza]"),"pro.soluto",
INDIRECT("tb_rec_uni[empresa]"),CO$6)</f>
        <v>0</v>
      </c>
      <c r="CP20" s="123">
        <f ca="1">SUMIFS(tb_rec_uni[2022-06-01],
INDIRECT("tb_rec_uni[natureza]"),"repasse.cef.obra",
INDIRECT("tb_rec_uni[empresa]"),CP$6)</f>
        <v>0</v>
      </c>
      <c r="CQ20" s="123">
        <f ca="1">SUMIFS(tb_rec_uni[2022-06-01],
INDIRECT("tb_rec_uni[natureza]"),"repasse.cef.terreno",
INDIRECT("tb_rec_uni[empresa]"),CQ$6)</f>
        <v>0</v>
      </c>
      <c r="CR20" s="123">
        <v>0</v>
      </c>
      <c r="CS20" s="123">
        <f ca="1">SUMIFS(tb_rec_uni[2022-06-01],
INDIRECT("tb_rec_uni[natureza]"),"taxa.extra",
INDIRECT("tb_rec_uni[empresa]"),CS$6)</f>
        <v>0</v>
      </c>
      <c r="CT20" s="111"/>
      <c r="CU20" s="123">
        <f ca="1">SUMIFS(
  m.vb[valor],
  m.vb[nucleo],$CN$1,
  m.vb[variavel],CU$7,
  m.vb[mes],$A20
)</f>
        <v>0</v>
      </c>
      <c r="CV20" s="123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3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3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5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21">
        <v>44743</v>
      </c>
      <c r="B21" s="122">
        <f>COUNTIFS(
    tb_estq[empresa], B$6,
    tb_estq[Data da venda / reserva], "&gt;=" &amp; $A21,
    tb_estq[Data da venda / reserva], "&lt;"  &amp; EOMONTH($A21,0) + 1
)</f>
        <v>0</v>
      </c>
      <c r="C21" s="123">
        <f ca="1">SUMIFS(tb_rec_uni[2022-07-01],
INDIRECT("tb_rec_uni[natureza]"),"pro.soluto",
INDIRECT("tb_rec_uni[empresa]"),C$6)</f>
        <v>0</v>
      </c>
      <c r="D21" s="123">
        <f ca="1">SUMIFS(tb_rec_uni[2022-07-01],
INDIRECT("tb_rec_uni[natureza]"),"repasse.cef.obra",
INDIRECT("tb_rec_uni[empresa]"),D$6)</f>
        <v>0</v>
      </c>
      <c r="E21" s="123">
        <f ca="1">SUMIFS(tb_rec_uni[2022-07-01],
INDIRECT("tb_rec_uni[natureza]"),"repasse.cef.terreno",
INDIRECT("tb_rec_uni[empresa]"),E$6)</f>
        <v>0</v>
      </c>
      <c r="F21" s="123">
        <v>0</v>
      </c>
      <c r="G21" s="123">
        <f ca="1">SUMIFS(tb_rec_uni[2022-07-01],
INDIRECT("tb_rec_uni[natureza]"),"taxa.extra",
INDIRECT("tb_rec_uni[empresa]"),G$6)</f>
        <v>0</v>
      </c>
      <c r="H21" s="111"/>
      <c r="I21" s="123">
        <f ca="1">SUMIFS(
  m.vb[valor],
  m.vb[nucleo],$B$1,
  m.vb[variavel],I$7,
  m.vb[mes],$A21
)</f>
        <v>0</v>
      </c>
      <c r="J21" s="123">
        <f ca="1">SUMIFS(
  m.vb[valor],
  m.vb[nucleo],$B$1,
  m.vb[variavel],J$7,
  m.vb[mes],$A21
)</f>
        <v>0</v>
      </c>
      <c r="K21" s="123">
        <f ca="1">SUMIFS(
  m.vb[valor],
  m.vb[nucleo],$B$1,
  m.vb[variavel],K$7,
  m.vb[mes],$A21
)</f>
        <v>0</v>
      </c>
      <c r="L21" s="123">
        <f ca="1">SUMIFS(
  m.vb[valor],
  m.vb[nucleo],$B$1,
  m.vb[variavel],L$7,
  m.vb[mes],$A21
)</f>
        <v>0</v>
      </c>
      <c r="M21" s="124">
        <f ca="1">SUMIFS(
  m.vb[valor],
  m.vb[nucleo],$B$1,
  m.vb[variavel],M$7,
  m.vb[mes],$A21
)</f>
        <v>0</v>
      </c>
      <c r="N21" s="122">
        <f>COUNTIFS(
    tb_estq[empresa], N$6,
    tb_estq[Data da venda / reserva], "&gt;=" &amp; $A21,
    tb_estq[Data da venda / reserva], "&lt;"  &amp; EOMONTH($A21,0) + 1
)</f>
        <v>0</v>
      </c>
      <c r="O21" s="123">
        <f ca="1">SUMIFS(tb_rec_uni[2022-07-01],
INDIRECT("tb_rec_uni[natureza]"),"pro.soluto",
INDIRECT("tb_rec_uni[empresa]"),O$6)</f>
        <v>0</v>
      </c>
      <c r="P21" s="123">
        <f ca="1">SUMIFS(tb_rec_uni[2022-07-01],
INDIRECT("tb_rec_uni[natureza]"),"repasse.cef.obra",
INDIRECT("tb_rec_uni[empresa]"),P$6)</f>
        <v>0</v>
      </c>
      <c r="Q21" s="123">
        <f ca="1">SUMIFS(tb_rec_uni[2022-07-01],
INDIRECT("tb_rec_uni[natureza]"),"repasse.cef.terreno",
INDIRECT("tb_rec_uni[empresa]"),Q$6)</f>
        <v>0</v>
      </c>
      <c r="R21" s="123">
        <v>0</v>
      </c>
      <c r="S21" s="123">
        <f ca="1">SUMIFS(tb_rec_uni[2022-07-01],
INDIRECT("tb_rec_uni[natureza]"),"taxa.extra",
INDIRECT("tb_rec_uni[empresa]"),S$6)</f>
        <v>0</v>
      </c>
      <c r="T21" s="111"/>
      <c r="U21" s="123">
        <f ca="1">SUMIFS(
  m.vb[valor],
  m.vb[nucleo],$N$1,
  m.vb[variavel],U$7,
  m.vb[mes],$A21
)</f>
        <v>0</v>
      </c>
      <c r="V21" s="123">
        <f ca="1">SUMIFS(
  m.vb[valor],
  m.vb[nucleo],$N$1,
  m.vb[variavel],V$7,
  m.vb[mes],$A21
)</f>
        <v>0</v>
      </c>
      <c r="W21" s="123">
        <f ca="1">SUMIFS(
  m.vb[valor],
  m.vb[nucleo],$N$1,
  m.vb[variavel],W$7,
  m.vb[mes],$A21
)</f>
        <v>0</v>
      </c>
      <c r="X21" s="123">
        <f ca="1">SUMIFS(
  m.vb[valor],
  m.vb[nucleo],$N$1,
  m.vb[variavel],X$7,
  m.vb[mes],$A21
)</f>
        <v>0</v>
      </c>
      <c r="Y21" s="124">
        <f ca="1">SUMIFS(
  m.vb[valor],
  m.vb[nucleo],$N$1,
  m.vb[variavel],Y$7,
  m.vb[mes],$A21
)</f>
        <v>0</v>
      </c>
      <c r="Z21" s="122">
        <f>COUNTIFS(
    tb_estq[empresa], Z$6,
    tb_estq[Data da venda / reserva], "&gt;=" &amp; $A21,
    tb_estq[Data da venda / reserva], "&lt;"  &amp; EOMONTH($A21,0) + 1
)</f>
        <v>0</v>
      </c>
      <c r="AA21" s="123">
        <f ca="1">SUMIFS(tb_rec_uni[2022-07-01],
INDIRECT("tb_rec_uni[natureza]"),"pro.soluto",
INDIRECT("tb_rec_uni[empresa]"),AA$6)</f>
        <v>0</v>
      </c>
      <c r="AB21" s="123">
        <f ca="1">SUMIFS(tb_rec_uni[2022-07-01],
INDIRECT("tb_rec_uni[natureza]"),"parcela.fin.total.ik",
INDIRECT("tb_rec_uni[empresa]"),AB$6)</f>
        <v>0</v>
      </c>
      <c r="AC21" s="123">
        <f ca="1">SUMIFS(tb_rec_uni[2022-07-01],
INDIRECT("tb_rec_uni[natureza]"),"taxa.extra",
INDIRECT("tb_rec_uni[empresa]"),AC$6)</f>
        <v>0</v>
      </c>
      <c r="AD21" s="111"/>
      <c r="AE21" s="123">
        <f ca="1">SUMIFS(
  m.vb[valor],
  m.vb[nucleo],$Z$1,
  m.vb[variavel],AE$7,
  m.vb[mes],$A21
)</f>
        <v>0</v>
      </c>
      <c r="AF21" s="123">
        <f ca="1">SUMIFS(
  m.vb[valor],
  m.vb[nucleo],$Z$1,
  m.vb[variavel],AF$7,
  m.vb[mes],$A21
)</f>
        <v>0</v>
      </c>
      <c r="AG21" s="123">
        <f ca="1">SUMIFS(
  m.vb[valor],
  m.vb[nucleo],$Z$1,
  m.vb[variavel],AG$7,
  m.vb[mes],$A21
)</f>
        <v>0</v>
      </c>
      <c r="AH21" s="123">
        <f ca="1">SUMIFS(
  m.vb[valor],
  m.vb[nucleo],$Z$1,
  m.vb[variavel],AH$7,
  m.vb[mes],$A21
)</f>
        <v>0</v>
      </c>
      <c r="AI21" s="124">
        <f ca="1">SUMIFS(
  m.vb[valor],
  m.vb[nucleo],$Z$1,
  m.vb[variavel],AI$7,
  m.vb[mes],$A21
)</f>
        <v>0</v>
      </c>
      <c r="AJ21" s="122">
        <f>COUNTIFS(
    tb_estq[empresa], AJ$6,
    tb_estq[Data da venda / reserva], "&gt;=" &amp; $A21,
    tb_estq[Data da venda / reserva], "&lt;"  &amp; EOMONTH($A21,0) + 1
)</f>
        <v>0</v>
      </c>
      <c r="AK21" s="123">
        <f ca="1">SUMIFS(tb_rec_uni[2022-07-01],
INDIRECT("tb_rec_uni[natureza]"),"pro.soluto",
INDIRECT("tb_rec_uni[empresa]"),AK$6)</f>
        <v>0</v>
      </c>
      <c r="AL21" s="123">
        <f ca="1">SUMIFS(tb_rec_uni[2022-07-01],
INDIRECT("tb_rec_uni[natureza]"),"repasse.cef.obra",
INDIRECT("tb_rec_uni[empresa]"),AL$6)</f>
        <v>0</v>
      </c>
      <c r="AM21" s="123">
        <f ca="1">SUMIFS(tb_rec_uni[2022-07-01],
INDIRECT("tb_rec_uni[natureza]"),"repasse.cef.terreno",
INDIRECT("tb_rec_uni[empresa]"),AM$6)</f>
        <v>0</v>
      </c>
      <c r="AN21" s="123">
        <v>0</v>
      </c>
      <c r="AO21" s="123">
        <f ca="1">SUMIFS(tb_rec_uni[2022-07-01],
INDIRECT("tb_rec_uni[natureza]"),"taxa.extra",
INDIRECT("tb_rec_uni[empresa]"),AO$6)</f>
        <v>0</v>
      </c>
      <c r="AP21" s="111"/>
      <c r="AQ21" s="123">
        <f ca="1">SUMIFS(
  m.vb[valor],
  m.vb[nucleo],$AJ$1,
  m.vb[variavel],AQ$7,
  m.vb[mes],$A21
)</f>
        <v>0</v>
      </c>
      <c r="AR21" s="123">
        <f ca="1">SUMIFS(
  m.vb[valor],
  m.vb[nucleo],$AJ$1,
  m.vb[variavel],AR$7,
  m.vb[mes],$A21
)</f>
        <v>0</v>
      </c>
      <c r="AS21" s="123">
        <f ca="1">SUMIFS(
  m.vb[valor],
  m.vb[nucleo],$AJ$1,
  m.vb[variavel],AS$7,
  m.vb[mes],$A21
)</f>
        <v>0</v>
      </c>
      <c r="AT21" s="123">
        <f ca="1">SUMIFS(
  m.vb[valor],
  m.vb[nucleo],$AJ$1,
  m.vb[variavel],AT$7,
  m.vb[mes],$A21
)</f>
        <v>0</v>
      </c>
      <c r="AU21" s="124">
        <f ca="1">SUMIFS(
  m.vb[valor],
  m.vb[nucleo],$AJ$1,
  m.vb[variavel],AU$7,
  m.vb[mes],$A21
)</f>
        <v>0</v>
      </c>
      <c r="AV21" s="122">
        <f>COUNTIFS(
    tb_estq[empresa], AV$6,
    tb_estq[Data da venda / reserva], "&gt;=" &amp; $A21,
    tb_estq[Data da venda / reserva], "&lt;"  &amp; EOMONTH($A21,0) + 1
)</f>
        <v>0</v>
      </c>
      <c r="AW21" s="123">
        <f ca="1">SUMIFS(tb_rec_uni[2022-07-01],
INDIRECT("tb_rec_uni[natureza]"),"pro.soluto",
INDIRECT("tb_rec_uni[empresa]"),AW$6)</f>
        <v>0</v>
      </c>
      <c r="AX21" s="123">
        <f ca="1">SUMIFS(tb_rec_uni[2022-07-01],
INDIRECT("tb_rec_uni[natureza]"),"repasse.cef.obra",
INDIRECT("tb_rec_uni[empresa]"),AX$6)</f>
        <v>0</v>
      </c>
      <c r="AY21" s="123">
        <f ca="1">SUMIFS(tb_rec_uni[2022-07-01],
INDIRECT("tb_rec_uni[natureza]"),"repasse.cef.terreno",
INDIRECT("tb_rec_uni[empresa]"),AY$6)</f>
        <v>0</v>
      </c>
      <c r="AZ21" s="123">
        <v>0</v>
      </c>
      <c r="BA21" s="123">
        <f ca="1">SUMIFS(tb_rec_uni[2022-07-01],
INDIRECT("tb_rec_uni[natureza]"),"taxa.extra",
INDIRECT("tb_rec_uni[empresa]"),BA$6)</f>
        <v>0</v>
      </c>
      <c r="BB21" s="111"/>
      <c r="BC21" s="123">
        <f ca="1">SUMIFS(
  m.vb[valor],
  m.vb[nucleo],$AV$1,
  m.vb[variavel],BC$7,
  m.vb[mes],$A21
)</f>
        <v>0</v>
      </c>
      <c r="BD21" s="123">
        <f ca="1">SUMIFS(
  m.vb[valor],
  m.vb[nucleo],$AV$1,
  m.vb[variavel],BD$7,
  m.vb[mes],$A21
)</f>
        <v>0</v>
      </c>
      <c r="BE21" s="123">
        <f ca="1">SUMIFS(
  m.vb[valor],
  m.vb[nucleo],$AV$1,
  m.vb[variavel],BE$7,
  m.vb[mes],$A21
)</f>
        <v>0</v>
      </c>
      <c r="BF21" s="123">
        <f ca="1">SUMIFS(
  m.vb[valor],
  m.vb[nucleo],$AV$1,
  m.vb[variavel],BF$7,
  m.vb[mes],$A21
)</f>
        <v>0</v>
      </c>
      <c r="BG21" s="124">
        <f ca="1">SUMIFS(
  m.vb[valor],
  m.vb[nucleo],$AV$1,
  m.vb[variavel],BG$7,
  m.vb[mes],$A21
)</f>
        <v>0</v>
      </c>
      <c r="BH21" s="122">
        <f>COUNTIFS(
    tb_estq[empresa], BH$6,
    tb_estq[Data da venda / reserva], "&gt;=" &amp; $A21,
    tb_estq[Data da venda / reserva], "&lt;"  &amp; EOMONTH($A21,0) + 1
)</f>
        <v>0</v>
      </c>
      <c r="BI21" s="123">
        <f ca="1">SUMIFS(tb_rec_uni[2022-07-01],
INDIRECT("tb_rec_uni[natureza]"),"pro.soluto",
INDIRECT("tb_rec_uni[empresa]"),BI$6)</f>
        <v>0</v>
      </c>
      <c r="BJ21" s="111">
        <v>0</v>
      </c>
      <c r="BK21" s="123">
        <f ca="1">SUMIFS(tb_rec_uni[2022-07-01],
INDIRECT("tb_rec_uni[natureza]"),"taxa.extra",
INDIRECT("tb_rec_uni[empresa]"),BK$6)</f>
        <v>0</v>
      </c>
      <c r="BL21" s="111"/>
      <c r="BM21" s="123">
        <f ca="1">SUMIFS(
  m.vb[valor],
  m.vb[nucleo],$BH$1,
  m.vb[variavel],BM$7,
  m.vb[mes],$A21
)</f>
        <v>0</v>
      </c>
      <c r="BN21" s="123">
        <f ca="1">SUMIFS(
  m.vb[valor],
  m.vb[nucleo],$BH$1,
  m.vb[variavel],BN$7,
  m.vb[mes],$A21
)</f>
        <v>0</v>
      </c>
      <c r="BO21" s="123">
        <f ca="1">SUMIFS(
  m.vb[valor],
  m.vb[nucleo],$BH$1,
  m.vb[variavel],BO$7,
  m.vb[mes],$A21
)</f>
        <v>0</v>
      </c>
      <c r="BP21" s="123">
        <f ca="1">SUMIFS(
  m.vb[valor],
  m.vb[nucleo],$BH$1,
  m.vb[variavel],BP$7,
  m.vb[mes],$A21
)</f>
        <v>0</v>
      </c>
      <c r="BQ21" s="124">
        <f ca="1">SUMIFS(
  m.vb[valor],
  m.vb[nucleo],$BH$1,
  m.vb[variavel],BQ$7,
  m.vb[mes],$A21
)</f>
        <v>0</v>
      </c>
      <c r="BR21" s="122">
        <f>COUNTIFS(
    tb_estq[empresa], BR$6,
    tb_estq[Data da venda / reserva], "&gt;=" &amp; $A21,
    tb_estq[Data da venda / reserva], "&lt;"  &amp; EOMONTH($A21,0) + 1
)</f>
        <v>0</v>
      </c>
      <c r="BS21" s="123">
        <f ca="1">SUMIFS(tb_rec_uni[2022-07-01],
INDIRECT("tb_rec_uni[natureza]"),"pro.soluto",
INDIRECT("tb_rec_uni[empresa]"),BS$6)</f>
        <v>0</v>
      </c>
      <c r="BT21" s="123">
        <f ca="1">SUMIFS(tb_rec_uni[2022-07-01],
INDIRECT("tb_rec_uni[natureza]"),"parcela.fin.total.ik",
INDIRECT("tb_rec_uni[empresa]"),BT$6)</f>
        <v>0</v>
      </c>
      <c r="BU21" s="123">
        <f ca="1">SUMIFS(tb_rec_uni[2022-07-01],
INDIRECT("tb_rec_uni[natureza]"),"taxa.extra",
INDIRECT("tb_rec_uni[empresa]"),BU$6)</f>
        <v>0</v>
      </c>
      <c r="BV21" s="111"/>
      <c r="BW21" s="123">
        <f ca="1">SUMIFS(
  m.vb[valor],
  m.vb[nucleo],$BR$1,
  m.vb[variavel],BW$7,
  m.vb[mes],$A21
)</f>
        <v>0</v>
      </c>
      <c r="BX21" s="123">
        <f ca="1">SUMIFS(
  m.vb[valor],
  m.vb[nucleo],$BR$1,
  m.vb[variavel],BX$7,
  m.vb[mes],$A21
)</f>
        <v>0</v>
      </c>
      <c r="BY21" s="123">
        <f ca="1">SUMIFS(
  m.vb[valor],
  m.vb[nucleo],$BR$1,
  m.vb[variavel],BY$7,
  m.vb[mes],$A21
)</f>
        <v>0</v>
      </c>
      <c r="BZ21" s="123">
        <f ca="1">SUMIFS(
  m.vb[valor],
  m.vb[nucleo],$BR$1,
  m.vb[variavel],BZ$7,
  m.vb[mes],$A21
)</f>
        <v>0</v>
      </c>
      <c r="CA21" s="124">
        <f ca="1">SUMIFS(
  m.vb[valor],
  m.vb[nucleo],$BR$1,
  m.vb[variavel],CA$7,
  m.vb[mes],$A21
)</f>
        <v>0</v>
      </c>
      <c r="CB21" s="122">
        <f>COUNTIFS(
    tb_estq[empresa], CB$6,
    tb_estq[Data da venda / reserva], "&gt;=" &amp; $A21,
    tb_estq[Data da venda / reserva], "&lt;"  &amp; EOMONTH($A21,0) + 1
)</f>
        <v>0</v>
      </c>
      <c r="CC21" s="123">
        <f ca="1">SUMIFS(tb_rec_uni[2022-07-01],
INDIRECT("tb_rec_uni[natureza]"),"pro.soluto",
INDIRECT("tb_rec_uni[empresa]"),CC$6)</f>
        <v>0</v>
      </c>
      <c r="CD21" s="123">
        <f ca="1">SUMIFS(tb_rec_uni[2022-07-01],
INDIRECT("tb_rec_uni[natureza]"),"repasse.cef.obra",
INDIRECT("tb_rec_uni[empresa]"),CD$6)</f>
        <v>0</v>
      </c>
      <c r="CE21" s="123">
        <f ca="1">SUMIFS(tb_rec_uni[2022-07-01],
INDIRECT("tb_rec_uni[natureza]"),"repasse.cef.terreno",
INDIRECT("tb_rec_uni[empresa]"),CE$6)</f>
        <v>0</v>
      </c>
      <c r="CF21" s="123">
        <v>0</v>
      </c>
      <c r="CG21" s="123">
        <f ca="1">SUMIFS(tb_rec_uni[2022-07-01],
INDIRECT("tb_rec_uni[natureza]"),"taxa.extra",
INDIRECT("tb_rec_uni[empresa]"),CG$6)</f>
        <v>0</v>
      </c>
      <c r="CH21" s="111"/>
      <c r="CI21" s="123">
        <f ca="1">SUMIFS(
  m.vb[valor],
  m.vb[nucleo],$CB$1,
  m.vb[variavel],CI$7,
  m.vb[mes],$A21
)</f>
        <v>0</v>
      </c>
      <c r="CJ21" s="123">
        <f ca="1">SUMIFS(
  m.vb[valor],
  m.vb[nucleo],$CB$1,
  m.vb[variavel],CJ$7,
  m.vb[mes],$A21
)</f>
        <v>0</v>
      </c>
      <c r="CK21" s="123">
        <f ca="1">SUMIFS(
  m.vb[valor],
  m.vb[nucleo],$CB$1,
  m.vb[variavel],CK$7,
  m.vb[mes],$A21
)</f>
        <v>0</v>
      </c>
      <c r="CL21" s="123">
        <f ca="1">SUMIFS(
  m.vb[valor],
  m.vb[nucleo],$CB$1,
  m.vb[variavel],CL$7,
  m.vb[mes],$A21
)</f>
        <v>0</v>
      </c>
      <c r="CM21" s="124">
        <f ca="1">SUMIFS(
  m.vb[valor],
  m.vb[nucleo],$CB$1,
  m.vb[variavel],CM$7,
  m.vb[mes],$A21
)</f>
        <v>0</v>
      </c>
      <c r="CN21" s="122">
        <f>COUNTIFS(
    tb_estq[empresa], CN$6,
    tb_estq[Data da venda / reserva], "&gt;=" &amp; $A21,
    tb_estq[Data da venda / reserva], "&lt;"  &amp; EOMONTH($A21,0) + 1
)</f>
        <v>0</v>
      </c>
      <c r="CO21" s="123">
        <f ca="1">SUMIFS(tb_rec_uni[2022-07-01],
INDIRECT("tb_rec_uni[natureza]"),"pro.soluto",
INDIRECT("tb_rec_uni[empresa]"),CO$6)</f>
        <v>0</v>
      </c>
      <c r="CP21" s="123">
        <f ca="1">SUMIFS(tb_rec_uni[2022-07-01],
INDIRECT("tb_rec_uni[natureza]"),"repasse.cef.obra",
INDIRECT("tb_rec_uni[empresa]"),CP$6)</f>
        <v>0</v>
      </c>
      <c r="CQ21" s="123">
        <f ca="1">SUMIFS(tb_rec_uni[2022-07-01],
INDIRECT("tb_rec_uni[natureza]"),"repasse.cef.terreno",
INDIRECT("tb_rec_uni[empresa]"),CQ$6)</f>
        <v>0</v>
      </c>
      <c r="CR21" s="123">
        <v>0</v>
      </c>
      <c r="CS21" s="123">
        <f ca="1">SUMIFS(tb_rec_uni[2022-07-01],
INDIRECT("tb_rec_uni[natureza]"),"taxa.extra",
INDIRECT("tb_rec_uni[empresa]"),CS$6)</f>
        <v>0</v>
      </c>
      <c r="CT21" s="111"/>
      <c r="CU21" s="123">
        <f ca="1">SUMIFS(
  m.vb[valor],
  m.vb[nucleo],$CN$1,
  m.vb[variavel],CU$7,
  m.vb[mes],$A21
)</f>
        <v>0</v>
      </c>
      <c r="CV21" s="123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3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3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5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21">
        <v>44774</v>
      </c>
      <c r="B22" s="122">
        <f>COUNTIFS(
    tb_estq[empresa], B$6,
    tb_estq[Data da venda / reserva], "&gt;=" &amp; $A22,
    tb_estq[Data da venda / reserva], "&lt;"  &amp; EOMONTH($A22,0) + 1
)</f>
        <v>0</v>
      </c>
      <c r="C22" s="123">
        <f ca="1">SUMIFS(tb_rec_uni[2022-08-01],
INDIRECT("tb_rec_uni[natureza]"),"pro.soluto",
INDIRECT("tb_rec_uni[empresa]"),C$6)</f>
        <v>0</v>
      </c>
      <c r="D22" s="123">
        <f ca="1">SUMIFS(tb_rec_uni[2022-08-01],
INDIRECT("tb_rec_uni[natureza]"),"repasse.cef.obra",
INDIRECT("tb_rec_uni[empresa]"),D$6)</f>
        <v>0</v>
      </c>
      <c r="E22" s="123">
        <f ca="1">SUMIFS(tb_rec_uni[2022-08-01],
INDIRECT("tb_rec_uni[natureza]"),"repasse.cef.terreno",
INDIRECT("tb_rec_uni[empresa]"),E$6)</f>
        <v>0</v>
      </c>
      <c r="F22" s="123">
        <v>0</v>
      </c>
      <c r="G22" s="123">
        <f ca="1">SUMIFS(tb_rec_uni[2022-08-01],
INDIRECT("tb_rec_uni[natureza]"),"taxa.extra",
INDIRECT("tb_rec_uni[empresa]"),G$6)</f>
        <v>0</v>
      </c>
      <c r="H22" s="111"/>
      <c r="I22" s="123">
        <f ca="1">SUMIFS(
  m.vb[valor],
  m.vb[nucleo],$B$1,
  m.vb[variavel],I$7,
  m.vb[mes],$A22
)</f>
        <v>0</v>
      </c>
      <c r="J22" s="123">
        <f ca="1">SUMIFS(
  m.vb[valor],
  m.vb[nucleo],$B$1,
  m.vb[variavel],J$7,
  m.vb[mes],$A22
)</f>
        <v>0</v>
      </c>
      <c r="K22" s="123">
        <f ca="1">SUMIFS(
  m.vb[valor],
  m.vb[nucleo],$B$1,
  m.vb[variavel],K$7,
  m.vb[mes],$A22
)</f>
        <v>0</v>
      </c>
      <c r="L22" s="123">
        <f ca="1">SUMIFS(
  m.vb[valor],
  m.vb[nucleo],$B$1,
  m.vb[variavel],L$7,
  m.vb[mes],$A22
)</f>
        <v>0</v>
      </c>
      <c r="M22" s="124">
        <f ca="1">SUMIFS(
  m.vb[valor],
  m.vb[nucleo],$B$1,
  m.vb[variavel],M$7,
  m.vb[mes],$A22
)</f>
        <v>0</v>
      </c>
      <c r="N22" s="122">
        <f>COUNTIFS(
    tb_estq[empresa], N$6,
    tb_estq[Data da venda / reserva], "&gt;=" &amp; $A22,
    tb_estq[Data da venda / reserva], "&lt;"  &amp; EOMONTH($A22,0) + 1
)</f>
        <v>0</v>
      </c>
      <c r="O22" s="123">
        <f ca="1">SUMIFS(tb_rec_uni[2022-08-01],
INDIRECT("tb_rec_uni[natureza]"),"pro.soluto",
INDIRECT("tb_rec_uni[empresa]"),O$6)</f>
        <v>0</v>
      </c>
      <c r="P22" s="123">
        <f ca="1">SUMIFS(tb_rec_uni[2022-08-01],
INDIRECT("tb_rec_uni[natureza]"),"repasse.cef.obra",
INDIRECT("tb_rec_uni[empresa]"),P$6)</f>
        <v>0</v>
      </c>
      <c r="Q22" s="123">
        <f ca="1">SUMIFS(tb_rec_uni[2022-08-01],
INDIRECT("tb_rec_uni[natureza]"),"repasse.cef.terreno",
INDIRECT("tb_rec_uni[empresa]"),Q$6)</f>
        <v>0</v>
      </c>
      <c r="R22" s="123">
        <v>0</v>
      </c>
      <c r="S22" s="123">
        <f ca="1">SUMIFS(tb_rec_uni[2022-08-01],
INDIRECT("tb_rec_uni[natureza]"),"taxa.extra",
INDIRECT("tb_rec_uni[empresa]"),S$6)</f>
        <v>0</v>
      </c>
      <c r="T22" s="111"/>
      <c r="U22" s="123">
        <f ca="1">SUMIFS(
  m.vb[valor],
  m.vb[nucleo],$N$1,
  m.vb[variavel],U$7,
  m.vb[mes],$A22
)</f>
        <v>0</v>
      </c>
      <c r="V22" s="123">
        <f ca="1">SUMIFS(
  m.vb[valor],
  m.vb[nucleo],$N$1,
  m.vb[variavel],V$7,
  m.vb[mes],$A22
)</f>
        <v>0</v>
      </c>
      <c r="W22" s="123">
        <f ca="1">SUMIFS(
  m.vb[valor],
  m.vb[nucleo],$N$1,
  m.vb[variavel],W$7,
  m.vb[mes],$A22
)</f>
        <v>0</v>
      </c>
      <c r="X22" s="123">
        <f ca="1">SUMIFS(
  m.vb[valor],
  m.vb[nucleo],$N$1,
  m.vb[variavel],X$7,
  m.vb[mes],$A22
)</f>
        <v>0</v>
      </c>
      <c r="Y22" s="124">
        <f ca="1">SUMIFS(
  m.vb[valor],
  m.vb[nucleo],$N$1,
  m.vb[variavel],Y$7,
  m.vb[mes],$A22
)</f>
        <v>0</v>
      </c>
      <c r="Z22" s="122">
        <f>COUNTIFS(
    tb_estq[empresa], Z$6,
    tb_estq[Data da venda / reserva], "&gt;=" &amp; $A22,
    tb_estq[Data da venda / reserva], "&lt;"  &amp; EOMONTH($A22,0) + 1
)</f>
        <v>0</v>
      </c>
      <c r="AA22" s="123">
        <f ca="1">SUMIFS(tb_rec_uni[2022-08-01],
INDIRECT("tb_rec_uni[natureza]"),"pro.soluto",
INDIRECT("tb_rec_uni[empresa]"),AA$6)</f>
        <v>0</v>
      </c>
      <c r="AB22" s="123">
        <f ca="1">SUMIFS(tb_rec_uni[2022-08-01],
INDIRECT("tb_rec_uni[natureza]"),"parcela.fin.total.ik",
INDIRECT("tb_rec_uni[empresa]"),AB$6)</f>
        <v>0</v>
      </c>
      <c r="AC22" s="123">
        <f ca="1">SUMIFS(tb_rec_uni[2022-08-01],
INDIRECT("tb_rec_uni[natureza]"),"taxa.extra",
INDIRECT("tb_rec_uni[empresa]"),AC$6)</f>
        <v>0</v>
      </c>
      <c r="AD22" s="111"/>
      <c r="AE22" s="123">
        <f ca="1">SUMIFS(
  m.vb[valor],
  m.vb[nucleo],$Z$1,
  m.vb[variavel],AE$7,
  m.vb[mes],$A22
)</f>
        <v>0</v>
      </c>
      <c r="AF22" s="123">
        <f ca="1">SUMIFS(
  m.vb[valor],
  m.vb[nucleo],$Z$1,
  m.vb[variavel],AF$7,
  m.vb[mes],$A22
)</f>
        <v>0</v>
      </c>
      <c r="AG22" s="123">
        <f ca="1">SUMIFS(
  m.vb[valor],
  m.vb[nucleo],$Z$1,
  m.vb[variavel],AG$7,
  m.vb[mes],$A22
)</f>
        <v>0</v>
      </c>
      <c r="AH22" s="123">
        <f ca="1">SUMIFS(
  m.vb[valor],
  m.vb[nucleo],$Z$1,
  m.vb[variavel],AH$7,
  m.vb[mes],$A22
)</f>
        <v>0</v>
      </c>
      <c r="AI22" s="124">
        <f ca="1">SUMIFS(
  m.vb[valor],
  m.vb[nucleo],$Z$1,
  m.vb[variavel],AI$7,
  m.vb[mes],$A22
)</f>
        <v>0</v>
      </c>
      <c r="AJ22" s="122">
        <f>COUNTIFS(
    tb_estq[empresa], AJ$6,
    tb_estq[Data da venda / reserva], "&gt;=" &amp; $A22,
    tb_estq[Data da venda / reserva], "&lt;"  &amp; EOMONTH($A22,0) + 1
)</f>
        <v>0</v>
      </c>
      <c r="AK22" s="123">
        <f ca="1">SUMIFS(tb_rec_uni[2022-08-01],
INDIRECT("tb_rec_uni[natureza]"),"pro.soluto",
INDIRECT("tb_rec_uni[empresa]"),AK$6)</f>
        <v>0</v>
      </c>
      <c r="AL22" s="123">
        <f ca="1">SUMIFS(tb_rec_uni[2022-08-01],
INDIRECT("tb_rec_uni[natureza]"),"repasse.cef.obra",
INDIRECT("tb_rec_uni[empresa]"),AL$6)</f>
        <v>0</v>
      </c>
      <c r="AM22" s="123">
        <f ca="1">SUMIFS(tb_rec_uni[2022-08-01],
INDIRECT("tb_rec_uni[natureza]"),"repasse.cef.terreno",
INDIRECT("tb_rec_uni[empresa]"),AM$6)</f>
        <v>0</v>
      </c>
      <c r="AN22" s="123">
        <v>0</v>
      </c>
      <c r="AO22" s="123">
        <f ca="1">SUMIFS(tb_rec_uni[2022-08-01],
INDIRECT("tb_rec_uni[natureza]"),"taxa.extra",
INDIRECT("tb_rec_uni[empresa]"),AO$6)</f>
        <v>0</v>
      </c>
      <c r="AP22" s="111"/>
      <c r="AQ22" s="123">
        <f ca="1">SUMIFS(
  m.vb[valor],
  m.vb[nucleo],$AJ$1,
  m.vb[variavel],AQ$7,
  m.vb[mes],$A22
)</f>
        <v>0</v>
      </c>
      <c r="AR22" s="123">
        <f ca="1">SUMIFS(
  m.vb[valor],
  m.vb[nucleo],$AJ$1,
  m.vb[variavel],AR$7,
  m.vb[mes],$A22
)</f>
        <v>0</v>
      </c>
      <c r="AS22" s="123">
        <f ca="1">SUMIFS(
  m.vb[valor],
  m.vb[nucleo],$AJ$1,
  m.vb[variavel],AS$7,
  m.vb[mes],$A22
)</f>
        <v>0</v>
      </c>
      <c r="AT22" s="123">
        <f ca="1">SUMIFS(
  m.vb[valor],
  m.vb[nucleo],$AJ$1,
  m.vb[variavel],AT$7,
  m.vb[mes],$A22
)</f>
        <v>0</v>
      </c>
      <c r="AU22" s="124">
        <f ca="1">SUMIFS(
  m.vb[valor],
  m.vb[nucleo],$AJ$1,
  m.vb[variavel],AU$7,
  m.vb[mes],$A22
)</f>
        <v>0</v>
      </c>
      <c r="AV22" s="122">
        <f>COUNTIFS(
    tb_estq[empresa], AV$6,
    tb_estq[Data da venda / reserva], "&gt;=" &amp; $A22,
    tb_estq[Data da venda / reserva], "&lt;"  &amp; EOMONTH($A22,0) + 1
)</f>
        <v>0</v>
      </c>
      <c r="AW22" s="123">
        <f ca="1">SUMIFS(tb_rec_uni[2022-08-01],
INDIRECT("tb_rec_uni[natureza]"),"pro.soluto",
INDIRECT("tb_rec_uni[empresa]"),AW$6)</f>
        <v>0</v>
      </c>
      <c r="AX22" s="123">
        <f ca="1">SUMIFS(tb_rec_uni[2022-08-01],
INDIRECT("tb_rec_uni[natureza]"),"repasse.cef.obra",
INDIRECT("tb_rec_uni[empresa]"),AX$6)</f>
        <v>0</v>
      </c>
      <c r="AY22" s="123">
        <f ca="1">SUMIFS(tb_rec_uni[2022-08-01],
INDIRECT("tb_rec_uni[natureza]"),"repasse.cef.terreno",
INDIRECT("tb_rec_uni[empresa]"),AY$6)</f>
        <v>0</v>
      </c>
      <c r="AZ22" s="123">
        <v>0</v>
      </c>
      <c r="BA22" s="123">
        <f ca="1">SUMIFS(tb_rec_uni[2022-08-01],
INDIRECT("tb_rec_uni[natureza]"),"taxa.extra",
INDIRECT("tb_rec_uni[empresa]"),BA$6)</f>
        <v>0</v>
      </c>
      <c r="BB22" s="111"/>
      <c r="BC22" s="123">
        <f ca="1">SUMIFS(
  m.vb[valor],
  m.vb[nucleo],$AV$1,
  m.vb[variavel],BC$7,
  m.vb[mes],$A22
)</f>
        <v>0</v>
      </c>
      <c r="BD22" s="123">
        <f ca="1">SUMIFS(
  m.vb[valor],
  m.vb[nucleo],$AV$1,
  m.vb[variavel],BD$7,
  m.vb[mes],$A22
)</f>
        <v>0</v>
      </c>
      <c r="BE22" s="123">
        <f ca="1">SUMIFS(
  m.vb[valor],
  m.vb[nucleo],$AV$1,
  m.vb[variavel],BE$7,
  m.vb[mes],$A22
)</f>
        <v>0</v>
      </c>
      <c r="BF22" s="123">
        <f ca="1">SUMIFS(
  m.vb[valor],
  m.vb[nucleo],$AV$1,
  m.vb[variavel],BF$7,
  m.vb[mes],$A22
)</f>
        <v>0</v>
      </c>
      <c r="BG22" s="124">
        <f ca="1">SUMIFS(
  m.vb[valor],
  m.vb[nucleo],$AV$1,
  m.vb[variavel],BG$7,
  m.vb[mes],$A22
)</f>
        <v>0</v>
      </c>
      <c r="BH22" s="122">
        <f>COUNTIFS(
    tb_estq[empresa], BH$6,
    tb_estq[Data da venda / reserva], "&gt;=" &amp; $A22,
    tb_estq[Data da venda / reserva], "&lt;"  &amp; EOMONTH($A22,0) + 1
)</f>
        <v>0</v>
      </c>
      <c r="BI22" s="123">
        <f ca="1">SUMIFS(tb_rec_uni[2022-08-01],
INDIRECT("tb_rec_uni[natureza]"),"pro.soluto",
INDIRECT("tb_rec_uni[empresa]"),BI$6)</f>
        <v>0</v>
      </c>
      <c r="BJ22" s="111">
        <v>0</v>
      </c>
      <c r="BK22" s="123">
        <f ca="1">SUMIFS(tb_rec_uni[2022-08-01],
INDIRECT("tb_rec_uni[natureza]"),"taxa.extra",
INDIRECT("tb_rec_uni[empresa]"),BK$6)</f>
        <v>0</v>
      </c>
      <c r="BL22" s="111"/>
      <c r="BM22" s="123">
        <f ca="1">SUMIFS(
  m.vb[valor],
  m.vb[nucleo],$BH$1,
  m.vb[variavel],BM$7,
  m.vb[mes],$A22
)</f>
        <v>0</v>
      </c>
      <c r="BN22" s="123">
        <f ca="1">SUMIFS(
  m.vb[valor],
  m.vb[nucleo],$BH$1,
  m.vb[variavel],BN$7,
  m.vb[mes],$A22
)</f>
        <v>0</v>
      </c>
      <c r="BO22" s="123">
        <f ca="1">SUMIFS(
  m.vb[valor],
  m.vb[nucleo],$BH$1,
  m.vb[variavel],BO$7,
  m.vb[mes],$A22
)</f>
        <v>0</v>
      </c>
      <c r="BP22" s="123">
        <f ca="1">SUMIFS(
  m.vb[valor],
  m.vb[nucleo],$BH$1,
  m.vb[variavel],BP$7,
  m.vb[mes],$A22
)</f>
        <v>0</v>
      </c>
      <c r="BQ22" s="124">
        <f ca="1">SUMIFS(
  m.vb[valor],
  m.vb[nucleo],$BH$1,
  m.vb[variavel],BQ$7,
  m.vb[mes],$A22
)</f>
        <v>0</v>
      </c>
      <c r="BR22" s="122">
        <f>COUNTIFS(
    tb_estq[empresa], BR$6,
    tb_estq[Data da venda / reserva], "&gt;=" &amp; $A22,
    tb_estq[Data da venda / reserva], "&lt;"  &amp; EOMONTH($A22,0) + 1
)</f>
        <v>0</v>
      </c>
      <c r="BS22" s="123">
        <f ca="1">SUMIFS(tb_rec_uni[2022-08-01],
INDIRECT("tb_rec_uni[natureza]"),"pro.soluto",
INDIRECT("tb_rec_uni[empresa]"),BS$6)</f>
        <v>0</v>
      </c>
      <c r="BT22" s="123">
        <f ca="1">SUMIFS(tb_rec_uni[2022-08-01],
INDIRECT("tb_rec_uni[natureza]"),"parcela.fin.total.ik",
INDIRECT("tb_rec_uni[empresa]"),BT$6)</f>
        <v>0</v>
      </c>
      <c r="BU22" s="123">
        <f ca="1">SUMIFS(tb_rec_uni[2022-08-01],
INDIRECT("tb_rec_uni[natureza]"),"taxa.extra",
INDIRECT("tb_rec_uni[empresa]"),BU$6)</f>
        <v>0</v>
      </c>
      <c r="BV22" s="111"/>
      <c r="BW22" s="123">
        <f ca="1">SUMIFS(
  m.vb[valor],
  m.vb[nucleo],$BR$1,
  m.vb[variavel],BW$7,
  m.vb[mes],$A22
)</f>
        <v>0</v>
      </c>
      <c r="BX22" s="123">
        <f ca="1">SUMIFS(
  m.vb[valor],
  m.vb[nucleo],$BR$1,
  m.vb[variavel],BX$7,
  m.vb[mes],$A22
)</f>
        <v>0</v>
      </c>
      <c r="BY22" s="123">
        <f ca="1">SUMIFS(
  m.vb[valor],
  m.vb[nucleo],$BR$1,
  m.vb[variavel],BY$7,
  m.vb[mes],$A22
)</f>
        <v>0</v>
      </c>
      <c r="BZ22" s="123">
        <f ca="1">SUMIFS(
  m.vb[valor],
  m.vb[nucleo],$BR$1,
  m.vb[variavel],BZ$7,
  m.vb[mes],$A22
)</f>
        <v>0</v>
      </c>
      <c r="CA22" s="124">
        <f ca="1">SUMIFS(
  m.vb[valor],
  m.vb[nucleo],$BR$1,
  m.vb[variavel],CA$7,
  m.vb[mes],$A22
)</f>
        <v>0</v>
      </c>
      <c r="CB22" s="122">
        <f>COUNTIFS(
    tb_estq[empresa], CB$6,
    tb_estq[Data da venda / reserva], "&gt;=" &amp; $A22,
    tb_estq[Data da venda / reserva], "&lt;"  &amp; EOMONTH($A22,0) + 1
)</f>
        <v>0</v>
      </c>
      <c r="CC22" s="123">
        <f ca="1">SUMIFS(tb_rec_uni[2022-08-01],
INDIRECT("tb_rec_uni[natureza]"),"pro.soluto",
INDIRECT("tb_rec_uni[empresa]"),CC$6)</f>
        <v>0</v>
      </c>
      <c r="CD22" s="123">
        <f ca="1">SUMIFS(tb_rec_uni[2022-08-01],
INDIRECT("tb_rec_uni[natureza]"),"repasse.cef.obra",
INDIRECT("tb_rec_uni[empresa]"),CD$6)</f>
        <v>0</v>
      </c>
      <c r="CE22" s="123">
        <f ca="1">SUMIFS(tb_rec_uni[2022-08-01],
INDIRECT("tb_rec_uni[natureza]"),"repasse.cef.terreno",
INDIRECT("tb_rec_uni[empresa]"),CE$6)</f>
        <v>0</v>
      </c>
      <c r="CF22" s="123">
        <v>0</v>
      </c>
      <c r="CG22" s="123">
        <f ca="1">SUMIFS(tb_rec_uni[2022-08-01],
INDIRECT("tb_rec_uni[natureza]"),"taxa.extra",
INDIRECT("tb_rec_uni[empresa]"),CG$6)</f>
        <v>0</v>
      </c>
      <c r="CH22" s="111"/>
      <c r="CI22" s="123">
        <f ca="1">SUMIFS(
  m.vb[valor],
  m.vb[nucleo],$CB$1,
  m.vb[variavel],CI$7,
  m.vb[mes],$A22
)</f>
        <v>0</v>
      </c>
      <c r="CJ22" s="123">
        <f ca="1">SUMIFS(
  m.vb[valor],
  m.vb[nucleo],$CB$1,
  m.vb[variavel],CJ$7,
  m.vb[mes],$A22
)</f>
        <v>0</v>
      </c>
      <c r="CK22" s="123">
        <f ca="1">SUMIFS(
  m.vb[valor],
  m.vb[nucleo],$CB$1,
  m.vb[variavel],CK$7,
  m.vb[mes],$A22
)</f>
        <v>0</v>
      </c>
      <c r="CL22" s="123">
        <f ca="1">SUMIFS(
  m.vb[valor],
  m.vb[nucleo],$CB$1,
  m.vb[variavel],CL$7,
  m.vb[mes],$A22
)</f>
        <v>0</v>
      </c>
      <c r="CM22" s="124">
        <f ca="1">SUMIFS(
  m.vb[valor],
  m.vb[nucleo],$CB$1,
  m.vb[variavel],CM$7,
  m.vb[mes],$A22
)</f>
        <v>0</v>
      </c>
      <c r="CN22" s="122">
        <f>COUNTIFS(
    tb_estq[empresa], CN$6,
    tb_estq[Data da venda / reserva], "&gt;=" &amp; $A22,
    tb_estq[Data da venda / reserva], "&lt;"  &amp; EOMONTH($A22,0) + 1
)</f>
        <v>0</v>
      </c>
      <c r="CO22" s="123">
        <f ca="1">SUMIFS(tb_rec_uni[2022-08-01],
INDIRECT("tb_rec_uni[natureza]"),"pro.soluto",
INDIRECT("tb_rec_uni[empresa]"),CO$6)</f>
        <v>0</v>
      </c>
      <c r="CP22" s="123">
        <f ca="1">SUMIFS(tb_rec_uni[2022-08-01],
INDIRECT("tb_rec_uni[natureza]"),"repasse.cef.obra",
INDIRECT("tb_rec_uni[empresa]"),CP$6)</f>
        <v>0</v>
      </c>
      <c r="CQ22" s="123">
        <f ca="1">SUMIFS(tb_rec_uni[2022-08-01],
INDIRECT("tb_rec_uni[natureza]"),"repasse.cef.terreno",
INDIRECT("tb_rec_uni[empresa]"),CQ$6)</f>
        <v>0</v>
      </c>
      <c r="CR22" s="123">
        <v>0</v>
      </c>
      <c r="CS22" s="123">
        <f ca="1">SUMIFS(tb_rec_uni[2022-08-01],
INDIRECT("tb_rec_uni[natureza]"),"taxa.extra",
INDIRECT("tb_rec_uni[empresa]"),CS$6)</f>
        <v>0</v>
      </c>
      <c r="CT22" s="111"/>
      <c r="CU22" s="123">
        <f ca="1">SUMIFS(
  m.vb[valor],
  m.vb[nucleo],$CN$1,
  m.vb[variavel],CU$7,
  m.vb[mes],$A22
)</f>
        <v>0</v>
      </c>
      <c r="CV22" s="123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3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3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5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21">
        <v>44805</v>
      </c>
      <c r="B23" s="122">
        <f>COUNTIFS(
    tb_estq[empresa], B$6,
    tb_estq[Data da venda / reserva], "&gt;=" &amp; $A23,
    tb_estq[Data da venda / reserva], "&lt;"  &amp; EOMONTH($A23,0) + 1
)</f>
        <v>0</v>
      </c>
      <c r="C23" s="123">
        <f ca="1">SUMIFS(tb_rec_uni[2022-09-01],
INDIRECT("tb_rec_uni[natureza]"),"pro.soluto",
INDIRECT("tb_rec_uni[empresa]"),C$6)</f>
        <v>0</v>
      </c>
      <c r="D23" s="123">
        <f ca="1">SUMIFS(tb_rec_uni[2022-09-01],
INDIRECT("tb_rec_uni[natureza]"),"repasse.cef.obra",
INDIRECT("tb_rec_uni[empresa]"),D$6)</f>
        <v>0</v>
      </c>
      <c r="E23" s="123">
        <f ca="1">SUMIFS(tb_rec_uni[2022-09-01],
INDIRECT("tb_rec_uni[natureza]"),"repasse.cef.terreno",
INDIRECT("tb_rec_uni[empresa]"),E$6)</f>
        <v>0</v>
      </c>
      <c r="F23" s="123">
        <v>0</v>
      </c>
      <c r="G23" s="123">
        <f ca="1">SUMIFS(tb_rec_uni[2022-09-01],
INDIRECT("tb_rec_uni[natureza]"),"taxa.extra",
INDIRECT("tb_rec_uni[empresa]"),G$6)</f>
        <v>0</v>
      </c>
      <c r="H23" s="111"/>
      <c r="I23" s="123">
        <f ca="1">SUMIFS(
  m.vb[valor],
  m.vb[nucleo],$B$1,
  m.vb[variavel],I$7,
  m.vb[mes],$A23
)</f>
        <v>0</v>
      </c>
      <c r="J23" s="123">
        <f ca="1">SUMIFS(
  m.vb[valor],
  m.vb[nucleo],$B$1,
  m.vb[variavel],J$7,
  m.vb[mes],$A23
)</f>
        <v>0</v>
      </c>
      <c r="K23" s="123">
        <f ca="1">SUMIFS(
  m.vb[valor],
  m.vb[nucleo],$B$1,
  m.vb[variavel],K$7,
  m.vb[mes],$A23
)</f>
        <v>0</v>
      </c>
      <c r="L23" s="123">
        <f ca="1">SUMIFS(
  m.vb[valor],
  m.vb[nucleo],$B$1,
  m.vb[variavel],L$7,
  m.vb[mes],$A23
)</f>
        <v>0</v>
      </c>
      <c r="M23" s="124">
        <f ca="1">SUMIFS(
  m.vb[valor],
  m.vb[nucleo],$B$1,
  m.vb[variavel],M$7,
  m.vb[mes],$A23
)</f>
        <v>0</v>
      </c>
      <c r="N23" s="122">
        <f>COUNTIFS(
    tb_estq[empresa], N$6,
    tb_estq[Data da venda / reserva], "&gt;=" &amp; $A23,
    tb_estq[Data da venda / reserva], "&lt;"  &amp; EOMONTH($A23,0) + 1
)</f>
        <v>0</v>
      </c>
      <c r="O23" s="123">
        <f ca="1">SUMIFS(tb_rec_uni[2022-09-01],
INDIRECT("tb_rec_uni[natureza]"),"pro.soluto",
INDIRECT("tb_rec_uni[empresa]"),O$6)</f>
        <v>0</v>
      </c>
      <c r="P23" s="123">
        <f ca="1">SUMIFS(tb_rec_uni[2022-09-01],
INDIRECT("tb_rec_uni[natureza]"),"repasse.cef.obra",
INDIRECT("tb_rec_uni[empresa]"),P$6)</f>
        <v>0</v>
      </c>
      <c r="Q23" s="123">
        <f ca="1">SUMIFS(tb_rec_uni[2022-09-01],
INDIRECT("tb_rec_uni[natureza]"),"repasse.cef.terreno",
INDIRECT("tb_rec_uni[empresa]"),Q$6)</f>
        <v>0</v>
      </c>
      <c r="R23" s="123">
        <v>0</v>
      </c>
      <c r="S23" s="123">
        <f ca="1">SUMIFS(tb_rec_uni[2022-09-01],
INDIRECT("tb_rec_uni[natureza]"),"taxa.extra",
INDIRECT("tb_rec_uni[empresa]"),S$6)</f>
        <v>0</v>
      </c>
      <c r="T23" s="111"/>
      <c r="U23" s="123">
        <f ca="1">SUMIFS(
  m.vb[valor],
  m.vb[nucleo],$N$1,
  m.vb[variavel],U$7,
  m.vb[mes],$A23
)</f>
        <v>0</v>
      </c>
      <c r="V23" s="123">
        <f ca="1">SUMIFS(
  m.vb[valor],
  m.vb[nucleo],$N$1,
  m.vb[variavel],V$7,
  m.vb[mes],$A23
)</f>
        <v>0</v>
      </c>
      <c r="W23" s="123">
        <f ca="1">SUMIFS(
  m.vb[valor],
  m.vb[nucleo],$N$1,
  m.vb[variavel],W$7,
  m.vb[mes],$A23
)</f>
        <v>0</v>
      </c>
      <c r="X23" s="123">
        <f ca="1">SUMIFS(
  m.vb[valor],
  m.vb[nucleo],$N$1,
  m.vb[variavel],X$7,
  m.vb[mes],$A23
)</f>
        <v>0</v>
      </c>
      <c r="Y23" s="124">
        <f ca="1">SUMIFS(
  m.vb[valor],
  m.vb[nucleo],$N$1,
  m.vb[variavel],Y$7,
  m.vb[mes],$A23
)</f>
        <v>0</v>
      </c>
      <c r="Z23" s="122">
        <f>COUNTIFS(
    tb_estq[empresa], Z$6,
    tb_estq[Data da venda / reserva], "&gt;=" &amp; $A23,
    tb_estq[Data da venda / reserva], "&lt;"  &amp; EOMONTH($A23,0) + 1
)</f>
        <v>0</v>
      </c>
      <c r="AA23" s="123">
        <f ca="1">SUMIFS(tb_rec_uni[2022-09-01],
INDIRECT("tb_rec_uni[natureza]"),"pro.soluto",
INDIRECT("tb_rec_uni[empresa]"),AA$6)</f>
        <v>0</v>
      </c>
      <c r="AB23" s="123">
        <f ca="1">SUMIFS(tb_rec_uni[2022-09-01],
INDIRECT("tb_rec_uni[natureza]"),"parcela.fin.total.ik",
INDIRECT("tb_rec_uni[empresa]"),AB$6)</f>
        <v>0</v>
      </c>
      <c r="AC23" s="123">
        <f ca="1">SUMIFS(tb_rec_uni[2022-09-01],
INDIRECT("tb_rec_uni[natureza]"),"taxa.extra",
INDIRECT("tb_rec_uni[empresa]"),AC$6)</f>
        <v>0</v>
      </c>
      <c r="AD23" s="111"/>
      <c r="AE23" s="123">
        <f ca="1">SUMIFS(
  m.vb[valor],
  m.vb[nucleo],$Z$1,
  m.vb[variavel],AE$7,
  m.vb[mes],$A23
)</f>
        <v>0</v>
      </c>
      <c r="AF23" s="123">
        <f ca="1">SUMIFS(
  m.vb[valor],
  m.vb[nucleo],$Z$1,
  m.vb[variavel],AF$7,
  m.vb[mes],$A23
)</f>
        <v>0</v>
      </c>
      <c r="AG23" s="123">
        <f ca="1">SUMIFS(
  m.vb[valor],
  m.vb[nucleo],$Z$1,
  m.vb[variavel],AG$7,
  m.vb[mes],$A23
)</f>
        <v>0</v>
      </c>
      <c r="AH23" s="123">
        <f ca="1">SUMIFS(
  m.vb[valor],
  m.vb[nucleo],$Z$1,
  m.vb[variavel],AH$7,
  m.vb[mes],$A23
)</f>
        <v>0</v>
      </c>
      <c r="AI23" s="124">
        <f ca="1">SUMIFS(
  m.vb[valor],
  m.vb[nucleo],$Z$1,
  m.vb[variavel],AI$7,
  m.vb[mes],$A23
)</f>
        <v>0</v>
      </c>
      <c r="AJ23" s="122">
        <f>COUNTIFS(
    tb_estq[empresa], AJ$6,
    tb_estq[Data da venda / reserva], "&gt;=" &amp; $A23,
    tb_estq[Data da venda / reserva], "&lt;"  &amp; EOMONTH($A23,0) + 1
)</f>
        <v>0</v>
      </c>
      <c r="AK23" s="123">
        <f ca="1">SUMIFS(tb_rec_uni[2022-09-01],
INDIRECT("tb_rec_uni[natureza]"),"pro.soluto",
INDIRECT("tb_rec_uni[empresa]"),AK$6)</f>
        <v>0</v>
      </c>
      <c r="AL23" s="123">
        <f ca="1">SUMIFS(tb_rec_uni[2022-09-01],
INDIRECT("tb_rec_uni[natureza]"),"repasse.cef.obra",
INDIRECT("tb_rec_uni[empresa]"),AL$6)</f>
        <v>0</v>
      </c>
      <c r="AM23" s="123">
        <f ca="1">SUMIFS(tb_rec_uni[2022-09-01],
INDIRECT("tb_rec_uni[natureza]"),"repasse.cef.terreno",
INDIRECT("tb_rec_uni[empresa]"),AM$6)</f>
        <v>0</v>
      </c>
      <c r="AN23" s="123">
        <v>0</v>
      </c>
      <c r="AO23" s="123">
        <f ca="1">SUMIFS(tb_rec_uni[2022-09-01],
INDIRECT("tb_rec_uni[natureza]"),"taxa.extra",
INDIRECT("tb_rec_uni[empresa]"),AO$6)</f>
        <v>0</v>
      </c>
      <c r="AP23" s="111"/>
      <c r="AQ23" s="123">
        <f ca="1">SUMIFS(
  m.vb[valor],
  m.vb[nucleo],$AJ$1,
  m.vb[variavel],AQ$7,
  m.vb[mes],$A23
)</f>
        <v>0</v>
      </c>
      <c r="AR23" s="123">
        <f ca="1">SUMIFS(
  m.vb[valor],
  m.vb[nucleo],$AJ$1,
  m.vb[variavel],AR$7,
  m.vb[mes],$A23
)</f>
        <v>0</v>
      </c>
      <c r="AS23" s="123">
        <f ca="1">SUMIFS(
  m.vb[valor],
  m.vb[nucleo],$AJ$1,
  m.vb[variavel],AS$7,
  m.vb[mes],$A23
)</f>
        <v>0</v>
      </c>
      <c r="AT23" s="123">
        <f ca="1">SUMIFS(
  m.vb[valor],
  m.vb[nucleo],$AJ$1,
  m.vb[variavel],AT$7,
  m.vb[mes],$A23
)</f>
        <v>0</v>
      </c>
      <c r="AU23" s="124">
        <f ca="1">SUMIFS(
  m.vb[valor],
  m.vb[nucleo],$AJ$1,
  m.vb[variavel],AU$7,
  m.vb[mes],$A23
)</f>
        <v>0</v>
      </c>
      <c r="AV23" s="122">
        <f>COUNTIFS(
    tb_estq[empresa], AV$6,
    tb_estq[Data da venda / reserva], "&gt;=" &amp; $A23,
    tb_estq[Data da venda / reserva], "&lt;"  &amp; EOMONTH($A23,0) + 1
)</f>
        <v>0</v>
      </c>
      <c r="AW23" s="123">
        <f ca="1">SUMIFS(tb_rec_uni[2022-09-01],
INDIRECT("tb_rec_uni[natureza]"),"pro.soluto",
INDIRECT("tb_rec_uni[empresa]"),AW$6)</f>
        <v>0</v>
      </c>
      <c r="AX23" s="123">
        <f ca="1">SUMIFS(tb_rec_uni[2022-09-01],
INDIRECT("tb_rec_uni[natureza]"),"repasse.cef.obra",
INDIRECT("tb_rec_uni[empresa]"),AX$6)</f>
        <v>0</v>
      </c>
      <c r="AY23" s="123">
        <f ca="1">SUMIFS(tb_rec_uni[2022-09-01],
INDIRECT("tb_rec_uni[natureza]"),"repasse.cef.terreno",
INDIRECT("tb_rec_uni[empresa]"),AY$6)</f>
        <v>0</v>
      </c>
      <c r="AZ23" s="123">
        <v>0</v>
      </c>
      <c r="BA23" s="123">
        <f ca="1">SUMIFS(tb_rec_uni[2022-09-01],
INDIRECT("tb_rec_uni[natureza]"),"taxa.extra",
INDIRECT("tb_rec_uni[empresa]"),BA$6)</f>
        <v>0</v>
      </c>
      <c r="BB23" s="111"/>
      <c r="BC23" s="123">
        <f ca="1">SUMIFS(
  m.vb[valor],
  m.vb[nucleo],$AV$1,
  m.vb[variavel],BC$7,
  m.vb[mes],$A23
)</f>
        <v>0</v>
      </c>
      <c r="BD23" s="123">
        <f ca="1">SUMIFS(
  m.vb[valor],
  m.vb[nucleo],$AV$1,
  m.vb[variavel],BD$7,
  m.vb[mes],$A23
)</f>
        <v>0</v>
      </c>
      <c r="BE23" s="123">
        <f ca="1">SUMIFS(
  m.vb[valor],
  m.vb[nucleo],$AV$1,
  m.vb[variavel],BE$7,
  m.vb[mes],$A23
)</f>
        <v>0</v>
      </c>
      <c r="BF23" s="123">
        <f ca="1">SUMIFS(
  m.vb[valor],
  m.vb[nucleo],$AV$1,
  m.vb[variavel],BF$7,
  m.vb[mes],$A23
)</f>
        <v>0</v>
      </c>
      <c r="BG23" s="124">
        <f ca="1">SUMIFS(
  m.vb[valor],
  m.vb[nucleo],$AV$1,
  m.vb[variavel],BG$7,
  m.vb[mes],$A23
)</f>
        <v>0</v>
      </c>
      <c r="BH23" s="122">
        <f>COUNTIFS(
    tb_estq[empresa], BH$6,
    tb_estq[Data da venda / reserva], "&gt;=" &amp; $A23,
    tb_estq[Data da venda / reserva], "&lt;"  &amp; EOMONTH($A23,0) + 1
)</f>
        <v>0</v>
      </c>
      <c r="BI23" s="123">
        <f ca="1">SUMIFS(tb_rec_uni[2022-09-01],
INDIRECT("tb_rec_uni[natureza]"),"pro.soluto",
INDIRECT("tb_rec_uni[empresa]"),BI$6)</f>
        <v>0</v>
      </c>
      <c r="BJ23" s="111">
        <v>0</v>
      </c>
      <c r="BK23" s="123">
        <f ca="1">SUMIFS(tb_rec_uni[2022-09-01],
INDIRECT("tb_rec_uni[natureza]"),"taxa.extra",
INDIRECT("tb_rec_uni[empresa]"),BK$6)</f>
        <v>0</v>
      </c>
      <c r="BL23" s="111"/>
      <c r="BM23" s="123">
        <f ca="1">SUMIFS(
  m.vb[valor],
  m.vb[nucleo],$BH$1,
  m.vb[variavel],BM$7,
  m.vb[mes],$A23
)</f>
        <v>0</v>
      </c>
      <c r="BN23" s="123">
        <f ca="1">SUMIFS(
  m.vb[valor],
  m.vb[nucleo],$BH$1,
  m.vb[variavel],BN$7,
  m.vb[mes],$A23
)</f>
        <v>0</v>
      </c>
      <c r="BO23" s="123">
        <f ca="1">SUMIFS(
  m.vb[valor],
  m.vb[nucleo],$BH$1,
  m.vb[variavel],BO$7,
  m.vb[mes],$A23
)</f>
        <v>0</v>
      </c>
      <c r="BP23" s="123">
        <f ca="1">SUMIFS(
  m.vb[valor],
  m.vb[nucleo],$BH$1,
  m.vb[variavel],BP$7,
  m.vb[mes],$A23
)</f>
        <v>0</v>
      </c>
      <c r="BQ23" s="124">
        <f ca="1">SUMIFS(
  m.vb[valor],
  m.vb[nucleo],$BH$1,
  m.vb[variavel],BQ$7,
  m.vb[mes],$A23
)</f>
        <v>0</v>
      </c>
      <c r="BR23" s="122">
        <f>COUNTIFS(
    tb_estq[empresa], BR$6,
    tb_estq[Data da venda / reserva], "&gt;=" &amp; $A23,
    tb_estq[Data da venda / reserva], "&lt;"  &amp; EOMONTH($A23,0) + 1
)</f>
        <v>0</v>
      </c>
      <c r="BS23" s="123">
        <f ca="1">SUMIFS(tb_rec_uni[2022-09-01],
INDIRECT("tb_rec_uni[natureza]"),"pro.soluto",
INDIRECT("tb_rec_uni[empresa]"),BS$6)</f>
        <v>0</v>
      </c>
      <c r="BT23" s="123">
        <f ca="1">SUMIFS(tb_rec_uni[2022-09-01],
INDIRECT("tb_rec_uni[natureza]"),"parcela.fin.total.ik",
INDIRECT("tb_rec_uni[empresa]"),BT$6)</f>
        <v>0</v>
      </c>
      <c r="BU23" s="123">
        <f ca="1">SUMIFS(tb_rec_uni[2022-09-01],
INDIRECT("tb_rec_uni[natureza]"),"taxa.extra",
INDIRECT("tb_rec_uni[empresa]"),BU$6)</f>
        <v>0</v>
      </c>
      <c r="BV23" s="111"/>
      <c r="BW23" s="123">
        <f ca="1">SUMIFS(
  m.vb[valor],
  m.vb[nucleo],$BR$1,
  m.vb[variavel],BW$7,
  m.vb[mes],$A23
)</f>
        <v>0</v>
      </c>
      <c r="BX23" s="123">
        <f ca="1">SUMIFS(
  m.vb[valor],
  m.vb[nucleo],$BR$1,
  m.vb[variavel],BX$7,
  m.vb[mes],$A23
)</f>
        <v>0</v>
      </c>
      <c r="BY23" s="123">
        <f ca="1">SUMIFS(
  m.vb[valor],
  m.vb[nucleo],$BR$1,
  m.vb[variavel],BY$7,
  m.vb[mes],$A23
)</f>
        <v>0</v>
      </c>
      <c r="BZ23" s="123">
        <f ca="1">SUMIFS(
  m.vb[valor],
  m.vb[nucleo],$BR$1,
  m.vb[variavel],BZ$7,
  m.vb[mes],$A23
)</f>
        <v>0</v>
      </c>
      <c r="CA23" s="124">
        <f ca="1">SUMIFS(
  m.vb[valor],
  m.vb[nucleo],$BR$1,
  m.vb[variavel],CA$7,
  m.vb[mes],$A23
)</f>
        <v>0</v>
      </c>
      <c r="CB23" s="122">
        <f>COUNTIFS(
    tb_estq[empresa], CB$6,
    tb_estq[Data da venda / reserva], "&gt;=" &amp; $A23,
    tb_estq[Data da venda / reserva], "&lt;"  &amp; EOMONTH($A23,0) + 1
)</f>
        <v>0</v>
      </c>
      <c r="CC23" s="123">
        <f ca="1">SUMIFS(tb_rec_uni[2022-09-01],
INDIRECT("tb_rec_uni[natureza]"),"pro.soluto",
INDIRECT("tb_rec_uni[empresa]"),CC$6)</f>
        <v>0</v>
      </c>
      <c r="CD23" s="123">
        <f ca="1">SUMIFS(tb_rec_uni[2022-09-01],
INDIRECT("tb_rec_uni[natureza]"),"repasse.cef.obra",
INDIRECT("tb_rec_uni[empresa]"),CD$6)</f>
        <v>0</v>
      </c>
      <c r="CE23" s="123">
        <f ca="1">SUMIFS(tb_rec_uni[2022-09-01],
INDIRECT("tb_rec_uni[natureza]"),"repasse.cef.terreno",
INDIRECT("tb_rec_uni[empresa]"),CE$6)</f>
        <v>0</v>
      </c>
      <c r="CF23" s="123">
        <v>0</v>
      </c>
      <c r="CG23" s="123">
        <f ca="1">SUMIFS(tb_rec_uni[2022-09-01],
INDIRECT("tb_rec_uni[natureza]"),"taxa.extra",
INDIRECT("tb_rec_uni[empresa]"),CG$6)</f>
        <v>0</v>
      </c>
      <c r="CH23" s="111"/>
      <c r="CI23" s="123">
        <f ca="1">SUMIFS(
  m.vb[valor],
  m.vb[nucleo],$CB$1,
  m.vb[variavel],CI$7,
  m.vb[mes],$A23
)</f>
        <v>0</v>
      </c>
      <c r="CJ23" s="123">
        <f ca="1">SUMIFS(
  m.vb[valor],
  m.vb[nucleo],$CB$1,
  m.vb[variavel],CJ$7,
  m.vb[mes],$A23
)</f>
        <v>0</v>
      </c>
      <c r="CK23" s="123">
        <f ca="1">SUMIFS(
  m.vb[valor],
  m.vb[nucleo],$CB$1,
  m.vb[variavel],CK$7,
  m.vb[mes],$A23
)</f>
        <v>0</v>
      </c>
      <c r="CL23" s="123">
        <f ca="1">SUMIFS(
  m.vb[valor],
  m.vb[nucleo],$CB$1,
  m.vb[variavel],CL$7,
  m.vb[mes],$A23
)</f>
        <v>0</v>
      </c>
      <c r="CM23" s="124">
        <f ca="1">SUMIFS(
  m.vb[valor],
  m.vb[nucleo],$CB$1,
  m.vb[variavel],CM$7,
  m.vb[mes],$A23
)</f>
        <v>0</v>
      </c>
      <c r="CN23" s="122">
        <f>COUNTIFS(
    tb_estq[empresa], CN$6,
    tb_estq[Data da venda / reserva], "&gt;=" &amp; $A23,
    tb_estq[Data da venda / reserva], "&lt;"  &amp; EOMONTH($A23,0) + 1
)</f>
        <v>0</v>
      </c>
      <c r="CO23" s="123">
        <f ca="1">SUMIFS(tb_rec_uni[2022-09-01],
INDIRECT("tb_rec_uni[natureza]"),"pro.soluto",
INDIRECT("tb_rec_uni[empresa]"),CO$6)</f>
        <v>0</v>
      </c>
      <c r="CP23" s="123">
        <f ca="1">SUMIFS(tb_rec_uni[2022-09-01],
INDIRECT("tb_rec_uni[natureza]"),"repasse.cef.obra",
INDIRECT("tb_rec_uni[empresa]"),CP$6)</f>
        <v>0</v>
      </c>
      <c r="CQ23" s="123">
        <f ca="1">SUMIFS(tb_rec_uni[2022-09-01],
INDIRECT("tb_rec_uni[natureza]"),"repasse.cef.terreno",
INDIRECT("tb_rec_uni[empresa]"),CQ$6)</f>
        <v>0</v>
      </c>
      <c r="CR23" s="123">
        <v>0</v>
      </c>
      <c r="CS23" s="123">
        <f ca="1">SUMIFS(tb_rec_uni[2022-09-01],
INDIRECT("tb_rec_uni[natureza]"),"taxa.extra",
INDIRECT("tb_rec_uni[empresa]"),CS$6)</f>
        <v>0</v>
      </c>
      <c r="CT23" s="111"/>
      <c r="CU23" s="123">
        <f ca="1">SUMIFS(
  m.vb[valor],
  m.vb[nucleo],$CN$1,
  m.vb[variavel],CU$7,
  m.vb[mes],$A23
)</f>
        <v>0</v>
      </c>
      <c r="CV23" s="123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3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3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5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21">
        <v>44835</v>
      </c>
      <c r="B24" s="122">
        <f>COUNTIFS(
    tb_estq[empresa], B$6,
    tb_estq[Data da venda / reserva], "&gt;=" &amp; $A24,
    tb_estq[Data da venda / reserva], "&lt;"  &amp; EOMONTH($A24,0) + 1
)</f>
        <v>0</v>
      </c>
      <c r="C24" s="123">
        <f ca="1">SUMIFS(tb_rec_uni[2022-10-01],
INDIRECT("tb_rec_uni[natureza]"),"pro.soluto",
INDIRECT("tb_rec_uni[empresa]"),C$6)</f>
        <v>0</v>
      </c>
      <c r="D24" s="123">
        <f ca="1">SUMIFS(tb_rec_uni[2022-10-01],
INDIRECT("tb_rec_uni[natureza]"),"repasse.cef.obra",
INDIRECT("tb_rec_uni[empresa]"),D$6)</f>
        <v>0</v>
      </c>
      <c r="E24" s="123">
        <f ca="1">SUMIFS(tb_rec_uni[2022-10-01],
INDIRECT("tb_rec_uni[natureza]"),"repasse.cef.terreno",
INDIRECT("tb_rec_uni[empresa]"),E$6)</f>
        <v>0</v>
      </c>
      <c r="F24" s="123">
        <v>0</v>
      </c>
      <c r="G24" s="123">
        <f ca="1">SUMIFS(tb_rec_uni[2022-10-01],
INDIRECT("tb_rec_uni[natureza]"),"taxa.extra",
INDIRECT("tb_rec_uni[empresa]"),G$6)</f>
        <v>0</v>
      </c>
      <c r="H24" s="111"/>
      <c r="I24" s="123">
        <f ca="1">SUMIFS(
  m.vb[valor],
  m.vb[nucleo],$B$1,
  m.vb[variavel],I$7,
  m.vb[mes],$A24
)</f>
        <v>0</v>
      </c>
      <c r="J24" s="123">
        <f ca="1">SUMIFS(
  m.vb[valor],
  m.vb[nucleo],$B$1,
  m.vb[variavel],J$7,
  m.vb[mes],$A24
)</f>
        <v>0</v>
      </c>
      <c r="K24" s="123">
        <f ca="1">SUMIFS(
  m.vb[valor],
  m.vb[nucleo],$B$1,
  m.vb[variavel],K$7,
  m.vb[mes],$A24
)</f>
        <v>0</v>
      </c>
      <c r="L24" s="123">
        <f ca="1">SUMIFS(
  m.vb[valor],
  m.vb[nucleo],$B$1,
  m.vb[variavel],L$7,
  m.vb[mes],$A24
)</f>
        <v>0</v>
      </c>
      <c r="M24" s="124">
        <f ca="1">SUMIFS(
  m.vb[valor],
  m.vb[nucleo],$B$1,
  m.vb[variavel],M$7,
  m.vb[mes],$A24
)</f>
        <v>0</v>
      </c>
      <c r="N24" s="122">
        <f>COUNTIFS(
    tb_estq[empresa], N$6,
    tb_estq[Data da venda / reserva], "&gt;=" &amp; $A24,
    tb_estq[Data da venda / reserva], "&lt;"  &amp; EOMONTH($A24,0) + 1
)</f>
        <v>0</v>
      </c>
      <c r="O24" s="123">
        <f ca="1">SUMIFS(tb_rec_uni[2022-10-01],
INDIRECT("tb_rec_uni[natureza]"),"pro.soluto",
INDIRECT("tb_rec_uni[empresa]"),O$6)</f>
        <v>0</v>
      </c>
      <c r="P24" s="123">
        <f ca="1">SUMIFS(tb_rec_uni[2022-10-01],
INDIRECT("tb_rec_uni[natureza]"),"repasse.cef.obra",
INDIRECT("tb_rec_uni[empresa]"),P$6)</f>
        <v>0</v>
      </c>
      <c r="Q24" s="123">
        <f ca="1">SUMIFS(tb_rec_uni[2022-10-01],
INDIRECT("tb_rec_uni[natureza]"),"repasse.cef.terreno",
INDIRECT("tb_rec_uni[empresa]"),Q$6)</f>
        <v>0</v>
      </c>
      <c r="R24" s="123">
        <v>0</v>
      </c>
      <c r="S24" s="123">
        <f ca="1">SUMIFS(tb_rec_uni[2022-10-01],
INDIRECT("tb_rec_uni[natureza]"),"taxa.extra",
INDIRECT("tb_rec_uni[empresa]"),S$6)</f>
        <v>0</v>
      </c>
      <c r="T24" s="111"/>
      <c r="U24" s="123">
        <f ca="1">SUMIFS(
  m.vb[valor],
  m.vb[nucleo],$N$1,
  m.vb[variavel],U$7,
  m.vb[mes],$A24
)</f>
        <v>0</v>
      </c>
      <c r="V24" s="123">
        <f ca="1">SUMIFS(
  m.vb[valor],
  m.vb[nucleo],$N$1,
  m.vb[variavel],V$7,
  m.vb[mes],$A24
)</f>
        <v>0</v>
      </c>
      <c r="W24" s="123">
        <f ca="1">SUMIFS(
  m.vb[valor],
  m.vb[nucleo],$N$1,
  m.vb[variavel],W$7,
  m.vb[mes],$A24
)</f>
        <v>0</v>
      </c>
      <c r="X24" s="123">
        <f ca="1">SUMIFS(
  m.vb[valor],
  m.vb[nucleo],$N$1,
  m.vb[variavel],X$7,
  m.vb[mes],$A24
)</f>
        <v>0</v>
      </c>
      <c r="Y24" s="124">
        <f ca="1">SUMIFS(
  m.vb[valor],
  m.vb[nucleo],$N$1,
  m.vb[variavel],Y$7,
  m.vb[mes],$A24
)</f>
        <v>0</v>
      </c>
      <c r="Z24" s="122">
        <f>COUNTIFS(
    tb_estq[empresa], Z$6,
    tb_estq[Data da venda / reserva], "&gt;=" &amp; $A24,
    tb_estq[Data da venda / reserva], "&lt;"  &amp; EOMONTH($A24,0) + 1
)</f>
        <v>0</v>
      </c>
      <c r="AA24" s="123">
        <f ca="1">SUMIFS(tb_rec_uni[2022-10-01],
INDIRECT("tb_rec_uni[natureza]"),"pro.soluto",
INDIRECT("tb_rec_uni[empresa]"),AA$6)</f>
        <v>0</v>
      </c>
      <c r="AB24" s="123">
        <f ca="1">SUMIFS(tb_rec_uni[2022-10-01],
INDIRECT("tb_rec_uni[natureza]"),"parcela.fin.total.ik",
INDIRECT("tb_rec_uni[empresa]"),AB$6)</f>
        <v>0</v>
      </c>
      <c r="AC24" s="123">
        <f ca="1">SUMIFS(tb_rec_uni[2022-10-01],
INDIRECT("tb_rec_uni[natureza]"),"taxa.extra",
INDIRECT("tb_rec_uni[empresa]"),AC$6)</f>
        <v>0</v>
      </c>
      <c r="AD24" s="111"/>
      <c r="AE24" s="123">
        <f ca="1">SUMIFS(
  m.vb[valor],
  m.vb[nucleo],$Z$1,
  m.vb[variavel],AE$7,
  m.vb[mes],$A24
)</f>
        <v>0</v>
      </c>
      <c r="AF24" s="123">
        <f ca="1">SUMIFS(
  m.vb[valor],
  m.vb[nucleo],$Z$1,
  m.vb[variavel],AF$7,
  m.vb[mes],$A24
)</f>
        <v>0</v>
      </c>
      <c r="AG24" s="123">
        <f ca="1">SUMIFS(
  m.vb[valor],
  m.vb[nucleo],$Z$1,
  m.vb[variavel],AG$7,
  m.vb[mes],$A24
)</f>
        <v>0</v>
      </c>
      <c r="AH24" s="123">
        <f ca="1">SUMIFS(
  m.vb[valor],
  m.vb[nucleo],$Z$1,
  m.vb[variavel],AH$7,
  m.vb[mes],$A24
)</f>
        <v>0</v>
      </c>
      <c r="AI24" s="124">
        <f ca="1">SUMIFS(
  m.vb[valor],
  m.vb[nucleo],$Z$1,
  m.vb[variavel],AI$7,
  m.vb[mes],$A24
)</f>
        <v>0</v>
      </c>
      <c r="AJ24" s="122">
        <f>COUNTIFS(
    tb_estq[empresa], AJ$6,
    tb_estq[Data da venda / reserva], "&gt;=" &amp; $A24,
    tb_estq[Data da venda / reserva], "&lt;"  &amp; EOMONTH($A24,0) + 1
)</f>
        <v>0</v>
      </c>
      <c r="AK24" s="123">
        <f ca="1">SUMIFS(tb_rec_uni[2022-10-01],
INDIRECT("tb_rec_uni[natureza]"),"pro.soluto",
INDIRECT("tb_rec_uni[empresa]"),AK$6)</f>
        <v>0</v>
      </c>
      <c r="AL24" s="123">
        <f ca="1">SUMIFS(tb_rec_uni[2022-10-01],
INDIRECT("tb_rec_uni[natureza]"),"repasse.cef.obra",
INDIRECT("tb_rec_uni[empresa]"),AL$6)</f>
        <v>0</v>
      </c>
      <c r="AM24" s="123">
        <f ca="1">SUMIFS(tb_rec_uni[2022-10-01],
INDIRECT("tb_rec_uni[natureza]"),"repasse.cef.terreno",
INDIRECT("tb_rec_uni[empresa]"),AM$6)</f>
        <v>0</v>
      </c>
      <c r="AN24" s="123">
        <v>0</v>
      </c>
      <c r="AO24" s="123">
        <f ca="1">SUMIFS(tb_rec_uni[2022-10-01],
INDIRECT("tb_rec_uni[natureza]"),"taxa.extra",
INDIRECT("tb_rec_uni[empresa]"),AO$6)</f>
        <v>0</v>
      </c>
      <c r="AP24" s="111"/>
      <c r="AQ24" s="123">
        <f ca="1">SUMIFS(
  m.vb[valor],
  m.vb[nucleo],$AJ$1,
  m.vb[variavel],AQ$7,
  m.vb[mes],$A24
)</f>
        <v>0</v>
      </c>
      <c r="AR24" s="123">
        <f ca="1">SUMIFS(
  m.vb[valor],
  m.vb[nucleo],$AJ$1,
  m.vb[variavel],AR$7,
  m.vb[mes],$A24
)</f>
        <v>0</v>
      </c>
      <c r="AS24" s="123">
        <f ca="1">SUMIFS(
  m.vb[valor],
  m.vb[nucleo],$AJ$1,
  m.vb[variavel],AS$7,
  m.vb[mes],$A24
)</f>
        <v>0</v>
      </c>
      <c r="AT24" s="123">
        <f ca="1">SUMIFS(
  m.vb[valor],
  m.vb[nucleo],$AJ$1,
  m.vb[variavel],AT$7,
  m.vb[mes],$A24
)</f>
        <v>0</v>
      </c>
      <c r="AU24" s="124">
        <f ca="1">SUMIFS(
  m.vb[valor],
  m.vb[nucleo],$AJ$1,
  m.vb[variavel],AU$7,
  m.vb[mes],$A24
)</f>
        <v>0</v>
      </c>
      <c r="AV24" s="122">
        <f>COUNTIFS(
    tb_estq[empresa], AV$6,
    tb_estq[Data da venda / reserva], "&gt;=" &amp; $A24,
    tb_estq[Data da venda / reserva], "&lt;"  &amp; EOMONTH($A24,0) + 1
)</f>
        <v>0</v>
      </c>
      <c r="AW24" s="123">
        <f ca="1">SUMIFS(tb_rec_uni[2022-10-01],
INDIRECT("tb_rec_uni[natureza]"),"pro.soluto",
INDIRECT("tb_rec_uni[empresa]"),AW$6)</f>
        <v>0</v>
      </c>
      <c r="AX24" s="123">
        <f ca="1">SUMIFS(tb_rec_uni[2022-10-01],
INDIRECT("tb_rec_uni[natureza]"),"repasse.cef.obra",
INDIRECT("tb_rec_uni[empresa]"),AX$6)</f>
        <v>0</v>
      </c>
      <c r="AY24" s="123">
        <f ca="1">SUMIFS(tb_rec_uni[2022-10-01],
INDIRECT("tb_rec_uni[natureza]"),"repasse.cef.terreno",
INDIRECT("tb_rec_uni[empresa]"),AY$6)</f>
        <v>0</v>
      </c>
      <c r="AZ24" s="123">
        <v>0</v>
      </c>
      <c r="BA24" s="123">
        <f ca="1">SUMIFS(tb_rec_uni[2022-10-01],
INDIRECT("tb_rec_uni[natureza]"),"taxa.extra",
INDIRECT("tb_rec_uni[empresa]"),BA$6)</f>
        <v>0</v>
      </c>
      <c r="BB24" s="111"/>
      <c r="BC24" s="123">
        <f ca="1">SUMIFS(
  m.vb[valor],
  m.vb[nucleo],$AV$1,
  m.vb[variavel],BC$7,
  m.vb[mes],$A24
)</f>
        <v>0</v>
      </c>
      <c r="BD24" s="123">
        <f ca="1">SUMIFS(
  m.vb[valor],
  m.vb[nucleo],$AV$1,
  m.vb[variavel],BD$7,
  m.vb[mes],$A24
)</f>
        <v>0</v>
      </c>
      <c r="BE24" s="123">
        <f ca="1">SUMIFS(
  m.vb[valor],
  m.vb[nucleo],$AV$1,
  m.vb[variavel],BE$7,
  m.vb[mes],$A24
)</f>
        <v>0</v>
      </c>
      <c r="BF24" s="123">
        <f ca="1">SUMIFS(
  m.vb[valor],
  m.vb[nucleo],$AV$1,
  m.vb[variavel],BF$7,
  m.vb[mes],$A24
)</f>
        <v>0</v>
      </c>
      <c r="BG24" s="124">
        <f ca="1">SUMIFS(
  m.vb[valor],
  m.vb[nucleo],$AV$1,
  m.vb[variavel],BG$7,
  m.vb[mes],$A24
)</f>
        <v>0</v>
      </c>
      <c r="BH24" s="122">
        <f>COUNTIFS(
    tb_estq[empresa], BH$6,
    tb_estq[Data da venda / reserva], "&gt;=" &amp; $A24,
    tb_estq[Data da venda / reserva], "&lt;"  &amp; EOMONTH($A24,0) + 1
)</f>
        <v>0</v>
      </c>
      <c r="BI24" s="123">
        <f ca="1">SUMIFS(tb_rec_uni[2022-10-01],
INDIRECT("tb_rec_uni[natureza]"),"pro.soluto",
INDIRECT("tb_rec_uni[empresa]"),BI$6)</f>
        <v>0</v>
      </c>
      <c r="BJ24" s="111">
        <v>0</v>
      </c>
      <c r="BK24" s="123">
        <f ca="1">SUMIFS(tb_rec_uni[2022-10-01],
INDIRECT("tb_rec_uni[natureza]"),"taxa.extra",
INDIRECT("tb_rec_uni[empresa]"),BK$6)</f>
        <v>0</v>
      </c>
      <c r="BL24" s="111"/>
      <c r="BM24" s="123">
        <f ca="1">SUMIFS(
  m.vb[valor],
  m.vb[nucleo],$BH$1,
  m.vb[variavel],BM$7,
  m.vb[mes],$A24
)</f>
        <v>0</v>
      </c>
      <c r="BN24" s="123">
        <f ca="1">SUMIFS(
  m.vb[valor],
  m.vb[nucleo],$BH$1,
  m.vb[variavel],BN$7,
  m.vb[mes],$A24
)</f>
        <v>0</v>
      </c>
      <c r="BO24" s="123">
        <f ca="1">SUMIFS(
  m.vb[valor],
  m.vb[nucleo],$BH$1,
  m.vb[variavel],BO$7,
  m.vb[mes],$A24
)</f>
        <v>0</v>
      </c>
      <c r="BP24" s="123">
        <f ca="1">SUMIFS(
  m.vb[valor],
  m.vb[nucleo],$BH$1,
  m.vb[variavel],BP$7,
  m.vb[mes],$A24
)</f>
        <v>0</v>
      </c>
      <c r="BQ24" s="124">
        <f ca="1">SUMIFS(
  m.vb[valor],
  m.vb[nucleo],$BH$1,
  m.vb[variavel],BQ$7,
  m.vb[mes],$A24
)</f>
        <v>0</v>
      </c>
      <c r="BR24" s="122">
        <f>COUNTIFS(
    tb_estq[empresa], BR$6,
    tb_estq[Data da venda / reserva], "&gt;=" &amp; $A24,
    tb_estq[Data da venda / reserva], "&lt;"  &amp; EOMONTH($A24,0) + 1
)</f>
        <v>0</v>
      </c>
      <c r="BS24" s="123">
        <f ca="1">SUMIFS(tb_rec_uni[2022-10-01],
INDIRECT("tb_rec_uni[natureza]"),"pro.soluto",
INDIRECT("tb_rec_uni[empresa]"),BS$6)</f>
        <v>0</v>
      </c>
      <c r="BT24" s="123">
        <f ca="1">SUMIFS(tb_rec_uni[2022-10-01],
INDIRECT("tb_rec_uni[natureza]"),"parcela.fin.total.ik",
INDIRECT("tb_rec_uni[empresa]"),BT$6)</f>
        <v>0</v>
      </c>
      <c r="BU24" s="123">
        <f ca="1">SUMIFS(tb_rec_uni[2022-10-01],
INDIRECT("tb_rec_uni[natureza]"),"taxa.extra",
INDIRECT("tb_rec_uni[empresa]"),BU$6)</f>
        <v>0</v>
      </c>
      <c r="BV24" s="111"/>
      <c r="BW24" s="123">
        <f ca="1">SUMIFS(
  m.vb[valor],
  m.vb[nucleo],$BR$1,
  m.vb[variavel],BW$7,
  m.vb[mes],$A24
)</f>
        <v>0</v>
      </c>
      <c r="BX24" s="123">
        <f ca="1">SUMIFS(
  m.vb[valor],
  m.vb[nucleo],$BR$1,
  m.vb[variavel],BX$7,
  m.vb[mes],$A24
)</f>
        <v>0</v>
      </c>
      <c r="BY24" s="123">
        <f ca="1">SUMIFS(
  m.vb[valor],
  m.vb[nucleo],$BR$1,
  m.vb[variavel],BY$7,
  m.vb[mes],$A24
)</f>
        <v>0</v>
      </c>
      <c r="BZ24" s="123">
        <f ca="1">SUMIFS(
  m.vb[valor],
  m.vb[nucleo],$BR$1,
  m.vb[variavel],BZ$7,
  m.vb[mes],$A24
)</f>
        <v>0</v>
      </c>
      <c r="CA24" s="124">
        <f ca="1">SUMIFS(
  m.vb[valor],
  m.vb[nucleo],$BR$1,
  m.vb[variavel],CA$7,
  m.vb[mes],$A24
)</f>
        <v>0</v>
      </c>
      <c r="CB24" s="122">
        <f>COUNTIFS(
    tb_estq[empresa], CB$6,
    tb_estq[Data da venda / reserva], "&gt;=" &amp; $A24,
    tb_estq[Data da venda / reserva], "&lt;"  &amp; EOMONTH($A24,0) + 1
)</f>
        <v>0</v>
      </c>
      <c r="CC24" s="123">
        <f ca="1">SUMIFS(tb_rec_uni[2022-10-01],
INDIRECT("tb_rec_uni[natureza]"),"pro.soluto",
INDIRECT("tb_rec_uni[empresa]"),CC$6)</f>
        <v>0</v>
      </c>
      <c r="CD24" s="123">
        <f ca="1">SUMIFS(tb_rec_uni[2022-10-01],
INDIRECT("tb_rec_uni[natureza]"),"repasse.cef.obra",
INDIRECT("tb_rec_uni[empresa]"),CD$6)</f>
        <v>0</v>
      </c>
      <c r="CE24" s="123">
        <f ca="1">SUMIFS(tb_rec_uni[2022-10-01],
INDIRECT("tb_rec_uni[natureza]"),"repasse.cef.terreno",
INDIRECT("tb_rec_uni[empresa]"),CE$6)</f>
        <v>0</v>
      </c>
      <c r="CF24" s="123">
        <v>0</v>
      </c>
      <c r="CG24" s="123">
        <f ca="1">SUMIFS(tb_rec_uni[2022-10-01],
INDIRECT("tb_rec_uni[natureza]"),"taxa.extra",
INDIRECT("tb_rec_uni[empresa]"),CG$6)</f>
        <v>0</v>
      </c>
      <c r="CH24" s="111"/>
      <c r="CI24" s="123">
        <f ca="1">SUMIFS(
  m.vb[valor],
  m.vb[nucleo],$CB$1,
  m.vb[variavel],CI$7,
  m.vb[mes],$A24
)</f>
        <v>0</v>
      </c>
      <c r="CJ24" s="123">
        <f ca="1">SUMIFS(
  m.vb[valor],
  m.vb[nucleo],$CB$1,
  m.vb[variavel],CJ$7,
  m.vb[mes],$A24
)</f>
        <v>0</v>
      </c>
      <c r="CK24" s="123">
        <f ca="1">SUMIFS(
  m.vb[valor],
  m.vb[nucleo],$CB$1,
  m.vb[variavel],CK$7,
  m.vb[mes],$A24
)</f>
        <v>0</v>
      </c>
      <c r="CL24" s="123">
        <f ca="1">SUMIFS(
  m.vb[valor],
  m.vb[nucleo],$CB$1,
  m.vb[variavel],CL$7,
  m.vb[mes],$A24
)</f>
        <v>0</v>
      </c>
      <c r="CM24" s="124">
        <f ca="1">SUMIFS(
  m.vb[valor],
  m.vb[nucleo],$CB$1,
  m.vb[variavel],CM$7,
  m.vb[mes],$A24
)</f>
        <v>0</v>
      </c>
      <c r="CN24" s="122">
        <f>COUNTIFS(
    tb_estq[empresa], CN$6,
    tb_estq[Data da venda / reserva], "&gt;=" &amp; $A24,
    tb_estq[Data da venda / reserva], "&lt;"  &amp; EOMONTH($A24,0) + 1
)</f>
        <v>0</v>
      </c>
      <c r="CO24" s="123">
        <f ca="1">SUMIFS(tb_rec_uni[2022-10-01],
INDIRECT("tb_rec_uni[natureza]"),"pro.soluto",
INDIRECT("tb_rec_uni[empresa]"),CO$6)</f>
        <v>0</v>
      </c>
      <c r="CP24" s="123">
        <f ca="1">SUMIFS(tb_rec_uni[2022-10-01],
INDIRECT("tb_rec_uni[natureza]"),"repasse.cef.obra",
INDIRECT("tb_rec_uni[empresa]"),CP$6)</f>
        <v>0</v>
      </c>
      <c r="CQ24" s="123">
        <f ca="1">SUMIFS(tb_rec_uni[2022-10-01],
INDIRECT("tb_rec_uni[natureza]"),"repasse.cef.terreno",
INDIRECT("tb_rec_uni[empresa]"),CQ$6)</f>
        <v>0</v>
      </c>
      <c r="CR24" s="123">
        <v>0</v>
      </c>
      <c r="CS24" s="123">
        <f ca="1">SUMIFS(tb_rec_uni[2022-10-01],
INDIRECT("tb_rec_uni[natureza]"),"taxa.extra",
INDIRECT("tb_rec_uni[empresa]"),CS$6)</f>
        <v>0</v>
      </c>
      <c r="CT24" s="111"/>
      <c r="CU24" s="123">
        <f ca="1">SUMIFS(
  m.vb[valor],
  m.vb[nucleo],$CN$1,
  m.vb[variavel],CU$7,
  m.vb[mes],$A24
)</f>
        <v>0</v>
      </c>
      <c r="CV24" s="123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3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3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5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21">
        <v>44866</v>
      </c>
      <c r="B25" s="122">
        <f>COUNTIFS(
    tb_estq[empresa], B$6,
    tb_estq[Data da venda / reserva], "&gt;=" &amp; $A25,
    tb_estq[Data da venda / reserva], "&lt;"  &amp; EOMONTH($A25,0) + 1
)</f>
        <v>0</v>
      </c>
      <c r="C25" s="123">
        <f ca="1">SUMIFS(tb_rec_uni[2022-11-01],
INDIRECT("tb_rec_uni[natureza]"),"pro.soluto",
INDIRECT("tb_rec_uni[empresa]"),C$6)</f>
        <v>0</v>
      </c>
      <c r="D25" s="123">
        <f ca="1">SUMIFS(tb_rec_uni[2022-11-01],
INDIRECT("tb_rec_uni[natureza]"),"repasse.cef.obra",
INDIRECT("tb_rec_uni[empresa]"),D$6)</f>
        <v>0</v>
      </c>
      <c r="E25" s="123">
        <f ca="1">SUMIFS(tb_rec_uni[2022-11-01],
INDIRECT("tb_rec_uni[natureza]"),"repasse.cef.terreno",
INDIRECT("tb_rec_uni[empresa]"),E$6)</f>
        <v>0</v>
      </c>
      <c r="F25" s="123">
        <v>0</v>
      </c>
      <c r="G25" s="123">
        <f ca="1">SUMIFS(tb_rec_uni[2022-11-01],
INDIRECT("tb_rec_uni[natureza]"),"taxa.extra",
INDIRECT("tb_rec_uni[empresa]"),G$6)</f>
        <v>0</v>
      </c>
      <c r="H25" s="111"/>
      <c r="I25" s="123">
        <f ca="1">SUMIFS(
  m.vb[valor],
  m.vb[nucleo],$B$1,
  m.vb[variavel],I$7,
  m.vb[mes],$A25
)</f>
        <v>0</v>
      </c>
      <c r="J25" s="123">
        <f ca="1">SUMIFS(
  m.vb[valor],
  m.vb[nucleo],$B$1,
  m.vb[variavel],J$7,
  m.vb[mes],$A25
)</f>
        <v>0</v>
      </c>
      <c r="K25" s="123">
        <f ca="1">SUMIFS(
  m.vb[valor],
  m.vb[nucleo],$B$1,
  m.vb[variavel],K$7,
  m.vb[mes],$A25
)</f>
        <v>0</v>
      </c>
      <c r="L25" s="123">
        <f ca="1">SUMIFS(
  m.vb[valor],
  m.vb[nucleo],$B$1,
  m.vb[variavel],L$7,
  m.vb[mes],$A25
)</f>
        <v>0</v>
      </c>
      <c r="M25" s="124">
        <f ca="1">SUMIFS(
  m.vb[valor],
  m.vb[nucleo],$B$1,
  m.vb[variavel],M$7,
  m.vb[mes],$A25
)</f>
        <v>0</v>
      </c>
      <c r="N25" s="122">
        <f>COUNTIFS(
    tb_estq[empresa], N$6,
    tb_estq[Data da venda / reserva], "&gt;=" &amp; $A25,
    tb_estq[Data da venda / reserva], "&lt;"  &amp; EOMONTH($A25,0) + 1
)</f>
        <v>0</v>
      </c>
      <c r="O25" s="123">
        <f ca="1">SUMIFS(tb_rec_uni[2022-11-01],
INDIRECT("tb_rec_uni[natureza]"),"pro.soluto",
INDIRECT("tb_rec_uni[empresa]"),O$6)</f>
        <v>0</v>
      </c>
      <c r="P25" s="123">
        <f ca="1">SUMIFS(tb_rec_uni[2022-11-01],
INDIRECT("tb_rec_uni[natureza]"),"repasse.cef.obra",
INDIRECT("tb_rec_uni[empresa]"),P$6)</f>
        <v>0</v>
      </c>
      <c r="Q25" s="123">
        <f ca="1">SUMIFS(tb_rec_uni[2022-11-01],
INDIRECT("tb_rec_uni[natureza]"),"repasse.cef.terreno",
INDIRECT("tb_rec_uni[empresa]"),Q$6)</f>
        <v>0</v>
      </c>
      <c r="R25" s="123">
        <v>0</v>
      </c>
      <c r="S25" s="123">
        <f ca="1">SUMIFS(tb_rec_uni[2022-11-01],
INDIRECT("tb_rec_uni[natureza]"),"taxa.extra",
INDIRECT("tb_rec_uni[empresa]"),S$6)</f>
        <v>0</v>
      </c>
      <c r="T25" s="111"/>
      <c r="U25" s="123">
        <f ca="1">SUMIFS(
  m.vb[valor],
  m.vb[nucleo],$N$1,
  m.vb[variavel],U$7,
  m.vb[mes],$A25
)</f>
        <v>0</v>
      </c>
      <c r="V25" s="123">
        <f ca="1">SUMIFS(
  m.vb[valor],
  m.vb[nucleo],$N$1,
  m.vb[variavel],V$7,
  m.vb[mes],$A25
)</f>
        <v>0</v>
      </c>
      <c r="W25" s="123">
        <f ca="1">SUMIFS(
  m.vb[valor],
  m.vb[nucleo],$N$1,
  m.vb[variavel],W$7,
  m.vb[mes],$A25
)</f>
        <v>0</v>
      </c>
      <c r="X25" s="123">
        <f ca="1">SUMIFS(
  m.vb[valor],
  m.vb[nucleo],$N$1,
  m.vb[variavel],X$7,
  m.vb[mes],$A25
)</f>
        <v>0</v>
      </c>
      <c r="Y25" s="124">
        <f ca="1">SUMIFS(
  m.vb[valor],
  m.vb[nucleo],$N$1,
  m.vb[variavel],Y$7,
  m.vb[mes],$A25
)</f>
        <v>0</v>
      </c>
      <c r="Z25" s="122">
        <f>COUNTIFS(
    tb_estq[empresa], Z$6,
    tb_estq[Data da venda / reserva], "&gt;=" &amp; $A25,
    tb_estq[Data da venda / reserva], "&lt;"  &amp; EOMONTH($A25,0) + 1
)</f>
        <v>0</v>
      </c>
      <c r="AA25" s="123">
        <f ca="1">SUMIFS(tb_rec_uni[2022-11-01],
INDIRECT("tb_rec_uni[natureza]"),"pro.soluto",
INDIRECT("tb_rec_uni[empresa]"),AA$6)</f>
        <v>0</v>
      </c>
      <c r="AB25" s="123">
        <f ca="1">SUMIFS(tb_rec_uni[2022-11-01],
INDIRECT("tb_rec_uni[natureza]"),"parcela.fin.total.ik",
INDIRECT("tb_rec_uni[empresa]"),AB$6)</f>
        <v>0</v>
      </c>
      <c r="AC25" s="123">
        <f ca="1">SUMIFS(tb_rec_uni[2022-11-01],
INDIRECT("tb_rec_uni[natureza]"),"taxa.extra",
INDIRECT("tb_rec_uni[empresa]"),AC$6)</f>
        <v>0</v>
      </c>
      <c r="AD25" s="111"/>
      <c r="AE25" s="123">
        <f ca="1">SUMIFS(
  m.vb[valor],
  m.vb[nucleo],$Z$1,
  m.vb[variavel],AE$7,
  m.vb[mes],$A25
)</f>
        <v>0</v>
      </c>
      <c r="AF25" s="123">
        <f ca="1">SUMIFS(
  m.vb[valor],
  m.vb[nucleo],$Z$1,
  m.vb[variavel],AF$7,
  m.vb[mes],$A25
)</f>
        <v>0</v>
      </c>
      <c r="AG25" s="123">
        <f ca="1">SUMIFS(
  m.vb[valor],
  m.vb[nucleo],$Z$1,
  m.vb[variavel],AG$7,
  m.vb[mes],$A25
)</f>
        <v>0</v>
      </c>
      <c r="AH25" s="123">
        <f ca="1">SUMIFS(
  m.vb[valor],
  m.vb[nucleo],$Z$1,
  m.vb[variavel],AH$7,
  m.vb[mes],$A25
)</f>
        <v>0</v>
      </c>
      <c r="AI25" s="124">
        <f ca="1">SUMIFS(
  m.vb[valor],
  m.vb[nucleo],$Z$1,
  m.vb[variavel],AI$7,
  m.vb[mes],$A25
)</f>
        <v>0</v>
      </c>
      <c r="AJ25" s="122">
        <f>COUNTIFS(
    tb_estq[empresa], AJ$6,
    tb_estq[Data da venda / reserva], "&gt;=" &amp; $A25,
    tb_estq[Data da venda / reserva], "&lt;"  &amp; EOMONTH($A25,0) + 1
)</f>
        <v>0</v>
      </c>
      <c r="AK25" s="123">
        <f ca="1">SUMIFS(tb_rec_uni[2022-11-01],
INDIRECT("tb_rec_uni[natureza]"),"pro.soluto",
INDIRECT("tb_rec_uni[empresa]"),AK$6)</f>
        <v>0</v>
      </c>
      <c r="AL25" s="123">
        <f ca="1">SUMIFS(tb_rec_uni[2022-11-01],
INDIRECT("tb_rec_uni[natureza]"),"repasse.cef.obra",
INDIRECT("tb_rec_uni[empresa]"),AL$6)</f>
        <v>0</v>
      </c>
      <c r="AM25" s="123">
        <f ca="1">SUMIFS(tb_rec_uni[2022-11-01],
INDIRECT("tb_rec_uni[natureza]"),"repasse.cef.terreno",
INDIRECT("tb_rec_uni[empresa]"),AM$6)</f>
        <v>0</v>
      </c>
      <c r="AN25" s="123">
        <v>0</v>
      </c>
      <c r="AO25" s="123">
        <f ca="1">SUMIFS(tb_rec_uni[2022-11-01],
INDIRECT("tb_rec_uni[natureza]"),"taxa.extra",
INDIRECT("tb_rec_uni[empresa]"),AO$6)</f>
        <v>0</v>
      </c>
      <c r="AP25" s="111"/>
      <c r="AQ25" s="123">
        <f ca="1">SUMIFS(
  m.vb[valor],
  m.vb[nucleo],$AJ$1,
  m.vb[variavel],AQ$7,
  m.vb[mes],$A25
)</f>
        <v>0</v>
      </c>
      <c r="AR25" s="123">
        <f ca="1">SUMIFS(
  m.vb[valor],
  m.vb[nucleo],$AJ$1,
  m.vb[variavel],AR$7,
  m.vb[mes],$A25
)</f>
        <v>0</v>
      </c>
      <c r="AS25" s="123">
        <f ca="1">SUMIFS(
  m.vb[valor],
  m.vb[nucleo],$AJ$1,
  m.vb[variavel],AS$7,
  m.vb[mes],$A25
)</f>
        <v>0</v>
      </c>
      <c r="AT25" s="123">
        <f ca="1">SUMIFS(
  m.vb[valor],
  m.vb[nucleo],$AJ$1,
  m.vb[variavel],AT$7,
  m.vb[mes],$A25
)</f>
        <v>0</v>
      </c>
      <c r="AU25" s="124">
        <f ca="1">SUMIFS(
  m.vb[valor],
  m.vb[nucleo],$AJ$1,
  m.vb[variavel],AU$7,
  m.vb[mes],$A25
)</f>
        <v>0</v>
      </c>
      <c r="AV25" s="122">
        <f>COUNTIFS(
    tb_estq[empresa], AV$6,
    tb_estq[Data da venda / reserva], "&gt;=" &amp; $A25,
    tb_estq[Data da venda / reserva], "&lt;"  &amp; EOMONTH($A25,0) + 1
)</f>
        <v>0</v>
      </c>
      <c r="AW25" s="123">
        <f ca="1">SUMIFS(tb_rec_uni[2022-11-01],
INDIRECT("tb_rec_uni[natureza]"),"pro.soluto",
INDIRECT("tb_rec_uni[empresa]"),AW$6)</f>
        <v>0</v>
      </c>
      <c r="AX25" s="123">
        <f ca="1">SUMIFS(tb_rec_uni[2022-11-01],
INDIRECT("tb_rec_uni[natureza]"),"repasse.cef.obra",
INDIRECT("tb_rec_uni[empresa]"),AX$6)</f>
        <v>0</v>
      </c>
      <c r="AY25" s="123">
        <f ca="1">SUMIFS(tb_rec_uni[2022-11-01],
INDIRECT("tb_rec_uni[natureza]"),"repasse.cef.terreno",
INDIRECT("tb_rec_uni[empresa]"),AY$6)</f>
        <v>0</v>
      </c>
      <c r="AZ25" s="123">
        <v>0</v>
      </c>
      <c r="BA25" s="123">
        <f ca="1">SUMIFS(tb_rec_uni[2022-11-01],
INDIRECT("tb_rec_uni[natureza]"),"taxa.extra",
INDIRECT("tb_rec_uni[empresa]"),BA$6)</f>
        <v>0</v>
      </c>
      <c r="BB25" s="111"/>
      <c r="BC25" s="123">
        <f ca="1">SUMIFS(
  m.vb[valor],
  m.vb[nucleo],$AV$1,
  m.vb[variavel],BC$7,
  m.vb[mes],$A25
)</f>
        <v>0</v>
      </c>
      <c r="BD25" s="123">
        <f ca="1">SUMIFS(
  m.vb[valor],
  m.vb[nucleo],$AV$1,
  m.vb[variavel],BD$7,
  m.vb[mes],$A25
)</f>
        <v>0</v>
      </c>
      <c r="BE25" s="123">
        <f ca="1">SUMIFS(
  m.vb[valor],
  m.vb[nucleo],$AV$1,
  m.vb[variavel],BE$7,
  m.vb[mes],$A25
)</f>
        <v>0</v>
      </c>
      <c r="BF25" s="123">
        <f ca="1">SUMIFS(
  m.vb[valor],
  m.vb[nucleo],$AV$1,
  m.vb[variavel],BF$7,
  m.vb[mes],$A25
)</f>
        <v>0</v>
      </c>
      <c r="BG25" s="124">
        <f ca="1">SUMIFS(
  m.vb[valor],
  m.vb[nucleo],$AV$1,
  m.vb[variavel],BG$7,
  m.vb[mes],$A25
)</f>
        <v>0</v>
      </c>
      <c r="BH25" s="122">
        <f>COUNTIFS(
    tb_estq[empresa], BH$6,
    tb_estq[Data da venda / reserva], "&gt;=" &amp; $A25,
    tb_estq[Data da venda / reserva], "&lt;"  &amp; EOMONTH($A25,0) + 1
)</f>
        <v>0</v>
      </c>
      <c r="BI25" s="123">
        <f ca="1">SUMIFS(tb_rec_uni[2022-11-01],
INDIRECT("tb_rec_uni[natureza]"),"pro.soluto",
INDIRECT("tb_rec_uni[empresa]"),BI$6)</f>
        <v>0</v>
      </c>
      <c r="BJ25" s="111">
        <v>0</v>
      </c>
      <c r="BK25" s="123">
        <f ca="1">SUMIFS(tb_rec_uni[2022-11-01],
INDIRECT("tb_rec_uni[natureza]"),"taxa.extra",
INDIRECT("tb_rec_uni[empresa]"),BK$6)</f>
        <v>0</v>
      </c>
      <c r="BL25" s="111"/>
      <c r="BM25" s="123">
        <f ca="1">SUMIFS(
  m.vb[valor],
  m.vb[nucleo],$BH$1,
  m.vb[variavel],BM$7,
  m.vb[mes],$A25
)</f>
        <v>0</v>
      </c>
      <c r="BN25" s="123">
        <f ca="1">SUMIFS(
  m.vb[valor],
  m.vb[nucleo],$BH$1,
  m.vb[variavel],BN$7,
  m.vb[mes],$A25
)</f>
        <v>0</v>
      </c>
      <c r="BO25" s="123">
        <f ca="1">SUMIFS(
  m.vb[valor],
  m.vb[nucleo],$BH$1,
  m.vb[variavel],BO$7,
  m.vb[mes],$A25
)</f>
        <v>0</v>
      </c>
      <c r="BP25" s="123">
        <f ca="1">SUMIFS(
  m.vb[valor],
  m.vb[nucleo],$BH$1,
  m.vb[variavel],BP$7,
  m.vb[mes],$A25
)</f>
        <v>0</v>
      </c>
      <c r="BQ25" s="124">
        <f ca="1">SUMIFS(
  m.vb[valor],
  m.vb[nucleo],$BH$1,
  m.vb[variavel],BQ$7,
  m.vb[mes],$A25
)</f>
        <v>0</v>
      </c>
      <c r="BR25" s="122">
        <f>COUNTIFS(
    tb_estq[empresa], BR$6,
    tb_estq[Data da venda / reserva], "&gt;=" &amp; $A25,
    tb_estq[Data da venda / reserva], "&lt;"  &amp; EOMONTH($A25,0) + 1
)</f>
        <v>0</v>
      </c>
      <c r="BS25" s="123">
        <f ca="1">SUMIFS(tb_rec_uni[2022-11-01],
INDIRECT("tb_rec_uni[natureza]"),"pro.soluto",
INDIRECT("tb_rec_uni[empresa]"),BS$6)</f>
        <v>0</v>
      </c>
      <c r="BT25" s="123">
        <f ca="1">SUMIFS(tb_rec_uni[2022-11-01],
INDIRECT("tb_rec_uni[natureza]"),"parcela.fin.total.ik",
INDIRECT("tb_rec_uni[empresa]"),BT$6)</f>
        <v>0</v>
      </c>
      <c r="BU25" s="123">
        <f ca="1">SUMIFS(tb_rec_uni[2022-11-01],
INDIRECT("tb_rec_uni[natureza]"),"taxa.extra",
INDIRECT("tb_rec_uni[empresa]"),BU$6)</f>
        <v>0</v>
      </c>
      <c r="BV25" s="111"/>
      <c r="BW25" s="123">
        <f ca="1">SUMIFS(
  m.vb[valor],
  m.vb[nucleo],$BR$1,
  m.vb[variavel],BW$7,
  m.vb[mes],$A25
)</f>
        <v>0</v>
      </c>
      <c r="BX25" s="123">
        <f ca="1">SUMIFS(
  m.vb[valor],
  m.vb[nucleo],$BR$1,
  m.vb[variavel],BX$7,
  m.vb[mes],$A25
)</f>
        <v>0</v>
      </c>
      <c r="BY25" s="123">
        <f ca="1">SUMIFS(
  m.vb[valor],
  m.vb[nucleo],$BR$1,
  m.vb[variavel],BY$7,
  m.vb[mes],$A25
)</f>
        <v>0</v>
      </c>
      <c r="BZ25" s="123">
        <f ca="1">SUMIFS(
  m.vb[valor],
  m.vb[nucleo],$BR$1,
  m.vb[variavel],BZ$7,
  m.vb[mes],$A25
)</f>
        <v>0</v>
      </c>
      <c r="CA25" s="124">
        <f ca="1">SUMIFS(
  m.vb[valor],
  m.vb[nucleo],$BR$1,
  m.vb[variavel],CA$7,
  m.vb[mes],$A25
)</f>
        <v>0</v>
      </c>
      <c r="CB25" s="122">
        <f>COUNTIFS(
    tb_estq[empresa], CB$6,
    tb_estq[Data da venda / reserva], "&gt;=" &amp; $A25,
    tb_estq[Data da venda / reserva], "&lt;"  &amp; EOMONTH($A25,0) + 1
)</f>
        <v>0</v>
      </c>
      <c r="CC25" s="123">
        <f ca="1">SUMIFS(tb_rec_uni[2022-11-01],
INDIRECT("tb_rec_uni[natureza]"),"pro.soluto",
INDIRECT("tb_rec_uni[empresa]"),CC$6)</f>
        <v>0</v>
      </c>
      <c r="CD25" s="123">
        <f ca="1">SUMIFS(tb_rec_uni[2022-11-01],
INDIRECT("tb_rec_uni[natureza]"),"repasse.cef.obra",
INDIRECT("tb_rec_uni[empresa]"),CD$6)</f>
        <v>0</v>
      </c>
      <c r="CE25" s="123">
        <f ca="1">SUMIFS(tb_rec_uni[2022-11-01],
INDIRECT("tb_rec_uni[natureza]"),"repasse.cef.terreno",
INDIRECT("tb_rec_uni[empresa]"),CE$6)</f>
        <v>0</v>
      </c>
      <c r="CF25" s="123">
        <v>0</v>
      </c>
      <c r="CG25" s="123">
        <f ca="1">SUMIFS(tb_rec_uni[2022-11-01],
INDIRECT("tb_rec_uni[natureza]"),"taxa.extra",
INDIRECT("tb_rec_uni[empresa]"),CG$6)</f>
        <v>0</v>
      </c>
      <c r="CH25" s="111"/>
      <c r="CI25" s="123">
        <f ca="1">SUMIFS(
  m.vb[valor],
  m.vb[nucleo],$CB$1,
  m.vb[variavel],CI$7,
  m.vb[mes],$A25
)</f>
        <v>0</v>
      </c>
      <c r="CJ25" s="123">
        <f ca="1">SUMIFS(
  m.vb[valor],
  m.vb[nucleo],$CB$1,
  m.vb[variavel],CJ$7,
  m.vb[mes],$A25
)</f>
        <v>0</v>
      </c>
      <c r="CK25" s="123">
        <f ca="1">SUMIFS(
  m.vb[valor],
  m.vb[nucleo],$CB$1,
  m.vb[variavel],CK$7,
  m.vb[mes],$A25
)</f>
        <v>0</v>
      </c>
      <c r="CL25" s="123">
        <f ca="1">SUMIFS(
  m.vb[valor],
  m.vb[nucleo],$CB$1,
  m.vb[variavel],CL$7,
  m.vb[mes],$A25
)</f>
        <v>0</v>
      </c>
      <c r="CM25" s="124">
        <f ca="1">SUMIFS(
  m.vb[valor],
  m.vb[nucleo],$CB$1,
  m.vb[variavel],CM$7,
  m.vb[mes],$A25
)</f>
        <v>0</v>
      </c>
      <c r="CN25" s="122">
        <f>COUNTIFS(
    tb_estq[empresa], CN$6,
    tb_estq[Data da venda / reserva], "&gt;=" &amp; $A25,
    tb_estq[Data da venda / reserva], "&lt;"  &amp; EOMONTH($A25,0) + 1
)</f>
        <v>0</v>
      </c>
      <c r="CO25" s="123">
        <f ca="1">SUMIFS(tb_rec_uni[2022-11-01],
INDIRECT("tb_rec_uni[natureza]"),"pro.soluto",
INDIRECT("tb_rec_uni[empresa]"),CO$6)</f>
        <v>0</v>
      </c>
      <c r="CP25" s="123">
        <f ca="1">SUMIFS(tb_rec_uni[2022-11-01],
INDIRECT("tb_rec_uni[natureza]"),"repasse.cef.obra",
INDIRECT("tb_rec_uni[empresa]"),CP$6)</f>
        <v>0</v>
      </c>
      <c r="CQ25" s="123">
        <f ca="1">SUMIFS(tb_rec_uni[2022-11-01],
INDIRECT("tb_rec_uni[natureza]"),"repasse.cef.terreno",
INDIRECT("tb_rec_uni[empresa]"),CQ$6)</f>
        <v>0</v>
      </c>
      <c r="CR25" s="123">
        <v>0</v>
      </c>
      <c r="CS25" s="123">
        <f ca="1">SUMIFS(tb_rec_uni[2022-11-01],
INDIRECT("tb_rec_uni[natureza]"),"taxa.extra",
INDIRECT("tb_rec_uni[empresa]"),CS$6)</f>
        <v>0</v>
      </c>
      <c r="CT25" s="111"/>
      <c r="CU25" s="123">
        <f ca="1">SUMIFS(
  m.vb[valor],
  m.vb[nucleo],$CN$1,
  m.vb[variavel],CU$7,
  m.vb[mes],$A25
)</f>
        <v>0</v>
      </c>
      <c r="CV25" s="123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3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3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5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21">
        <v>44896</v>
      </c>
      <c r="B26" s="122">
        <f>COUNTIFS(
    tb_estq[empresa], B$6,
    tb_estq[Data da venda / reserva], "&gt;=" &amp; $A26,
    tb_estq[Data da venda / reserva], "&lt;"  &amp; EOMONTH($A26,0) + 1
)</f>
        <v>0</v>
      </c>
      <c r="C26" s="123">
        <f ca="1">SUMIFS(tb_rec_uni[2022-12-01],
INDIRECT("tb_rec_uni[natureza]"),"pro.soluto",
INDIRECT("tb_rec_uni[empresa]"),C$6)</f>
        <v>0</v>
      </c>
      <c r="D26" s="123">
        <f ca="1">SUMIFS(tb_rec_uni[2022-12-01],
INDIRECT("tb_rec_uni[natureza]"),"repasse.cef.obra",
INDIRECT("tb_rec_uni[empresa]"),D$6)</f>
        <v>0</v>
      </c>
      <c r="E26" s="123">
        <f ca="1">SUMIFS(tb_rec_uni[2022-12-01],
INDIRECT("tb_rec_uni[natureza]"),"repasse.cef.terreno",
INDIRECT("tb_rec_uni[empresa]"),E$6)</f>
        <v>0</v>
      </c>
      <c r="F26" s="123">
        <v>0</v>
      </c>
      <c r="G26" s="123">
        <f ca="1">SUMIFS(tb_rec_uni[2022-12-01],
INDIRECT("tb_rec_uni[natureza]"),"taxa.extra",
INDIRECT("tb_rec_uni[empresa]"),G$6)</f>
        <v>0</v>
      </c>
      <c r="H26" s="111"/>
      <c r="I26" s="123">
        <f ca="1">SUMIFS(
  m.vb[valor],
  m.vb[nucleo],$B$1,
  m.vb[variavel],I$7,
  m.vb[mes],$A26
)</f>
        <v>0</v>
      </c>
      <c r="J26" s="123">
        <f ca="1">SUMIFS(
  m.vb[valor],
  m.vb[nucleo],$B$1,
  m.vb[variavel],J$7,
  m.vb[mes],$A26
)</f>
        <v>0</v>
      </c>
      <c r="K26" s="123">
        <f ca="1">SUMIFS(
  m.vb[valor],
  m.vb[nucleo],$B$1,
  m.vb[variavel],K$7,
  m.vb[mes],$A26
)</f>
        <v>0</v>
      </c>
      <c r="L26" s="123">
        <f ca="1">SUMIFS(
  m.vb[valor],
  m.vb[nucleo],$B$1,
  m.vb[variavel],L$7,
  m.vb[mes],$A26
)</f>
        <v>0</v>
      </c>
      <c r="M26" s="124">
        <f ca="1">SUMIFS(
  m.vb[valor],
  m.vb[nucleo],$B$1,
  m.vb[variavel],M$7,
  m.vb[mes],$A26
)</f>
        <v>0</v>
      </c>
      <c r="N26" s="122">
        <f>COUNTIFS(
    tb_estq[empresa], N$6,
    tb_estq[Data da venda / reserva], "&gt;=" &amp; $A26,
    tb_estq[Data da venda / reserva], "&lt;"  &amp; EOMONTH($A26,0) + 1
)</f>
        <v>0</v>
      </c>
      <c r="O26" s="123">
        <f ca="1">SUMIFS(tb_rec_uni[2022-12-01],
INDIRECT("tb_rec_uni[natureza]"),"pro.soluto",
INDIRECT("tb_rec_uni[empresa]"),O$6)</f>
        <v>0</v>
      </c>
      <c r="P26" s="123">
        <f ca="1">SUMIFS(tb_rec_uni[2022-12-01],
INDIRECT("tb_rec_uni[natureza]"),"repasse.cef.obra",
INDIRECT("tb_rec_uni[empresa]"),P$6)</f>
        <v>0</v>
      </c>
      <c r="Q26" s="123">
        <f ca="1">SUMIFS(tb_rec_uni[2022-12-01],
INDIRECT("tb_rec_uni[natureza]"),"repasse.cef.terreno",
INDIRECT("tb_rec_uni[empresa]"),Q$6)</f>
        <v>0</v>
      </c>
      <c r="R26" s="123">
        <v>0</v>
      </c>
      <c r="S26" s="123">
        <f ca="1">SUMIFS(tb_rec_uni[2022-12-01],
INDIRECT("tb_rec_uni[natureza]"),"taxa.extra",
INDIRECT("tb_rec_uni[empresa]"),S$6)</f>
        <v>0</v>
      </c>
      <c r="T26" s="111"/>
      <c r="U26" s="123">
        <f ca="1">SUMIFS(
  m.vb[valor],
  m.vb[nucleo],$N$1,
  m.vb[variavel],U$7,
  m.vb[mes],$A26
)</f>
        <v>0</v>
      </c>
      <c r="V26" s="123">
        <f ca="1">SUMIFS(
  m.vb[valor],
  m.vb[nucleo],$N$1,
  m.vb[variavel],V$7,
  m.vb[mes],$A26
)</f>
        <v>0</v>
      </c>
      <c r="W26" s="123">
        <f ca="1">SUMIFS(
  m.vb[valor],
  m.vb[nucleo],$N$1,
  m.vb[variavel],W$7,
  m.vb[mes],$A26
)</f>
        <v>0</v>
      </c>
      <c r="X26" s="123">
        <f ca="1">SUMIFS(
  m.vb[valor],
  m.vb[nucleo],$N$1,
  m.vb[variavel],X$7,
  m.vb[mes],$A26
)</f>
        <v>0</v>
      </c>
      <c r="Y26" s="124">
        <f ca="1">SUMIFS(
  m.vb[valor],
  m.vb[nucleo],$N$1,
  m.vb[variavel],Y$7,
  m.vb[mes],$A26
)</f>
        <v>0</v>
      </c>
      <c r="Z26" s="122">
        <f>COUNTIFS(
    tb_estq[empresa], Z$6,
    tb_estq[Data da venda / reserva], "&gt;=" &amp; $A26,
    tb_estq[Data da venda / reserva], "&lt;"  &amp; EOMONTH($A26,0) + 1
)</f>
        <v>0</v>
      </c>
      <c r="AA26" s="123">
        <f ca="1">SUMIFS(tb_rec_uni[2022-12-01],
INDIRECT("tb_rec_uni[natureza]"),"pro.soluto",
INDIRECT("tb_rec_uni[empresa]"),AA$6)</f>
        <v>0</v>
      </c>
      <c r="AB26" s="123">
        <f ca="1">SUMIFS(tb_rec_uni[2022-12-01],
INDIRECT("tb_rec_uni[natureza]"),"parcela.fin.total.ik",
INDIRECT("tb_rec_uni[empresa]"),AB$6)</f>
        <v>0</v>
      </c>
      <c r="AC26" s="123">
        <f ca="1">SUMIFS(tb_rec_uni[2022-12-01],
INDIRECT("tb_rec_uni[natureza]"),"taxa.extra",
INDIRECT("tb_rec_uni[empresa]"),AC$6)</f>
        <v>0</v>
      </c>
      <c r="AD26" s="111"/>
      <c r="AE26" s="123">
        <f ca="1">SUMIFS(
  m.vb[valor],
  m.vb[nucleo],$Z$1,
  m.vb[variavel],AE$7,
  m.vb[mes],$A26
)</f>
        <v>0</v>
      </c>
      <c r="AF26" s="123">
        <f ca="1">SUMIFS(
  m.vb[valor],
  m.vb[nucleo],$Z$1,
  m.vb[variavel],AF$7,
  m.vb[mes],$A26
)</f>
        <v>0</v>
      </c>
      <c r="AG26" s="123">
        <f ca="1">SUMIFS(
  m.vb[valor],
  m.vb[nucleo],$Z$1,
  m.vb[variavel],AG$7,
  m.vb[mes],$A26
)</f>
        <v>0</v>
      </c>
      <c r="AH26" s="123">
        <f ca="1">SUMIFS(
  m.vb[valor],
  m.vb[nucleo],$Z$1,
  m.vb[variavel],AH$7,
  m.vb[mes],$A26
)</f>
        <v>0</v>
      </c>
      <c r="AI26" s="124">
        <f ca="1">SUMIFS(
  m.vb[valor],
  m.vb[nucleo],$Z$1,
  m.vb[variavel],AI$7,
  m.vb[mes],$A26
)</f>
        <v>0</v>
      </c>
      <c r="AJ26" s="122">
        <f>COUNTIFS(
    tb_estq[empresa], AJ$6,
    tb_estq[Data da venda / reserva], "&gt;=" &amp; $A26,
    tb_estq[Data da venda / reserva], "&lt;"  &amp; EOMONTH($A26,0) + 1
)</f>
        <v>0</v>
      </c>
      <c r="AK26" s="123">
        <f ca="1">SUMIFS(tb_rec_uni[2022-12-01],
INDIRECT("tb_rec_uni[natureza]"),"pro.soluto",
INDIRECT("tb_rec_uni[empresa]"),AK$6)</f>
        <v>0</v>
      </c>
      <c r="AL26" s="123">
        <f ca="1">SUMIFS(tb_rec_uni[2022-12-01],
INDIRECT("tb_rec_uni[natureza]"),"repasse.cef.obra",
INDIRECT("tb_rec_uni[empresa]"),AL$6)</f>
        <v>0</v>
      </c>
      <c r="AM26" s="123">
        <f ca="1">SUMIFS(tb_rec_uni[2022-12-01],
INDIRECT("tb_rec_uni[natureza]"),"repasse.cef.terreno",
INDIRECT("tb_rec_uni[empresa]"),AM$6)</f>
        <v>0</v>
      </c>
      <c r="AN26" s="123">
        <v>0</v>
      </c>
      <c r="AO26" s="123">
        <f ca="1">SUMIFS(tb_rec_uni[2022-12-01],
INDIRECT("tb_rec_uni[natureza]"),"taxa.extra",
INDIRECT("tb_rec_uni[empresa]"),AO$6)</f>
        <v>0</v>
      </c>
      <c r="AP26" s="111"/>
      <c r="AQ26" s="123">
        <f ca="1">SUMIFS(
  m.vb[valor],
  m.vb[nucleo],$AJ$1,
  m.vb[variavel],AQ$7,
  m.vb[mes],$A26
)</f>
        <v>0</v>
      </c>
      <c r="AR26" s="123">
        <f ca="1">SUMIFS(
  m.vb[valor],
  m.vb[nucleo],$AJ$1,
  m.vb[variavel],AR$7,
  m.vb[mes],$A26
)</f>
        <v>0</v>
      </c>
      <c r="AS26" s="123">
        <f ca="1">SUMIFS(
  m.vb[valor],
  m.vb[nucleo],$AJ$1,
  m.vb[variavel],AS$7,
  m.vb[mes],$A26
)</f>
        <v>0</v>
      </c>
      <c r="AT26" s="123">
        <f ca="1">SUMIFS(
  m.vb[valor],
  m.vb[nucleo],$AJ$1,
  m.vb[variavel],AT$7,
  m.vb[mes],$A26
)</f>
        <v>0</v>
      </c>
      <c r="AU26" s="124">
        <f ca="1">SUMIFS(
  m.vb[valor],
  m.vb[nucleo],$AJ$1,
  m.vb[variavel],AU$7,
  m.vb[mes],$A26
)</f>
        <v>0</v>
      </c>
      <c r="AV26" s="122">
        <f>COUNTIFS(
    tb_estq[empresa], AV$6,
    tb_estq[Data da venda / reserva], "&gt;=" &amp; $A26,
    tb_estq[Data da venda / reserva], "&lt;"  &amp; EOMONTH($A26,0) + 1
)</f>
        <v>0</v>
      </c>
      <c r="AW26" s="123">
        <f ca="1">SUMIFS(tb_rec_uni[2022-12-01],
INDIRECT("tb_rec_uni[natureza]"),"pro.soluto",
INDIRECT("tb_rec_uni[empresa]"),AW$6)</f>
        <v>0</v>
      </c>
      <c r="AX26" s="123">
        <f ca="1">SUMIFS(tb_rec_uni[2022-12-01],
INDIRECT("tb_rec_uni[natureza]"),"repasse.cef.obra",
INDIRECT("tb_rec_uni[empresa]"),AX$6)</f>
        <v>0</v>
      </c>
      <c r="AY26" s="123">
        <f ca="1">SUMIFS(tb_rec_uni[2022-12-01],
INDIRECT("tb_rec_uni[natureza]"),"repasse.cef.terreno",
INDIRECT("tb_rec_uni[empresa]"),AY$6)</f>
        <v>0</v>
      </c>
      <c r="AZ26" s="123">
        <v>0</v>
      </c>
      <c r="BA26" s="123">
        <f ca="1">SUMIFS(tb_rec_uni[2022-12-01],
INDIRECT("tb_rec_uni[natureza]"),"taxa.extra",
INDIRECT("tb_rec_uni[empresa]"),BA$6)</f>
        <v>0</v>
      </c>
      <c r="BB26" s="111"/>
      <c r="BC26" s="123">
        <f ca="1">SUMIFS(
  m.vb[valor],
  m.vb[nucleo],$AV$1,
  m.vb[variavel],BC$7,
  m.vb[mes],$A26
)</f>
        <v>0</v>
      </c>
      <c r="BD26" s="123">
        <f ca="1">SUMIFS(
  m.vb[valor],
  m.vb[nucleo],$AV$1,
  m.vb[variavel],BD$7,
  m.vb[mes],$A26
)</f>
        <v>0</v>
      </c>
      <c r="BE26" s="123">
        <f ca="1">SUMIFS(
  m.vb[valor],
  m.vb[nucleo],$AV$1,
  m.vb[variavel],BE$7,
  m.vb[mes],$A26
)</f>
        <v>0</v>
      </c>
      <c r="BF26" s="123">
        <f ca="1">SUMIFS(
  m.vb[valor],
  m.vb[nucleo],$AV$1,
  m.vb[variavel],BF$7,
  m.vb[mes],$A26
)</f>
        <v>0</v>
      </c>
      <c r="BG26" s="124">
        <f ca="1">SUMIFS(
  m.vb[valor],
  m.vb[nucleo],$AV$1,
  m.vb[variavel],BG$7,
  m.vb[mes],$A26
)</f>
        <v>0</v>
      </c>
      <c r="BH26" s="122">
        <f>COUNTIFS(
    tb_estq[empresa], BH$6,
    tb_estq[Data da venda / reserva], "&gt;=" &amp; $A26,
    tb_estq[Data da venda / reserva], "&lt;"  &amp; EOMONTH($A26,0) + 1
)</f>
        <v>0</v>
      </c>
      <c r="BI26" s="123">
        <f ca="1">SUMIFS(tb_rec_uni[2022-12-01],
INDIRECT("tb_rec_uni[natureza]"),"pro.soluto",
INDIRECT("tb_rec_uni[empresa]"),BI$6)</f>
        <v>0</v>
      </c>
      <c r="BJ26" s="111">
        <v>0</v>
      </c>
      <c r="BK26" s="123">
        <f ca="1">SUMIFS(tb_rec_uni[2022-12-01],
INDIRECT("tb_rec_uni[natureza]"),"taxa.extra",
INDIRECT("tb_rec_uni[empresa]"),BK$6)</f>
        <v>0</v>
      </c>
      <c r="BL26" s="111"/>
      <c r="BM26" s="123">
        <f ca="1">SUMIFS(
  m.vb[valor],
  m.vb[nucleo],$BH$1,
  m.vb[variavel],BM$7,
  m.vb[mes],$A26
)</f>
        <v>0</v>
      </c>
      <c r="BN26" s="123">
        <f ca="1">SUMIFS(
  m.vb[valor],
  m.vb[nucleo],$BH$1,
  m.vb[variavel],BN$7,
  m.vb[mes],$A26
)</f>
        <v>0</v>
      </c>
      <c r="BO26" s="123">
        <f ca="1">SUMIFS(
  m.vb[valor],
  m.vb[nucleo],$BH$1,
  m.vb[variavel],BO$7,
  m.vb[mes],$A26
)</f>
        <v>0</v>
      </c>
      <c r="BP26" s="123">
        <f ca="1">SUMIFS(
  m.vb[valor],
  m.vb[nucleo],$BH$1,
  m.vb[variavel],BP$7,
  m.vb[mes],$A26
)</f>
        <v>0</v>
      </c>
      <c r="BQ26" s="124">
        <f ca="1">SUMIFS(
  m.vb[valor],
  m.vb[nucleo],$BH$1,
  m.vb[variavel],BQ$7,
  m.vb[mes],$A26
)</f>
        <v>0</v>
      </c>
      <c r="BR26" s="122">
        <f>COUNTIFS(
    tb_estq[empresa], BR$6,
    tb_estq[Data da venda / reserva], "&gt;=" &amp; $A26,
    tb_estq[Data da venda / reserva], "&lt;"  &amp; EOMONTH($A26,0) + 1
)</f>
        <v>0</v>
      </c>
      <c r="BS26" s="123">
        <f ca="1">SUMIFS(tb_rec_uni[2022-12-01],
INDIRECT("tb_rec_uni[natureza]"),"pro.soluto",
INDIRECT("tb_rec_uni[empresa]"),BS$6)</f>
        <v>0</v>
      </c>
      <c r="BT26" s="123">
        <f ca="1">SUMIFS(tb_rec_uni[2022-12-01],
INDIRECT("tb_rec_uni[natureza]"),"parcela.fin.total.ik",
INDIRECT("tb_rec_uni[empresa]"),BT$6)</f>
        <v>0</v>
      </c>
      <c r="BU26" s="123">
        <f ca="1">SUMIFS(tb_rec_uni[2022-12-01],
INDIRECT("tb_rec_uni[natureza]"),"taxa.extra",
INDIRECT("tb_rec_uni[empresa]"),BU$6)</f>
        <v>0</v>
      </c>
      <c r="BV26" s="111"/>
      <c r="BW26" s="123">
        <f ca="1">SUMIFS(
  m.vb[valor],
  m.vb[nucleo],$BR$1,
  m.vb[variavel],BW$7,
  m.vb[mes],$A26
)</f>
        <v>0</v>
      </c>
      <c r="BX26" s="123">
        <f ca="1">SUMIFS(
  m.vb[valor],
  m.vb[nucleo],$BR$1,
  m.vb[variavel],BX$7,
  m.vb[mes],$A26
)</f>
        <v>0</v>
      </c>
      <c r="BY26" s="123">
        <f ca="1">SUMIFS(
  m.vb[valor],
  m.vb[nucleo],$BR$1,
  m.vb[variavel],BY$7,
  m.vb[mes],$A26
)</f>
        <v>0</v>
      </c>
      <c r="BZ26" s="123">
        <f ca="1">SUMIFS(
  m.vb[valor],
  m.vb[nucleo],$BR$1,
  m.vb[variavel],BZ$7,
  m.vb[mes],$A26
)</f>
        <v>0</v>
      </c>
      <c r="CA26" s="124">
        <f ca="1">SUMIFS(
  m.vb[valor],
  m.vb[nucleo],$BR$1,
  m.vb[variavel],CA$7,
  m.vb[mes],$A26
)</f>
        <v>0</v>
      </c>
      <c r="CB26" s="122">
        <f>COUNTIFS(
    tb_estq[empresa], CB$6,
    tb_estq[Data da venda / reserva], "&gt;=" &amp; $A26,
    tb_estq[Data da venda / reserva], "&lt;"  &amp; EOMONTH($A26,0) + 1
)</f>
        <v>0</v>
      </c>
      <c r="CC26" s="123">
        <f ca="1">SUMIFS(tb_rec_uni[2022-12-01],
INDIRECT("tb_rec_uni[natureza]"),"pro.soluto",
INDIRECT("tb_rec_uni[empresa]"),CC$6)</f>
        <v>0</v>
      </c>
      <c r="CD26" s="123">
        <f ca="1">SUMIFS(tb_rec_uni[2022-12-01],
INDIRECT("tb_rec_uni[natureza]"),"repasse.cef.obra",
INDIRECT("tb_rec_uni[empresa]"),CD$6)</f>
        <v>0</v>
      </c>
      <c r="CE26" s="123">
        <f ca="1">SUMIFS(tb_rec_uni[2022-12-01],
INDIRECT("tb_rec_uni[natureza]"),"repasse.cef.terreno",
INDIRECT("tb_rec_uni[empresa]"),CE$6)</f>
        <v>0</v>
      </c>
      <c r="CF26" s="123">
        <v>0</v>
      </c>
      <c r="CG26" s="123">
        <f ca="1">SUMIFS(tb_rec_uni[2022-12-01],
INDIRECT("tb_rec_uni[natureza]"),"taxa.extra",
INDIRECT("tb_rec_uni[empresa]"),CG$6)</f>
        <v>0</v>
      </c>
      <c r="CH26" s="111"/>
      <c r="CI26" s="123">
        <f ca="1">SUMIFS(
  m.vb[valor],
  m.vb[nucleo],$CB$1,
  m.vb[variavel],CI$7,
  m.vb[mes],$A26
)</f>
        <v>0</v>
      </c>
      <c r="CJ26" s="123">
        <f ca="1">SUMIFS(
  m.vb[valor],
  m.vb[nucleo],$CB$1,
  m.vb[variavel],CJ$7,
  m.vb[mes],$A26
)</f>
        <v>0</v>
      </c>
      <c r="CK26" s="123">
        <f ca="1">SUMIFS(
  m.vb[valor],
  m.vb[nucleo],$CB$1,
  m.vb[variavel],CK$7,
  m.vb[mes],$A26
)</f>
        <v>0</v>
      </c>
      <c r="CL26" s="123">
        <f ca="1">SUMIFS(
  m.vb[valor],
  m.vb[nucleo],$CB$1,
  m.vb[variavel],CL$7,
  m.vb[mes],$A26
)</f>
        <v>0</v>
      </c>
      <c r="CM26" s="124">
        <f ca="1">SUMIFS(
  m.vb[valor],
  m.vb[nucleo],$CB$1,
  m.vb[variavel],CM$7,
  m.vb[mes],$A26
)</f>
        <v>0</v>
      </c>
      <c r="CN26" s="122">
        <f>COUNTIFS(
    tb_estq[empresa], CN$6,
    tb_estq[Data da venda / reserva], "&gt;=" &amp; $A26,
    tb_estq[Data da venda / reserva], "&lt;"  &amp; EOMONTH($A26,0) + 1
)</f>
        <v>0</v>
      </c>
      <c r="CO26" s="123">
        <f ca="1">SUMIFS(tb_rec_uni[2022-12-01],
INDIRECT("tb_rec_uni[natureza]"),"pro.soluto",
INDIRECT("tb_rec_uni[empresa]"),CO$6)</f>
        <v>0</v>
      </c>
      <c r="CP26" s="123">
        <f ca="1">SUMIFS(tb_rec_uni[2022-12-01],
INDIRECT("tb_rec_uni[natureza]"),"repasse.cef.obra",
INDIRECT("tb_rec_uni[empresa]"),CP$6)</f>
        <v>0</v>
      </c>
      <c r="CQ26" s="123">
        <f ca="1">SUMIFS(tb_rec_uni[2022-12-01],
INDIRECT("tb_rec_uni[natureza]"),"repasse.cef.terreno",
INDIRECT("tb_rec_uni[empresa]"),CQ$6)</f>
        <v>0</v>
      </c>
      <c r="CR26" s="123">
        <v>0</v>
      </c>
      <c r="CS26" s="123">
        <f ca="1">SUMIFS(tb_rec_uni[2022-12-01],
INDIRECT("tb_rec_uni[natureza]"),"taxa.extra",
INDIRECT("tb_rec_uni[empresa]"),CS$6)</f>
        <v>0</v>
      </c>
      <c r="CT26" s="111"/>
      <c r="CU26" s="123">
        <f ca="1">SUMIFS(
  m.vb[valor],
  m.vb[nucleo],$CN$1,
  m.vb[variavel],CU$7,
  m.vb[mes],$A26
)</f>
        <v>0</v>
      </c>
      <c r="CV26" s="123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3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3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5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21">
        <v>44927</v>
      </c>
      <c r="B27" s="122">
        <f>COUNTIFS(
    tb_estq[empresa], B$6,
    tb_estq[Data da venda / reserva], "&gt;=" &amp; $A27,
    tb_estq[Data da venda / reserva], "&lt;"  &amp; EOMONTH($A27,0) + 1
)</f>
        <v>0</v>
      </c>
      <c r="C27" s="123">
        <f ca="1">SUMIFS(tb_rec_uni[2023-01-01],
INDIRECT("tb_rec_uni[natureza]"),"pro.soluto",
INDIRECT("tb_rec_uni[empresa]"),C$6)</f>
        <v>0</v>
      </c>
      <c r="D27" s="123">
        <f ca="1">SUMIFS(tb_rec_uni[2023-01-01],
INDIRECT("tb_rec_uni[natureza]"),"repasse.cef.obra",
INDIRECT("tb_rec_uni[empresa]"),D$6)</f>
        <v>0</v>
      </c>
      <c r="E27" s="123">
        <f ca="1">SUMIFS(tb_rec_uni[2023-01-01],
INDIRECT("tb_rec_uni[natureza]"),"repasse.cef.terreno",
INDIRECT("tb_rec_uni[empresa]"),E$6)</f>
        <v>0</v>
      </c>
      <c r="F27" s="123">
        <v>0</v>
      </c>
      <c r="G27" s="123">
        <f ca="1">SUMIFS(tb_rec_uni[2023-01-01],
INDIRECT("tb_rec_uni[natureza]"),"taxa.extra",
INDIRECT("tb_rec_uni[empresa]"),G$6)</f>
        <v>0</v>
      </c>
      <c r="H27" s="111"/>
      <c r="I27" s="123">
        <f ca="1">SUMIFS(
  m.vb[valor],
  m.vb[nucleo],$B$1,
  m.vb[variavel],I$7,
  m.vb[mes],$A27
)</f>
        <v>0</v>
      </c>
      <c r="J27" s="123">
        <f ca="1">SUMIFS(
  m.vb[valor],
  m.vb[nucleo],$B$1,
  m.vb[variavel],J$7,
  m.vb[mes],$A27
)</f>
        <v>0</v>
      </c>
      <c r="K27" s="123">
        <f ca="1">SUMIFS(
  m.vb[valor],
  m.vb[nucleo],$B$1,
  m.vb[variavel],K$7,
  m.vb[mes],$A27
)</f>
        <v>0</v>
      </c>
      <c r="L27" s="123">
        <f ca="1">SUMIFS(
  m.vb[valor],
  m.vb[nucleo],$B$1,
  m.vb[variavel],L$7,
  m.vb[mes],$A27
)</f>
        <v>0</v>
      </c>
      <c r="M27" s="124">
        <f ca="1">SUMIFS(
  m.vb[valor],
  m.vb[nucleo],$B$1,
  m.vb[variavel],M$7,
  m.vb[mes],$A27
)</f>
        <v>0</v>
      </c>
      <c r="N27" s="122">
        <f>COUNTIFS(
    tb_estq[empresa], N$6,
    tb_estq[Data da venda / reserva], "&gt;=" &amp; $A27,
    tb_estq[Data da venda / reserva], "&lt;"  &amp; EOMONTH($A27,0) + 1
)</f>
        <v>0</v>
      </c>
      <c r="O27" s="123">
        <f ca="1">SUMIFS(tb_rec_uni[2023-01-01],
INDIRECT("tb_rec_uni[natureza]"),"pro.soluto",
INDIRECT("tb_rec_uni[empresa]"),O$6)</f>
        <v>0</v>
      </c>
      <c r="P27" s="123">
        <f ca="1">SUMIFS(tb_rec_uni[2023-01-01],
INDIRECT("tb_rec_uni[natureza]"),"repasse.cef.obra",
INDIRECT("tb_rec_uni[empresa]"),P$6)</f>
        <v>0</v>
      </c>
      <c r="Q27" s="123">
        <f ca="1">SUMIFS(tb_rec_uni[2023-01-01],
INDIRECT("tb_rec_uni[natureza]"),"repasse.cef.terreno",
INDIRECT("tb_rec_uni[empresa]"),Q$6)</f>
        <v>0</v>
      </c>
      <c r="R27" s="123">
        <v>0</v>
      </c>
      <c r="S27" s="123">
        <f ca="1">SUMIFS(tb_rec_uni[2023-01-01],
INDIRECT("tb_rec_uni[natureza]"),"taxa.extra",
INDIRECT("tb_rec_uni[empresa]"),S$6)</f>
        <v>0</v>
      </c>
      <c r="T27" s="111"/>
      <c r="U27" s="123">
        <f ca="1">SUMIFS(
  m.vb[valor],
  m.vb[nucleo],$N$1,
  m.vb[variavel],U$7,
  m.vb[mes],$A27
)</f>
        <v>0</v>
      </c>
      <c r="V27" s="123">
        <f ca="1">SUMIFS(
  m.vb[valor],
  m.vb[nucleo],$N$1,
  m.vb[variavel],V$7,
  m.vb[mes],$A27
)</f>
        <v>0</v>
      </c>
      <c r="W27" s="123">
        <f ca="1">SUMIFS(
  m.vb[valor],
  m.vb[nucleo],$N$1,
  m.vb[variavel],W$7,
  m.vb[mes],$A27
)</f>
        <v>0</v>
      </c>
      <c r="X27" s="123">
        <f ca="1">SUMIFS(
  m.vb[valor],
  m.vb[nucleo],$N$1,
  m.vb[variavel],X$7,
  m.vb[mes],$A27
)</f>
        <v>0</v>
      </c>
      <c r="Y27" s="124">
        <f ca="1">SUMIFS(
  m.vb[valor],
  m.vb[nucleo],$N$1,
  m.vb[variavel],Y$7,
  m.vb[mes],$A27
)</f>
        <v>0</v>
      </c>
      <c r="Z27" s="122">
        <f>COUNTIFS(
    tb_estq[empresa], Z$6,
    tb_estq[Data da venda / reserva], "&gt;=" &amp; $A27,
    tb_estq[Data da venda / reserva], "&lt;"  &amp; EOMONTH($A27,0) + 1
)</f>
        <v>0</v>
      </c>
      <c r="AA27" s="123">
        <f ca="1">SUMIFS(tb_rec_uni[2023-01-01],
INDIRECT("tb_rec_uni[natureza]"),"pro.soluto",
INDIRECT("tb_rec_uni[empresa]"),AA$6)</f>
        <v>0</v>
      </c>
      <c r="AB27" s="123">
        <f ca="1">SUMIFS(tb_rec_uni[2023-01-01],
INDIRECT("tb_rec_uni[natureza]"),"parcela.fin.total.ik",
INDIRECT("tb_rec_uni[empresa]"),AB$6)</f>
        <v>0</v>
      </c>
      <c r="AC27" s="123">
        <f ca="1">SUMIFS(tb_rec_uni[2023-01-01],
INDIRECT("tb_rec_uni[natureza]"),"taxa.extra",
INDIRECT("tb_rec_uni[empresa]"),AC$6)</f>
        <v>0</v>
      </c>
      <c r="AD27" s="111"/>
      <c r="AE27" s="123">
        <f ca="1">SUMIFS(
  m.vb[valor],
  m.vb[nucleo],$Z$1,
  m.vb[variavel],AE$7,
  m.vb[mes],$A27
)</f>
        <v>0</v>
      </c>
      <c r="AF27" s="123">
        <f ca="1">SUMIFS(
  m.vb[valor],
  m.vb[nucleo],$Z$1,
  m.vb[variavel],AF$7,
  m.vb[mes],$A27
)</f>
        <v>0</v>
      </c>
      <c r="AG27" s="123">
        <f ca="1">SUMIFS(
  m.vb[valor],
  m.vb[nucleo],$Z$1,
  m.vb[variavel],AG$7,
  m.vb[mes],$A27
)</f>
        <v>0</v>
      </c>
      <c r="AH27" s="123">
        <f ca="1">SUMIFS(
  m.vb[valor],
  m.vb[nucleo],$Z$1,
  m.vb[variavel],AH$7,
  m.vb[mes],$A27
)</f>
        <v>0</v>
      </c>
      <c r="AI27" s="124">
        <f ca="1">SUMIFS(
  m.vb[valor],
  m.vb[nucleo],$Z$1,
  m.vb[variavel],AI$7,
  m.vb[mes],$A27
)</f>
        <v>0</v>
      </c>
      <c r="AJ27" s="122">
        <f>COUNTIFS(
    tb_estq[empresa], AJ$6,
    tb_estq[Data da venda / reserva], "&gt;=" &amp; $A27,
    tb_estq[Data da venda / reserva], "&lt;"  &amp; EOMONTH($A27,0) + 1
)</f>
        <v>0</v>
      </c>
      <c r="AK27" s="123">
        <f ca="1">SUMIFS(tb_rec_uni[2023-01-01],
INDIRECT("tb_rec_uni[natureza]"),"pro.soluto",
INDIRECT("tb_rec_uni[empresa]"),AK$6)</f>
        <v>0</v>
      </c>
      <c r="AL27" s="123">
        <f ca="1">SUMIFS(tb_rec_uni[2023-01-01],
INDIRECT("tb_rec_uni[natureza]"),"repasse.cef.obra",
INDIRECT("tb_rec_uni[empresa]"),AL$6)</f>
        <v>0</v>
      </c>
      <c r="AM27" s="123">
        <f ca="1">SUMIFS(tb_rec_uni[2023-01-01],
INDIRECT("tb_rec_uni[natureza]"),"repasse.cef.terreno",
INDIRECT("tb_rec_uni[empresa]"),AM$6)</f>
        <v>0</v>
      </c>
      <c r="AN27" s="123">
        <v>0</v>
      </c>
      <c r="AO27" s="123">
        <f ca="1">SUMIFS(tb_rec_uni[2023-01-01],
INDIRECT("tb_rec_uni[natureza]"),"taxa.extra",
INDIRECT("tb_rec_uni[empresa]"),AO$6)</f>
        <v>0</v>
      </c>
      <c r="AP27" s="111"/>
      <c r="AQ27" s="123">
        <f ca="1">SUMIFS(
  m.vb[valor],
  m.vb[nucleo],$AJ$1,
  m.vb[variavel],AQ$7,
  m.vb[mes],$A27
)</f>
        <v>0</v>
      </c>
      <c r="AR27" s="123">
        <f ca="1">SUMIFS(
  m.vb[valor],
  m.vb[nucleo],$AJ$1,
  m.vb[variavel],AR$7,
  m.vb[mes],$A27
)</f>
        <v>0</v>
      </c>
      <c r="AS27" s="123">
        <f ca="1">SUMIFS(
  m.vb[valor],
  m.vb[nucleo],$AJ$1,
  m.vb[variavel],AS$7,
  m.vb[mes],$A27
)</f>
        <v>0</v>
      </c>
      <c r="AT27" s="123">
        <f ca="1">SUMIFS(
  m.vb[valor],
  m.vb[nucleo],$AJ$1,
  m.vb[variavel],AT$7,
  m.vb[mes],$A27
)</f>
        <v>0</v>
      </c>
      <c r="AU27" s="124">
        <f ca="1">SUMIFS(
  m.vb[valor],
  m.vb[nucleo],$AJ$1,
  m.vb[variavel],AU$7,
  m.vb[mes],$A27
)</f>
        <v>0</v>
      </c>
      <c r="AV27" s="122">
        <f>COUNTIFS(
    tb_estq[empresa], AV$6,
    tb_estq[Data da venda / reserva], "&gt;=" &amp; $A27,
    tb_estq[Data da venda / reserva], "&lt;"  &amp; EOMONTH($A27,0) + 1
)</f>
        <v>0</v>
      </c>
      <c r="AW27" s="123">
        <f ca="1">SUMIFS(tb_rec_uni[2023-01-01],
INDIRECT("tb_rec_uni[natureza]"),"pro.soluto",
INDIRECT("tb_rec_uni[empresa]"),AW$6)</f>
        <v>0</v>
      </c>
      <c r="AX27" s="123">
        <f ca="1">SUMIFS(tb_rec_uni[2023-01-01],
INDIRECT("tb_rec_uni[natureza]"),"repasse.cef.obra",
INDIRECT("tb_rec_uni[empresa]"),AX$6)</f>
        <v>0</v>
      </c>
      <c r="AY27" s="123">
        <f ca="1">SUMIFS(tb_rec_uni[2023-01-01],
INDIRECT("tb_rec_uni[natureza]"),"repasse.cef.terreno",
INDIRECT("tb_rec_uni[empresa]"),AY$6)</f>
        <v>0</v>
      </c>
      <c r="AZ27" s="123">
        <v>0</v>
      </c>
      <c r="BA27" s="123">
        <f ca="1">SUMIFS(tb_rec_uni[2023-01-01],
INDIRECT("tb_rec_uni[natureza]"),"taxa.extra",
INDIRECT("tb_rec_uni[empresa]"),BA$6)</f>
        <v>0</v>
      </c>
      <c r="BB27" s="111"/>
      <c r="BC27" s="123">
        <f ca="1">SUMIFS(
  m.vb[valor],
  m.vb[nucleo],$AV$1,
  m.vb[variavel],BC$7,
  m.vb[mes],$A27
)</f>
        <v>0</v>
      </c>
      <c r="BD27" s="123">
        <f ca="1">SUMIFS(
  m.vb[valor],
  m.vb[nucleo],$AV$1,
  m.vb[variavel],BD$7,
  m.vb[mes],$A27
)</f>
        <v>0</v>
      </c>
      <c r="BE27" s="123">
        <f ca="1">SUMIFS(
  m.vb[valor],
  m.vb[nucleo],$AV$1,
  m.vb[variavel],BE$7,
  m.vb[mes],$A27
)</f>
        <v>0</v>
      </c>
      <c r="BF27" s="123">
        <f ca="1">SUMIFS(
  m.vb[valor],
  m.vb[nucleo],$AV$1,
  m.vb[variavel],BF$7,
  m.vb[mes],$A27
)</f>
        <v>0</v>
      </c>
      <c r="BG27" s="124">
        <f ca="1">SUMIFS(
  m.vb[valor],
  m.vb[nucleo],$AV$1,
  m.vb[variavel],BG$7,
  m.vb[mes],$A27
)</f>
        <v>0</v>
      </c>
      <c r="BH27" s="122">
        <f>COUNTIFS(
    tb_estq[empresa], BH$6,
    tb_estq[Data da venda / reserva], "&gt;=" &amp; $A27,
    tb_estq[Data da venda / reserva], "&lt;"  &amp; EOMONTH($A27,0) + 1
)</f>
        <v>0</v>
      </c>
      <c r="BI27" s="123">
        <f ca="1">SUMIFS(tb_rec_uni[2023-01-01],
INDIRECT("tb_rec_uni[natureza]"),"pro.soluto",
INDIRECT("tb_rec_uni[empresa]"),BI$6)</f>
        <v>0</v>
      </c>
      <c r="BJ27" s="111">
        <v>0</v>
      </c>
      <c r="BK27" s="123">
        <f ca="1">SUMIFS(tb_rec_uni[2023-01-01],
INDIRECT("tb_rec_uni[natureza]"),"taxa.extra",
INDIRECT("tb_rec_uni[empresa]"),BK$6)</f>
        <v>0</v>
      </c>
      <c r="BL27" s="111"/>
      <c r="BM27" s="123">
        <f ca="1">SUMIFS(
  m.vb[valor],
  m.vb[nucleo],$BH$1,
  m.vb[variavel],BM$7,
  m.vb[mes],$A27
)</f>
        <v>0</v>
      </c>
      <c r="BN27" s="123">
        <f ca="1">SUMIFS(
  m.vb[valor],
  m.vb[nucleo],$BH$1,
  m.vb[variavel],BN$7,
  m.vb[mes],$A27
)</f>
        <v>0</v>
      </c>
      <c r="BO27" s="123">
        <f ca="1">SUMIFS(
  m.vb[valor],
  m.vb[nucleo],$BH$1,
  m.vb[variavel],BO$7,
  m.vb[mes],$A27
)</f>
        <v>0</v>
      </c>
      <c r="BP27" s="123">
        <f ca="1">SUMIFS(
  m.vb[valor],
  m.vb[nucleo],$BH$1,
  m.vb[variavel],BP$7,
  m.vb[mes],$A27
)</f>
        <v>0</v>
      </c>
      <c r="BQ27" s="124">
        <f ca="1">SUMIFS(
  m.vb[valor],
  m.vb[nucleo],$BH$1,
  m.vb[variavel],BQ$7,
  m.vb[mes],$A27
)</f>
        <v>0</v>
      </c>
      <c r="BR27" s="122">
        <f>COUNTIFS(
    tb_estq[empresa], BR$6,
    tb_estq[Data da venda / reserva], "&gt;=" &amp; $A27,
    tb_estq[Data da venda / reserva], "&lt;"  &amp; EOMONTH($A27,0) + 1
)</f>
        <v>0</v>
      </c>
      <c r="BS27" s="123">
        <f ca="1">SUMIFS(tb_rec_uni[2023-01-01],
INDIRECT("tb_rec_uni[natureza]"),"pro.soluto",
INDIRECT("tb_rec_uni[empresa]"),BS$6)</f>
        <v>0</v>
      </c>
      <c r="BT27" s="123">
        <f ca="1">SUMIFS(tb_rec_uni[2023-01-01],
INDIRECT("tb_rec_uni[natureza]"),"parcela.fin.total.ik",
INDIRECT("tb_rec_uni[empresa]"),BT$6)</f>
        <v>0</v>
      </c>
      <c r="BU27" s="123">
        <f ca="1">SUMIFS(tb_rec_uni[2023-01-01],
INDIRECT("tb_rec_uni[natureza]"),"taxa.extra",
INDIRECT("tb_rec_uni[empresa]"),BU$6)</f>
        <v>0</v>
      </c>
      <c r="BV27" s="111"/>
      <c r="BW27" s="123">
        <f ca="1">SUMIFS(
  m.vb[valor],
  m.vb[nucleo],$BR$1,
  m.vb[variavel],BW$7,
  m.vb[mes],$A27
)</f>
        <v>0</v>
      </c>
      <c r="BX27" s="123">
        <f ca="1">SUMIFS(
  m.vb[valor],
  m.vb[nucleo],$BR$1,
  m.vb[variavel],BX$7,
  m.vb[mes],$A27
)</f>
        <v>0</v>
      </c>
      <c r="BY27" s="123">
        <f ca="1">SUMIFS(
  m.vb[valor],
  m.vb[nucleo],$BR$1,
  m.vb[variavel],BY$7,
  m.vb[mes],$A27
)</f>
        <v>0</v>
      </c>
      <c r="BZ27" s="123">
        <f ca="1">SUMIFS(
  m.vb[valor],
  m.vb[nucleo],$BR$1,
  m.vb[variavel],BZ$7,
  m.vb[mes],$A27
)</f>
        <v>0</v>
      </c>
      <c r="CA27" s="124">
        <f ca="1">SUMIFS(
  m.vb[valor],
  m.vb[nucleo],$BR$1,
  m.vb[variavel],CA$7,
  m.vb[mes],$A27
)</f>
        <v>0</v>
      </c>
      <c r="CB27" s="122">
        <f>COUNTIFS(
    tb_estq[empresa], CB$6,
    tb_estq[Data da venda / reserva], "&gt;=" &amp; $A27,
    tb_estq[Data da venda / reserva], "&lt;"  &amp; EOMONTH($A27,0) + 1
)</f>
        <v>0</v>
      </c>
      <c r="CC27" s="123">
        <f ca="1">SUMIFS(tb_rec_uni[2023-01-01],
INDIRECT("tb_rec_uni[natureza]"),"pro.soluto",
INDIRECT("tb_rec_uni[empresa]"),CC$6)</f>
        <v>0</v>
      </c>
      <c r="CD27" s="123">
        <f ca="1">SUMIFS(tb_rec_uni[2023-01-01],
INDIRECT("tb_rec_uni[natureza]"),"repasse.cef.obra",
INDIRECT("tb_rec_uni[empresa]"),CD$6)</f>
        <v>0</v>
      </c>
      <c r="CE27" s="123">
        <f ca="1">SUMIFS(tb_rec_uni[2023-01-01],
INDIRECT("tb_rec_uni[natureza]"),"repasse.cef.terreno",
INDIRECT("tb_rec_uni[empresa]"),CE$6)</f>
        <v>0</v>
      </c>
      <c r="CF27" s="123">
        <v>0</v>
      </c>
      <c r="CG27" s="123">
        <f ca="1">SUMIFS(tb_rec_uni[2023-01-01],
INDIRECT("tb_rec_uni[natureza]"),"taxa.extra",
INDIRECT("tb_rec_uni[empresa]"),CG$6)</f>
        <v>0</v>
      </c>
      <c r="CH27" s="111"/>
      <c r="CI27" s="123">
        <f ca="1">SUMIFS(
  m.vb[valor],
  m.vb[nucleo],$CB$1,
  m.vb[variavel],CI$7,
  m.vb[mes],$A27
)</f>
        <v>0</v>
      </c>
      <c r="CJ27" s="123">
        <f ca="1">SUMIFS(
  m.vb[valor],
  m.vb[nucleo],$CB$1,
  m.vb[variavel],CJ$7,
  m.vb[mes],$A27
)</f>
        <v>0</v>
      </c>
      <c r="CK27" s="123">
        <f ca="1">SUMIFS(
  m.vb[valor],
  m.vb[nucleo],$CB$1,
  m.vb[variavel],CK$7,
  m.vb[mes],$A27
)</f>
        <v>0</v>
      </c>
      <c r="CL27" s="123">
        <f ca="1">SUMIFS(
  m.vb[valor],
  m.vb[nucleo],$CB$1,
  m.vb[variavel],CL$7,
  m.vb[mes],$A27
)</f>
        <v>0</v>
      </c>
      <c r="CM27" s="124">
        <f ca="1">SUMIFS(
  m.vb[valor],
  m.vb[nucleo],$CB$1,
  m.vb[variavel],CM$7,
  m.vb[mes],$A27
)</f>
        <v>0</v>
      </c>
      <c r="CN27" s="122">
        <f>COUNTIFS(
    tb_estq[empresa], CN$6,
    tb_estq[Data da venda / reserva], "&gt;=" &amp; $A27,
    tb_estq[Data da venda / reserva], "&lt;"  &amp; EOMONTH($A27,0) + 1
)</f>
        <v>0</v>
      </c>
      <c r="CO27" s="123">
        <f ca="1">SUMIFS(tb_rec_uni[2023-01-01],
INDIRECT("tb_rec_uni[natureza]"),"pro.soluto",
INDIRECT("tb_rec_uni[empresa]"),CO$6)</f>
        <v>0</v>
      </c>
      <c r="CP27" s="123">
        <f ca="1">SUMIFS(tb_rec_uni[2023-01-01],
INDIRECT("tb_rec_uni[natureza]"),"repasse.cef.obra",
INDIRECT("tb_rec_uni[empresa]"),CP$6)</f>
        <v>0</v>
      </c>
      <c r="CQ27" s="123">
        <f ca="1">SUMIFS(tb_rec_uni[2023-01-01],
INDIRECT("tb_rec_uni[natureza]"),"repasse.cef.terreno",
INDIRECT("tb_rec_uni[empresa]"),CQ$6)</f>
        <v>0</v>
      </c>
      <c r="CR27" s="123">
        <v>0</v>
      </c>
      <c r="CS27" s="123">
        <f ca="1">SUMIFS(tb_rec_uni[2023-01-01],
INDIRECT("tb_rec_uni[natureza]"),"taxa.extra",
INDIRECT("tb_rec_uni[empresa]"),CS$6)</f>
        <v>0</v>
      </c>
      <c r="CT27" s="111"/>
      <c r="CU27" s="123">
        <f ca="1">SUMIFS(
  m.vb[valor],
  m.vb[nucleo],$CN$1,
  m.vb[variavel],CU$7,
  m.vb[mes],$A27
)</f>
        <v>0</v>
      </c>
      <c r="CV27" s="123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3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3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5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21">
        <v>44958</v>
      </c>
      <c r="B28" s="122">
        <f>COUNTIFS(
    tb_estq[empresa], B$6,
    tb_estq[Data da venda / reserva], "&gt;=" &amp; $A28,
    tb_estq[Data da venda / reserva], "&lt;"  &amp; EOMONTH($A28,0) + 1
)</f>
        <v>0</v>
      </c>
      <c r="C28" s="123">
        <f ca="1">SUMIFS(tb_rec_uni[2023-02-01],
INDIRECT("tb_rec_uni[natureza]"),"pro.soluto",
INDIRECT("tb_rec_uni[empresa]"),C$6)</f>
        <v>0</v>
      </c>
      <c r="D28" s="123">
        <f ca="1">SUMIFS(tb_rec_uni[2023-02-01],
INDIRECT("tb_rec_uni[natureza]"),"repasse.cef.obra",
INDIRECT("tb_rec_uni[empresa]"),D$6)</f>
        <v>0</v>
      </c>
      <c r="E28" s="123">
        <f ca="1">SUMIFS(tb_rec_uni[2023-02-01],
INDIRECT("tb_rec_uni[natureza]"),"repasse.cef.terreno",
INDIRECT("tb_rec_uni[empresa]"),E$6)</f>
        <v>0</v>
      </c>
      <c r="F28" s="123">
        <v>0</v>
      </c>
      <c r="G28" s="123">
        <f ca="1">SUMIFS(tb_rec_uni[2023-02-01],
INDIRECT("tb_rec_uni[natureza]"),"taxa.extra",
INDIRECT("tb_rec_uni[empresa]"),G$6)</f>
        <v>0</v>
      </c>
      <c r="H28" s="111"/>
      <c r="I28" s="123">
        <f ca="1">SUMIFS(
  m.vb[valor],
  m.vb[nucleo],$B$1,
  m.vb[variavel],I$7,
  m.vb[mes],$A28
)</f>
        <v>0</v>
      </c>
      <c r="J28" s="123">
        <f ca="1">SUMIFS(
  m.vb[valor],
  m.vb[nucleo],$B$1,
  m.vb[variavel],J$7,
  m.vb[mes],$A28
)</f>
        <v>0</v>
      </c>
      <c r="K28" s="123">
        <f ca="1">SUMIFS(
  m.vb[valor],
  m.vb[nucleo],$B$1,
  m.vb[variavel],K$7,
  m.vb[mes],$A28
)</f>
        <v>0</v>
      </c>
      <c r="L28" s="123">
        <f ca="1">SUMIFS(
  m.vb[valor],
  m.vb[nucleo],$B$1,
  m.vb[variavel],L$7,
  m.vb[mes],$A28
)</f>
        <v>0</v>
      </c>
      <c r="M28" s="124">
        <f ca="1">SUMIFS(
  m.vb[valor],
  m.vb[nucleo],$B$1,
  m.vb[variavel],M$7,
  m.vb[mes],$A28
)</f>
        <v>0</v>
      </c>
      <c r="N28" s="122">
        <f>COUNTIFS(
    tb_estq[empresa], N$6,
    tb_estq[Data da venda / reserva], "&gt;=" &amp; $A28,
    tb_estq[Data da venda / reserva], "&lt;"  &amp; EOMONTH($A28,0) + 1
)</f>
        <v>0</v>
      </c>
      <c r="O28" s="123">
        <f ca="1">SUMIFS(tb_rec_uni[2023-02-01],
INDIRECT("tb_rec_uni[natureza]"),"pro.soluto",
INDIRECT("tb_rec_uni[empresa]"),O$6)</f>
        <v>0</v>
      </c>
      <c r="P28" s="123">
        <f ca="1">SUMIFS(tb_rec_uni[2023-02-01],
INDIRECT("tb_rec_uni[natureza]"),"repasse.cef.obra",
INDIRECT("tb_rec_uni[empresa]"),P$6)</f>
        <v>0</v>
      </c>
      <c r="Q28" s="123">
        <f ca="1">SUMIFS(tb_rec_uni[2023-02-01],
INDIRECT("tb_rec_uni[natureza]"),"repasse.cef.terreno",
INDIRECT("tb_rec_uni[empresa]"),Q$6)</f>
        <v>0</v>
      </c>
      <c r="R28" s="123">
        <v>0</v>
      </c>
      <c r="S28" s="123">
        <f ca="1">SUMIFS(tb_rec_uni[2023-02-01],
INDIRECT("tb_rec_uni[natureza]"),"taxa.extra",
INDIRECT("tb_rec_uni[empresa]"),S$6)</f>
        <v>0</v>
      </c>
      <c r="T28" s="111"/>
      <c r="U28" s="123">
        <f ca="1">SUMIFS(
  m.vb[valor],
  m.vb[nucleo],$N$1,
  m.vb[variavel],U$7,
  m.vb[mes],$A28
)</f>
        <v>0</v>
      </c>
      <c r="V28" s="123">
        <f ca="1">SUMIFS(
  m.vb[valor],
  m.vb[nucleo],$N$1,
  m.vb[variavel],V$7,
  m.vb[mes],$A28
)</f>
        <v>0</v>
      </c>
      <c r="W28" s="123">
        <f ca="1">SUMIFS(
  m.vb[valor],
  m.vb[nucleo],$N$1,
  m.vb[variavel],W$7,
  m.vb[mes],$A28
)</f>
        <v>0</v>
      </c>
      <c r="X28" s="123">
        <f ca="1">SUMIFS(
  m.vb[valor],
  m.vb[nucleo],$N$1,
  m.vb[variavel],X$7,
  m.vb[mes],$A28
)</f>
        <v>0</v>
      </c>
      <c r="Y28" s="124">
        <f ca="1">SUMIFS(
  m.vb[valor],
  m.vb[nucleo],$N$1,
  m.vb[variavel],Y$7,
  m.vb[mes],$A28
)</f>
        <v>0</v>
      </c>
      <c r="Z28" s="122">
        <f>COUNTIFS(
    tb_estq[empresa], Z$6,
    tb_estq[Data da venda / reserva], "&gt;=" &amp; $A28,
    tb_estq[Data da venda / reserva], "&lt;"  &amp; EOMONTH($A28,0) + 1
)</f>
        <v>0</v>
      </c>
      <c r="AA28" s="123">
        <f ca="1">SUMIFS(tb_rec_uni[2023-02-01],
INDIRECT("tb_rec_uni[natureza]"),"pro.soluto",
INDIRECT("tb_rec_uni[empresa]"),AA$6)</f>
        <v>0</v>
      </c>
      <c r="AB28" s="123">
        <f ca="1">SUMIFS(tb_rec_uni[2023-02-01],
INDIRECT("tb_rec_uni[natureza]"),"parcela.fin.total.ik",
INDIRECT("tb_rec_uni[empresa]"),AB$6)</f>
        <v>0</v>
      </c>
      <c r="AC28" s="123">
        <f ca="1">SUMIFS(tb_rec_uni[2023-02-01],
INDIRECT("tb_rec_uni[natureza]"),"taxa.extra",
INDIRECT("tb_rec_uni[empresa]"),AC$6)</f>
        <v>0</v>
      </c>
      <c r="AD28" s="111"/>
      <c r="AE28" s="123">
        <f ca="1">SUMIFS(
  m.vb[valor],
  m.vb[nucleo],$Z$1,
  m.vb[variavel],AE$7,
  m.vb[mes],$A28
)</f>
        <v>0</v>
      </c>
      <c r="AF28" s="123">
        <f ca="1">SUMIFS(
  m.vb[valor],
  m.vb[nucleo],$Z$1,
  m.vb[variavel],AF$7,
  m.vb[mes],$A28
)</f>
        <v>0</v>
      </c>
      <c r="AG28" s="123">
        <f ca="1">SUMIFS(
  m.vb[valor],
  m.vb[nucleo],$Z$1,
  m.vb[variavel],AG$7,
  m.vb[mes],$A28
)</f>
        <v>0</v>
      </c>
      <c r="AH28" s="123">
        <f ca="1">SUMIFS(
  m.vb[valor],
  m.vb[nucleo],$Z$1,
  m.vb[variavel],AH$7,
  m.vb[mes],$A28
)</f>
        <v>0</v>
      </c>
      <c r="AI28" s="124">
        <f ca="1">SUMIFS(
  m.vb[valor],
  m.vb[nucleo],$Z$1,
  m.vb[variavel],AI$7,
  m.vb[mes],$A28
)</f>
        <v>0</v>
      </c>
      <c r="AJ28" s="122">
        <f>COUNTIFS(
    tb_estq[empresa], AJ$6,
    tb_estq[Data da venda / reserva], "&gt;=" &amp; $A28,
    tb_estq[Data da venda / reserva], "&lt;"  &amp; EOMONTH($A28,0) + 1
)</f>
        <v>0</v>
      </c>
      <c r="AK28" s="123">
        <f ca="1">SUMIFS(tb_rec_uni[2023-02-01],
INDIRECT("tb_rec_uni[natureza]"),"pro.soluto",
INDIRECT("tb_rec_uni[empresa]"),AK$6)</f>
        <v>0</v>
      </c>
      <c r="AL28" s="123">
        <f ca="1">SUMIFS(tb_rec_uni[2023-02-01],
INDIRECT("tb_rec_uni[natureza]"),"repasse.cef.obra",
INDIRECT("tb_rec_uni[empresa]"),AL$6)</f>
        <v>0</v>
      </c>
      <c r="AM28" s="123">
        <f ca="1">SUMIFS(tb_rec_uni[2023-02-01],
INDIRECT("tb_rec_uni[natureza]"),"repasse.cef.terreno",
INDIRECT("tb_rec_uni[empresa]"),AM$6)</f>
        <v>0</v>
      </c>
      <c r="AN28" s="123">
        <v>0</v>
      </c>
      <c r="AO28" s="123">
        <f ca="1">SUMIFS(tb_rec_uni[2023-02-01],
INDIRECT("tb_rec_uni[natureza]"),"taxa.extra",
INDIRECT("tb_rec_uni[empresa]"),AO$6)</f>
        <v>0</v>
      </c>
      <c r="AP28" s="111"/>
      <c r="AQ28" s="123">
        <f ca="1">SUMIFS(
  m.vb[valor],
  m.vb[nucleo],$AJ$1,
  m.vb[variavel],AQ$7,
  m.vb[mes],$A28
)</f>
        <v>0</v>
      </c>
      <c r="AR28" s="123">
        <f ca="1">SUMIFS(
  m.vb[valor],
  m.vb[nucleo],$AJ$1,
  m.vb[variavel],AR$7,
  m.vb[mes],$A28
)</f>
        <v>0</v>
      </c>
      <c r="AS28" s="123">
        <f ca="1">SUMIFS(
  m.vb[valor],
  m.vb[nucleo],$AJ$1,
  m.vb[variavel],AS$7,
  m.vb[mes],$A28
)</f>
        <v>0</v>
      </c>
      <c r="AT28" s="123">
        <f ca="1">SUMIFS(
  m.vb[valor],
  m.vb[nucleo],$AJ$1,
  m.vb[variavel],AT$7,
  m.vb[mes],$A28
)</f>
        <v>0</v>
      </c>
      <c r="AU28" s="124">
        <f ca="1">SUMIFS(
  m.vb[valor],
  m.vb[nucleo],$AJ$1,
  m.vb[variavel],AU$7,
  m.vb[mes],$A28
)</f>
        <v>0</v>
      </c>
      <c r="AV28" s="122">
        <f>COUNTIFS(
    tb_estq[empresa], AV$6,
    tb_estq[Data da venda / reserva], "&gt;=" &amp; $A28,
    tb_estq[Data da venda / reserva], "&lt;"  &amp; EOMONTH($A28,0) + 1
)</f>
        <v>0</v>
      </c>
      <c r="AW28" s="123">
        <f ca="1">SUMIFS(tb_rec_uni[2023-02-01],
INDIRECT("tb_rec_uni[natureza]"),"pro.soluto",
INDIRECT("tb_rec_uni[empresa]"),AW$6)</f>
        <v>0</v>
      </c>
      <c r="AX28" s="123">
        <f ca="1">SUMIFS(tb_rec_uni[2023-02-01],
INDIRECT("tb_rec_uni[natureza]"),"repasse.cef.obra",
INDIRECT("tb_rec_uni[empresa]"),AX$6)</f>
        <v>0</v>
      </c>
      <c r="AY28" s="123">
        <f ca="1">SUMIFS(tb_rec_uni[2023-02-01],
INDIRECT("tb_rec_uni[natureza]"),"repasse.cef.terreno",
INDIRECT("tb_rec_uni[empresa]"),AY$6)</f>
        <v>0</v>
      </c>
      <c r="AZ28" s="123">
        <v>0</v>
      </c>
      <c r="BA28" s="123">
        <f ca="1">SUMIFS(tb_rec_uni[2023-02-01],
INDIRECT("tb_rec_uni[natureza]"),"taxa.extra",
INDIRECT("tb_rec_uni[empresa]"),BA$6)</f>
        <v>0</v>
      </c>
      <c r="BB28" s="111"/>
      <c r="BC28" s="123">
        <f ca="1">SUMIFS(
  m.vb[valor],
  m.vb[nucleo],$AV$1,
  m.vb[variavel],BC$7,
  m.vb[mes],$A28
)</f>
        <v>0</v>
      </c>
      <c r="BD28" s="123">
        <f ca="1">SUMIFS(
  m.vb[valor],
  m.vb[nucleo],$AV$1,
  m.vb[variavel],BD$7,
  m.vb[mes],$A28
)</f>
        <v>0</v>
      </c>
      <c r="BE28" s="123">
        <f ca="1">SUMIFS(
  m.vb[valor],
  m.vb[nucleo],$AV$1,
  m.vb[variavel],BE$7,
  m.vb[mes],$A28
)</f>
        <v>0</v>
      </c>
      <c r="BF28" s="123">
        <f ca="1">SUMIFS(
  m.vb[valor],
  m.vb[nucleo],$AV$1,
  m.vb[variavel],BF$7,
  m.vb[mes],$A28
)</f>
        <v>0</v>
      </c>
      <c r="BG28" s="124">
        <f ca="1">SUMIFS(
  m.vb[valor],
  m.vb[nucleo],$AV$1,
  m.vb[variavel],BG$7,
  m.vb[mes],$A28
)</f>
        <v>0</v>
      </c>
      <c r="BH28" s="122">
        <f>COUNTIFS(
    tb_estq[empresa], BH$6,
    tb_estq[Data da venda / reserva], "&gt;=" &amp; $A28,
    tb_estq[Data da venda / reserva], "&lt;"  &amp; EOMONTH($A28,0) + 1
)</f>
        <v>0</v>
      </c>
      <c r="BI28" s="123">
        <f ca="1">SUMIFS(tb_rec_uni[2023-02-01],
INDIRECT("tb_rec_uni[natureza]"),"pro.soluto",
INDIRECT("tb_rec_uni[empresa]"),BI$6)</f>
        <v>0</v>
      </c>
      <c r="BJ28" s="111">
        <v>0</v>
      </c>
      <c r="BK28" s="123">
        <f ca="1">SUMIFS(tb_rec_uni[2023-02-01],
INDIRECT("tb_rec_uni[natureza]"),"taxa.extra",
INDIRECT("tb_rec_uni[empresa]"),BK$6)</f>
        <v>0</v>
      </c>
      <c r="BL28" s="111"/>
      <c r="BM28" s="123">
        <f ca="1">SUMIFS(
  m.vb[valor],
  m.vb[nucleo],$BH$1,
  m.vb[variavel],BM$7,
  m.vb[mes],$A28
)</f>
        <v>0</v>
      </c>
      <c r="BN28" s="123">
        <f ca="1">SUMIFS(
  m.vb[valor],
  m.vb[nucleo],$BH$1,
  m.vb[variavel],BN$7,
  m.vb[mes],$A28
)</f>
        <v>0</v>
      </c>
      <c r="BO28" s="123">
        <f ca="1">SUMIFS(
  m.vb[valor],
  m.vb[nucleo],$BH$1,
  m.vb[variavel],BO$7,
  m.vb[mes],$A28
)</f>
        <v>0</v>
      </c>
      <c r="BP28" s="123">
        <f ca="1">SUMIFS(
  m.vb[valor],
  m.vb[nucleo],$BH$1,
  m.vb[variavel],BP$7,
  m.vb[mes],$A28
)</f>
        <v>0</v>
      </c>
      <c r="BQ28" s="124">
        <f ca="1">SUMIFS(
  m.vb[valor],
  m.vb[nucleo],$BH$1,
  m.vb[variavel],BQ$7,
  m.vb[mes],$A28
)</f>
        <v>0</v>
      </c>
      <c r="BR28" s="122">
        <f>COUNTIFS(
    tb_estq[empresa], BR$6,
    tb_estq[Data da venda / reserva], "&gt;=" &amp; $A28,
    tb_estq[Data da venda / reserva], "&lt;"  &amp; EOMONTH($A28,0) + 1
)</f>
        <v>0</v>
      </c>
      <c r="BS28" s="123">
        <f ca="1">SUMIFS(tb_rec_uni[2023-02-01],
INDIRECT("tb_rec_uni[natureza]"),"pro.soluto",
INDIRECT("tb_rec_uni[empresa]"),BS$6)</f>
        <v>0</v>
      </c>
      <c r="BT28" s="123">
        <f ca="1">SUMIFS(tb_rec_uni[2023-02-01],
INDIRECT("tb_rec_uni[natureza]"),"parcela.fin.total.ik",
INDIRECT("tb_rec_uni[empresa]"),BT$6)</f>
        <v>0</v>
      </c>
      <c r="BU28" s="123">
        <f ca="1">SUMIFS(tb_rec_uni[2023-02-01],
INDIRECT("tb_rec_uni[natureza]"),"taxa.extra",
INDIRECT("tb_rec_uni[empresa]"),BU$6)</f>
        <v>0</v>
      </c>
      <c r="BV28" s="111"/>
      <c r="BW28" s="123">
        <f ca="1">SUMIFS(
  m.vb[valor],
  m.vb[nucleo],$BR$1,
  m.vb[variavel],BW$7,
  m.vb[mes],$A28
)</f>
        <v>0</v>
      </c>
      <c r="BX28" s="123">
        <f ca="1">SUMIFS(
  m.vb[valor],
  m.vb[nucleo],$BR$1,
  m.vb[variavel],BX$7,
  m.vb[mes],$A28
)</f>
        <v>0</v>
      </c>
      <c r="BY28" s="123">
        <f ca="1">SUMIFS(
  m.vb[valor],
  m.vb[nucleo],$BR$1,
  m.vb[variavel],BY$7,
  m.vb[mes],$A28
)</f>
        <v>0</v>
      </c>
      <c r="BZ28" s="123">
        <f ca="1">SUMIFS(
  m.vb[valor],
  m.vb[nucleo],$BR$1,
  m.vb[variavel],BZ$7,
  m.vb[mes],$A28
)</f>
        <v>0</v>
      </c>
      <c r="CA28" s="124">
        <f ca="1">SUMIFS(
  m.vb[valor],
  m.vb[nucleo],$BR$1,
  m.vb[variavel],CA$7,
  m.vb[mes],$A28
)</f>
        <v>0</v>
      </c>
      <c r="CB28" s="122">
        <f>COUNTIFS(
    tb_estq[empresa], CB$6,
    tb_estq[Data da venda / reserva], "&gt;=" &amp; $A28,
    tb_estq[Data da venda / reserva], "&lt;"  &amp; EOMONTH($A28,0) + 1
)</f>
        <v>0</v>
      </c>
      <c r="CC28" s="123">
        <f ca="1">SUMIFS(tb_rec_uni[2023-02-01],
INDIRECT("tb_rec_uni[natureza]"),"pro.soluto",
INDIRECT("tb_rec_uni[empresa]"),CC$6)</f>
        <v>0</v>
      </c>
      <c r="CD28" s="123">
        <f ca="1">SUMIFS(tb_rec_uni[2023-02-01],
INDIRECT("tb_rec_uni[natureza]"),"repasse.cef.obra",
INDIRECT("tb_rec_uni[empresa]"),CD$6)</f>
        <v>0</v>
      </c>
      <c r="CE28" s="123">
        <f ca="1">SUMIFS(tb_rec_uni[2023-02-01],
INDIRECT("tb_rec_uni[natureza]"),"repasse.cef.terreno",
INDIRECT("tb_rec_uni[empresa]"),CE$6)</f>
        <v>0</v>
      </c>
      <c r="CF28" s="123">
        <v>0</v>
      </c>
      <c r="CG28" s="123">
        <f ca="1">SUMIFS(tb_rec_uni[2023-02-01],
INDIRECT("tb_rec_uni[natureza]"),"taxa.extra",
INDIRECT("tb_rec_uni[empresa]"),CG$6)</f>
        <v>0</v>
      </c>
      <c r="CH28" s="111"/>
      <c r="CI28" s="123">
        <f ca="1">SUMIFS(
  m.vb[valor],
  m.vb[nucleo],$CB$1,
  m.vb[variavel],CI$7,
  m.vb[mes],$A28
)</f>
        <v>0</v>
      </c>
      <c r="CJ28" s="123">
        <f ca="1">SUMIFS(
  m.vb[valor],
  m.vb[nucleo],$CB$1,
  m.vb[variavel],CJ$7,
  m.vb[mes],$A28
)</f>
        <v>0</v>
      </c>
      <c r="CK28" s="123">
        <f ca="1">SUMIFS(
  m.vb[valor],
  m.vb[nucleo],$CB$1,
  m.vb[variavel],CK$7,
  m.vb[mes],$A28
)</f>
        <v>0</v>
      </c>
      <c r="CL28" s="123">
        <f ca="1">SUMIFS(
  m.vb[valor],
  m.vb[nucleo],$CB$1,
  m.vb[variavel],CL$7,
  m.vb[mes],$A28
)</f>
        <v>0</v>
      </c>
      <c r="CM28" s="124">
        <f ca="1">SUMIFS(
  m.vb[valor],
  m.vb[nucleo],$CB$1,
  m.vb[variavel],CM$7,
  m.vb[mes],$A28
)</f>
        <v>0</v>
      </c>
      <c r="CN28" s="122">
        <f>COUNTIFS(
    tb_estq[empresa], CN$6,
    tb_estq[Data da venda / reserva], "&gt;=" &amp; $A28,
    tb_estq[Data da venda / reserva], "&lt;"  &amp; EOMONTH($A28,0) + 1
)</f>
        <v>0</v>
      </c>
      <c r="CO28" s="123">
        <f ca="1">SUMIFS(tb_rec_uni[2023-02-01],
INDIRECT("tb_rec_uni[natureza]"),"pro.soluto",
INDIRECT("tb_rec_uni[empresa]"),CO$6)</f>
        <v>0</v>
      </c>
      <c r="CP28" s="123">
        <f ca="1">SUMIFS(tb_rec_uni[2023-02-01],
INDIRECT("tb_rec_uni[natureza]"),"repasse.cef.obra",
INDIRECT("tb_rec_uni[empresa]"),CP$6)</f>
        <v>0</v>
      </c>
      <c r="CQ28" s="123">
        <f ca="1">SUMIFS(tb_rec_uni[2023-02-01],
INDIRECT("tb_rec_uni[natureza]"),"repasse.cef.terreno",
INDIRECT("tb_rec_uni[empresa]"),CQ$6)</f>
        <v>0</v>
      </c>
      <c r="CR28" s="123">
        <v>0</v>
      </c>
      <c r="CS28" s="123">
        <f ca="1">SUMIFS(tb_rec_uni[2023-02-01],
INDIRECT("tb_rec_uni[natureza]"),"taxa.extra",
INDIRECT("tb_rec_uni[empresa]"),CS$6)</f>
        <v>0</v>
      </c>
      <c r="CT28" s="111"/>
      <c r="CU28" s="123">
        <f ca="1">SUMIFS(
  m.vb[valor],
  m.vb[nucleo],$CN$1,
  m.vb[variavel],CU$7,
  m.vb[mes],$A28
)</f>
        <v>0</v>
      </c>
      <c r="CV28" s="123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3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3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5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21">
        <v>44986</v>
      </c>
      <c r="B29" s="122">
        <f>COUNTIFS(
    tb_estq[empresa], B$6,
    tb_estq[Data da venda / reserva], "&gt;=" &amp; $A29,
    tb_estq[Data da venda / reserva], "&lt;"  &amp; EOMONTH($A29,0) + 1
)</f>
        <v>0</v>
      </c>
      <c r="C29" s="123">
        <f ca="1">SUMIFS(tb_rec_uni[2023-03-01],
INDIRECT("tb_rec_uni[natureza]"),"pro.soluto",
INDIRECT("tb_rec_uni[empresa]"),C$6)</f>
        <v>0</v>
      </c>
      <c r="D29" s="123">
        <f ca="1">SUMIFS(tb_rec_uni[2023-03-01],
INDIRECT("tb_rec_uni[natureza]"),"repasse.cef.obra",
INDIRECT("tb_rec_uni[empresa]"),D$6)</f>
        <v>0</v>
      </c>
      <c r="E29" s="123">
        <f ca="1">SUMIFS(tb_rec_uni[2023-03-01],
INDIRECT("tb_rec_uni[natureza]"),"repasse.cef.terreno",
INDIRECT("tb_rec_uni[empresa]"),E$6)</f>
        <v>0</v>
      </c>
      <c r="F29" s="123">
        <v>0</v>
      </c>
      <c r="G29" s="123">
        <f ca="1">SUMIFS(tb_rec_uni[2023-03-01],
INDIRECT("tb_rec_uni[natureza]"),"taxa.extra",
INDIRECT("tb_rec_uni[empresa]"),G$6)</f>
        <v>0</v>
      </c>
      <c r="H29" s="111"/>
      <c r="I29" s="123">
        <f ca="1">SUMIFS(
  m.vb[valor],
  m.vb[nucleo],$B$1,
  m.vb[variavel],I$7,
  m.vb[mes],$A29
)</f>
        <v>0</v>
      </c>
      <c r="J29" s="123">
        <f ca="1">SUMIFS(
  m.vb[valor],
  m.vb[nucleo],$B$1,
  m.vb[variavel],J$7,
  m.vb[mes],$A29
)</f>
        <v>0</v>
      </c>
      <c r="K29" s="123">
        <f ca="1">SUMIFS(
  m.vb[valor],
  m.vb[nucleo],$B$1,
  m.vb[variavel],K$7,
  m.vb[mes],$A29
)</f>
        <v>0</v>
      </c>
      <c r="L29" s="123">
        <f ca="1">SUMIFS(
  m.vb[valor],
  m.vb[nucleo],$B$1,
  m.vb[variavel],L$7,
  m.vb[mes],$A29
)</f>
        <v>0</v>
      </c>
      <c r="M29" s="124">
        <f ca="1">SUMIFS(
  m.vb[valor],
  m.vb[nucleo],$B$1,
  m.vb[variavel],M$7,
  m.vb[mes],$A29
)</f>
        <v>0</v>
      </c>
      <c r="N29" s="122">
        <f>COUNTIFS(
    tb_estq[empresa], N$6,
    tb_estq[Data da venda / reserva], "&gt;=" &amp; $A29,
    tb_estq[Data da venda / reserva], "&lt;"  &amp; EOMONTH($A29,0) + 1
)</f>
        <v>0</v>
      </c>
      <c r="O29" s="123">
        <f ca="1">SUMIFS(tb_rec_uni[2023-03-01],
INDIRECT("tb_rec_uni[natureza]"),"pro.soluto",
INDIRECT("tb_rec_uni[empresa]"),O$6)</f>
        <v>0</v>
      </c>
      <c r="P29" s="123">
        <f ca="1">SUMIFS(tb_rec_uni[2023-03-01],
INDIRECT("tb_rec_uni[natureza]"),"repasse.cef.obra",
INDIRECT("tb_rec_uni[empresa]"),P$6)</f>
        <v>0</v>
      </c>
      <c r="Q29" s="123">
        <f ca="1">SUMIFS(tb_rec_uni[2023-03-01],
INDIRECT("tb_rec_uni[natureza]"),"repasse.cef.terreno",
INDIRECT("tb_rec_uni[empresa]"),Q$6)</f>
        <v>0</v>
      </c>
      <c r="R29" s="123">
        <v>0</v>
      </c>
      <c r="S29" s="123">
        <f ca="1">SUMIFS(tb_rec_uni[2023-03-01],
INDIRECT("tb_rec_uni[natureza]"),"taxa.extra",
INDIRECT("tb_rec_uni[empresa]"),S$6)</f>
        <v>0</v>
      </c>
      <c r="T29" s="111"/>
      <c r="U29" s="123">
        <f ca="1">SUMIFS(
  m.vb[valor],
  m.vb[nucleo],$N$1,
  m.vb[variavel],U$7,
  m.vb[mes],$A29
)</f>
        <v>0</v>
      </c>
      <c r="V29" s="123">
        <f ca="1">SUMIFS(
  m.vb[valor],
  m.vb[nucleo],$N$1,
  m.vb[variavel],V$7,
  m.vb[mes],$A29
)</f>
        <v>0</v>
      </c>
      <c r="W29" s="123">
        <f ca="1">SUMIFS(
  m.vb[valor],
  m.vb[nucleo],$N$1,
  m.vb[variavel],W$7,
  m.vb[mes],$A29
)</f>
        <v>0</v>
      </c>
      <c r="X29" s="123">
        <f ca="1">SUMIFS(
  m.vb[valor],
  m.vb[nucleo],$N$1,
  m.vb[variavel],X$7,
  m.vb[mes],$A29
)</f>
        <v>0</v>
      </c>
      <c r="Y29" s="124">
        <f ca="1">SUMIFS(
  m.vb[valor],
  m.vb[nucleo],$N$1,
  m.vb[variavel],Y$7,
  m.vb[mes],$A29
)</f>
        <v>0</v>
      </c>
      <c r="Z29" s="122">
        <f>COUNTIFS(
    tb_estq[empresa], Z$6,
    tb_estq[Data da venda / reserva], "&gt;=" &amp; $A29,
    tb_estq[Data da venda / reserva], "&lt;"  &amp; EOMONTH($A29,0) + 1
)</f>
        <v>0</v>
      </c>
      <c r="AA29" s="123">
        <f ca="1">SUMIFS(tb_rec_uni[2023-03-01],
INDIRECT("tb_rec_uni[natureza]"),"pro.soluto",
INDIRECT("tb_rec_uni[empresa]"),AA$6)</f>
        <v>0</v>
      </c>
      <c r="AB29" s="123">
        <f ca="1">SUMIFS(tb_rec_uni[2023-03-01],
INDIRECT("tb_rec_uni[natureza]"),"parcela.fin.total.ik",
INDIRECT("tb_rec_uni[empresa]"),AB$6)</f>
        <v>0</v>
      </c>
      <c r="AC29" s="123">
        <f ca="1">SUMIFS(tb_rec_uni[2023-03-01],
INDIRECT("tb_rec_uni[natureza]"),"taxa.extra",
INDIRECT("tb_rec_uni[empresa]"),AC$6)</f>
        <v>0</v>
      </c>
      <c r="AD29" s="111"/>
      <c r="AE29" s="123">
        <f ca="1">SUMIFS(
  m.vb[valor],
  m.vb[nucleo],$Z$1,
  m.vb[variavel],AE$7,
  m.vb[mes],$A29
)</f>
        <v>0</v>
      </c>
      <c r="AF29" s="123">
        <f ca="1">SUMIFS(
  m.vb[valor],
  m.vb[nucleo],$Z$1,
  m.vb[variavel],AF$7,
  m.vb[mes],$A29
)</f>
        <v>0</v>
      </c>
      <c r="AG29" s="123">
        <f ca="1">SUMIFS(
  m.vb[valor],
  m.vb[nucleo],$Z$1,
  m.vb[variavel],AG$7,
  m.vb[mes],$A29
)</f>
        <v>0</v>
      </c>
      <c r="AH29" s="123">
        <f ca="1">SUMIFS(
  m.vb[valor],
  m.vb[nucleo],$Z$1,
  m.vb[variavel],AH$7,
  m.vb[mes],$A29
)</f>
        <v>0</v>
      </c>
      <c r="AI29" s="124">
        <f ca="1">SUMIFS(
  m.vb[valor],
  m.vb[nucleo],$Z$1,
  m.vb[variavel],AI$7,
  m.vb[mes],$A29
)</f>
        <v>0</v>
      </c>
      <c r="AJ29" s="122">
        <f>COUNTIFS(
    tb_estq[empresa], AJ$6,
    tb_estq[Data da venda / reserva], "&gt;=" &amp; $A29,
    tb_estq[Data da venda / reserva], "&lt;"  &amp; EOMONTH($A29,0) + 1
)</f>
        <v>0</v>
      </c>
      <c r="AK29" s="123">
        <f ca="1">SUMIFS(tb_rec_uni[2023-03-01],
INDIRECT("tb_rec_uni[natureza]"),"pro.soluto",
INDIRECT("tb_rec_uni[empresa]"),AK$6)</f>
        <v>0</v>
      </c>
      <c r="AL29" s="123">
        <f ca="1">SUMIFS(tb_rec_uni[2023-03-01],
INDIRECT("tb_rec_uni[natureza]"),"repasse.cef.obra",
INDIRECT("tb_rec_uni[empresa]"),AL$6)</f>
        <v>0</v>
      </c>
      <c r="AM29" s="123">
        <f ca="1">SUMIFS(tb_rec_uni[2023-03-01],
INDIRECT("tb_rec_uni[natureza]"),"repasse.cef.terreno",
INDIRECT("tb_rec_uni[empresa]"),AM$6)</f>
        <v>0</v>
      </c>
      <c r="AN29" s="123">
        <v>0</v>
      </c>
      <c r="AO29" s="123">
        <f ca="1">SUMIFS(tb_rec_uni[2023-03-01],
INDIRECT("tb_rec_uni[natureza]"),"taxa.extra",
INDIRECT("tb_rec_uni[empresa]"),AO$6)</f>
        <v>0</v>
      </c>
      <c r="AP29" s="111"/>
      <c r="AQ29" s="123">
        <f ca="1">SUMIFS(
  m.vb[valor],
  m.vb[nucleo],$AJ$1,
  m.vb[variavel],AQ$7,
  m.vb[mes],$A29
)</f>
        <v>0</v>
      </c>
      <c r="AR29" s="123">
        <f ca="1">SUMIFS(
  m.vb[valor],
  m.vb[nucleo],$AJ$1,
  m.vb[variavel],AR$7,
  m.vb[mes],$A29
)</f>
        <v>0</v>
      </c>
      <c r="AS29" s="123">
        <f ca="1">SUMIFS(
  m.vb[valor],
  m.vb[nucleo],$AJ$1,
  m.vb[variavel],AS$7,
  m.vb[mes],$A29
)</f>
        <v>0</v>
      </c>
      <c r="AT29" s="123">
        <f ca="1">SUMIFS(
  m.vb[valor],
  m.vb[nucleo],$AJ$1,
  m.vb[variavel],AT$7,
  m.vb[mes],$A29
)</f>
        <v>0</v>
      </c>
      <c r="AU29" s="124">
        <f ca="1">SUMIFS(
  m.vb[valor],
  m.vb[nucleo],$AJ$1,
  m.vb[variavel],AU$7,
  m.vb[mes],$A29
)</f>
        <v>0</v>
      </c>
      <c r="AV29" s="122">
        <f>COUNTIFS(
    tb_estq[empresa], AV$6,
    tb_estq[Data da venda / reserva], "&gt;=" &amp; $A29,
    tb_estq[Data da venda / reserva], "&lt;"  &amp; EOMONTH($A29,0) + 1
)</f>
        <v>0</v>
      </c>
      <c r="AW29" s="123">
        <f ca="1">SUMIFS(tb_rec_uni[2023-03-01],
INDIRECT("tb_rec_uni[natureza]"),"pro.soluto",
INDIRECT("tb_rec_uni[empresa]"),AW$6)</f>
        <v>0</v>
      </c>
      <c r="AX29" s="123">
        <f ca="1">SUMIFS(tb_rec_uni[2023-03-01],
INDIRECT("tb_rec_uni[natureza]"),"repasse.cef.obra",
INDIRECT("tb_rec_uni[empresa]"),AX$6)</f>
        <v>0</v>
      </c>
      <c r="AY29" s="123">
        <f ca="1">SUMIFS(tb_rec_uni[2023-03-01],
INDIRECT("tb_rec_uni[natureza]"),"repasse.cef.terreno",
INDIRECT("tb_rec_uni[empresa]"),AY$6)</f>
        <v>0</v>
      </c>
      <c r="AZ29" s="123">
        <v>0</v>
      </c>
      <c r="BA29" s="123">
        <f ca="1">SUMIFS(tb_rec_uni[2023-03-01],
INDIRECT("tb_rec_uni[natureza]"),"taxa.extra",
INDIRECT("tb_rec_uni[empresa]"),BA$6)</f>
        <v>0</v>
      </c>
      <c r="BB29" s="111"/>
      <c r="BC29" s="123">
        <f ca="1">SUMIFS(
  m.vb[valor],
  m.vb[nucleo],$AV$1,
  m.vb[variavel],BC$7,
  m.vb[mes],$A29
)</f>
        <v>0</v>
      </c>
      <c r="BD29" s="123">
        <f ca="1">SUMIFS(
  m.vb[valor],
  m.vb[nucleo],$AV$1,
  m.vb[variavel],BD$7,
  m.vb[mes],$A29
)</f>
        <v>0</v>
      </c>
      <c r="BE29" s="123">
        <f ca="1">SUMIFS(
  m.vb[valor],
  m.vb[nucleo],$AV$1,
  m.vb[variavel],BE$7,
  m.vb[mes],$A29
)</f>
        <v>0</v>
      </c>
      <c r="BF29" s="123">
        <f ca="1">SUMIFS(
  m.vb[valor],
  m.vb[nucleo],$AV$1,
  m.vb[variavel],BF$7,
  m.vb[mes],$A29
)</f>
        <v>0</v>
      </c>
      <c r="BG29" s="124">
        <f ca="1">SUMIFS(
  m.vb[valor],
  m.vb[nucleo],$AV$1,
  m.vb[variavel],BG$7,
  m.vb[mes],$A29
)</f>
        <v>0</v>
      </c>
      <c r="BH29" s="122">
        <f>COUNTIFS(
    tb_estq[empresa], BH$6,
    tb_estq[Data da venda / reserva], "&gt;=" &amp; $A29,
    tb_estq[Data da venda / reserva], "&lt;"  &amp; EOMONTH($A29,0) + 1
)</f>
        <v>0</v>
      </c>
      <c r="BI29" s="123">
        <f ca="1">SUMIFS(tb_rec_uni[2023-03-01],
INDIRECT("tb_rec_uni[natureza]"),"pro.soluto",
INDIRECT("tb_rec_uni[empresa]"),BI$6)</f>
        <v>0</v>
      </c>
      <c r="BJ29" s="111">
        <v>0</v>
      </c>
      <c r="BK29" s="123">
        <f ca="1">SUMIFS(tb_rec_uni[2023-03-01],
INDIRECT("tb_rec_uni[natureza]"),"taxa.extra",
INDIRECT("tb_rec_uni[empresa]"),BK$6)</f>
        <v>0</v>
      </c>
      <c r="BL29" s="111"/>
      <c r="BM29" s="123">
        <f ca="1">SUMIFS(
  m.vb[valor],
  m.vb[nucleo],$BH$1,
  m.vb[variavel],BM$7,
  m.vb[mes],$A29
)</f>
        <v>0</v>
      </c>
      <c r="BN29" s="123">
        <f ca="1">SUMIFS(
  m.vb[valor],
  m.vb[nucleo],$BH$1,
  m.vb[variavel],BN$7,
  m.vb[mes],$A29
)</f>
        <v>0</v>
      </c>
      <c r="BO29" s="123">
        <f ca="1">SUMIFS(
  m.vb[valor],
  m.vb[nucleo],$BH$1,
  m.vb[variavel],BO$7,
  m.vb[mes],$A29
)</f>
        <v>0</v>
      </c>
      <c r="BP29" s="123">
        <f ca="1">SUMIFS(
  m.vb[valor],
  m.vb[nucleo],$BH$1,
  m.vb[variavel],BP$7,
  m.vb[mes],$A29
)</f>
        <v>0</v>
      </c>
      <c r="BQ29" s="124">
        <f ca="1">SUMIFS(
  m.vb[valor],
  m.vb[nucleo],$BH$1,
  m.vb[variavel],BQ$7,
  m.vb[mes],$A29
)</f>
        <v>0</v>
      </c>
      <c r="BR29" s="122">
        <f>COUNTIFS(
    tb_estq[empresa], BR$6,
    tb_estq[Data da venda / reserva], "&gt;=" &amp; $A29,
    tb_estq[Data da venda / reserva], "&lt;"  &amp; EOMONTH($A29,0) + 1
)</f>
        <v>0</v>
      </c>
      <c r="BS29" s="123">
        <f ca="1">SUMIFS(tb_rec_uni[2023-03-01],
INDIRECT("tb_rec_uni[natureza]"),"pro.soluto",
INDIRECT("tb_rec_uni[empresa]"),BS$6)</f>
        <v>0</v>
      </c>
      <c r="BT29" s="123">
        <f ca="1">SUMIFS(tb_rec_uni[2023-03-01],
INDIRECT("tb_rec_uni[natureza]"),"parcela.fin.total.ik",
INDIRECT("tb_rec_uni[empresa]"),BT$6)</f>
        <v>0</v>
      </c>
      <c r="BU29" s="123">
        <f ca="1">SUMIFS(tb_rec_uni[2023-03-01],
INDIRECT("tb_rec_uni[natureza]"),"taxa.extra",
INDIRECT("tb_rec_uni[empresa]"),BU$6)</f>
        <v>0</v>
      </c>
      <c r="BV29" s="111"/>
      <c r="BW29" s="123">
        <f ca="1">SUMIFS(
  m.vb[valor],
  m.vb[nucleo],$BR$1,
  m.vb[variavel],BW$7,
  m.vb[mes],$A29
)</f>
        <v>0</v>
      </c>
      <c r="BX29" s="123">
        <f ca="1">SUMIFS(
  m.vb[valor],
  m.vb[nucleo],$BR$1,
  m.vb[variavel],BX$7,
  m.vb[mes],$A29
)</f>
        <v>0</v>
      </c>
      <c r="BY29" s="123">
        <f ca="1">SUMIFS(
  m.vb[valor],
  m.vb[nucleo],$BR$1,
  m.vb[variavel],BY$7,
  m.vb[mes],$A29
)</f>
        <v>0</v>
      </c>
      <c r="BZ29" s="123">
        <f ca="1">SUMIFS(
  m.vb[valor],
  m.vb[nucleo],$BR$1,
  m.vb[variavel],BZ$7,
  m.vb[mes],$A29
)</f>
        <v>0</v>
      </c>
      <c r="CA29" s="124">
        <f ca="1">SUMIFS(
  m.vb[valor],
  m.vb[nucleo],$BR$1,
  m.vb[variavel],CA$7,
  m.vb[mes],$A29
)</f>
        <v>0</v>
      </c>
      <c r="CB29" s="122">
        <f>COUNTIFS(
    tb_estq[empresa], CB$6,
    tb_estq[Data da venda / reserva], "&gt;=" &amp; $A29,
    tb_estq[Data da venda / reserva], "&lt;"  &amp; EOMONTH($A29,0) + 1
)</f>
        <v>0</v>
      </c>
      <c r="CC29" s="123">
        <f ca="1">SUMIFS(tb_rec_uni[2023-03-01],
INDIRECT("tb_rec_uni[natureza]"),"pro.soluto",
INDIRECT("tb_rec_uni[empresa]"),CC$6)</f>
        <v>0</v>
      </c>
      <c r="CD29" s="123">
        <f ca="1">SUMIFS(tb_rec_uni[2023-03-01],
INDIRECT("tb_rec_uni[natureza]"),"repasse.cef.obra",
INDIRECT("tb_rec_uni[empresa]"),CD$6)</f>
        <v>0</v>
      </c>
      <c r="CE29" s="123">
        <f ca="1">SUMIFS(tb_rec_uni[2023-03-01],
INDIRECT("tb_rec_uni[natureza]"),"repasse.cef.terreno",
INDIRECT("tb_rec_uni[empresa]"),CE$6)</f>
        <v>0</v>
      </c>
      <c r="CF29" s="123">
        <v>0</v>
      </c>
      <c r="CG29" s="123">
        <f ca="1">SUMIFS(tb_rec_uni[2023-03-01],
INDIRECT("tb_rec_uni[natureza]"),"taxa.extra",
INDIRECT("tb_rec_uni[empresa]"),CG$6)</f>
        <v>0</v>
      </c>
      <c r="CH29" s="111"/>
      <c r="CI29" s="123">
        <f ca="1">SUMIFS(
  m.vb[valor],
  m.vb[nucleo],$CB$1,
  m.vb[variavel],CI$7,
  m.vb[mes],$A29
)</f>
        <v>0</v>
      </c>
      <c r="CJ29" s="123">
        <f ca="1">SUMIFS(
  m.vb[valor],
  m.vb[nucleo],$CB$1,
  m.vb[variavel],CJ$7,
  m.vb[mes],$A29
)</f>
        <v>0</v>
      </c>
      <c r="CK29" s="123">
        <f ca="1">SUMIFS(
  m.vb[valor],
  m.vb[nucleo],$CB$1,
  m.vb[variavel],CK$7,
  m.vb[mes],$A29
)</f>
        <v>0</v>
      </c>
      <c r="CL29" s="123">
        <f ca="1">SUMIFS(
  m.vb[valor],
  m.vb[nucleo],$CB$1,
  m.vb[variavel],CL$7,
  m.vb[mes],$A29
)</f>
        <v>0</v>
      </c>
      <c r="CM29" s="124">
        <f ca="1">SUMIFS(
  m.vb[valor],
  m.vb[nucleo],$CB$1,
  m.vb[variavel],CM$7,
  m.vb[mes],$A29
)</f>
        <v>0</v>
      </c>
      <c r="CN29" s="122">
        <f>COUNTIFS(
    tb_estq[empresa], CN$6,
    tb_estq[Data da venda / reserva], "&gt;=" &amp; $A29,
    tb_estq[Data da venda / reserva], "&lt;"  &amp; EOMONTH($A29,0) + 1
)</f>
        <v>0</v>
      </c>
      <c r="CO29" s="123">
        <f ca="1">SUMIFS(tb_rec_uni[2023-03-01],
INDIRECT("tb_rec_uni[natureza]"),"pro.soluto",
INDIRECT("tb_rec_uni[empresa]"),CO$6)</f>
        <v>0</v>
      </c>
      <c r="CP29" s="123">
        <f ca="1">SUMIFS(tb_rec_uni[2023-03-01],
INDIRECT("tb_rec_uni[natureza]"),"repasse.cef.obra",
INDIRECT("tb_rec_uni[empresa]"),CP$6)</f>
        <v>0</v>
      </c>
      <c r="CQ29" s="123">
        <f ca="1">SUMIFS(tb_rec_uni[2023-03-01],
INDIRECT("tb_rec_uni[natureza]"),"repasse.cef.terreno",
INDIRECT("tb_rec_uni[empresa]"),CQ$6)</f>
        <v>0</v>
      </c>
      <c r="CR29" s="123">
        <v>0</v>
      </c>
      <c r="CS29" s="123">
        <f ca="1">SUMIFS(tb_rec_uni[2023-03-01],
INDIRECT("tb_rec_uni[natureza]"),"taxa.extra",
INDIRECT("tb_rec_uni[empresa]"),CS$6)</f>
        <v>0</v>
      </c>
      <c r="CT29" s="111"/>
      <c r="CU29" s="123">
        <f ca="1">SUMIFS(
  m.vb[valor],
  m.vb[nucleo],$CN$1,
  m.vb[variavel],CU$7,
  m.vb[mes],$A29
)</f>
        <v>0</v>
      </c>
      <c r="CV29" s="123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3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3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5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21">
        <v>45017</v>
      </c>
      <c r="B30" s="122">
        <f>COUNTIFS(
    tb_estq[empresa], B$6,
    tb_estq[Data da venda / reserva], "&gt;=" &amp; $A30,
    tb_estq[Data da venda / reserva], "&lt;"  &amp; EOMONTH($A30,0) + 1
)</f>
        <v>0</v>
      </c>
      <c r="C30" s="123">
        <f ca="1">SUMIFS(tb_rec_uni[2023-04-01],
INDIRECT("tb_rec_uni[natureza]"),"pro.soluto",
INDIRECT("tb_rec_uni[empresa]"),C$6)</f>
        <v>0</v>
      </c>
      <c r="D30" s="123">
        <f ca="1">SUMIFS(tb_rec_uni[2023-04-01],
INDIRECT("tb_rec_uni[natureza]"),"repasse.cef.obra",
INDIRECT("tb_rec_uni[empresa]"),D$6)</f>
        <v>0</v>
      </c>
      <c r="E30" s="123">
        <f ca="1">SUMIFS(tb_rec_uni[2023-04-01],
INDIRECT("tb_rec_uni[natureza]"),"repasse.cef.terreno",
INDIRECT("tb_rec_uni[empresa]"),E$6)</f>
        <v>0</v>
      </c>
      <c r="F30" s="123">
        <v>0</v>
      </c>
      <c r="G30" s="123">
        <f ca="1">SUMIFS(tb_rec_uni[2023-04-01],
INDIRECT("tb_rec_uni[natureza]"),"taxa.extra",
INDIRECT("tb_rec_uni[empresa]"),G$6)</f>
        <v>0</v>
      </c>
      <c r="H30" s="111"/>
      <c r="I30" s="123">
        <f ca="1">SUMIFS(
  m.vb[valor],
  m.vb[nucleo],$B$1,
  m.vb[variavel],I$7,
  m.vb[mes],$A30
)</f>
        <v>0</v>
      </c>
      <c r="J30" s="123">
        <f ca="1">SUMIFS(
  m.vb[valor],
  m.vb[nucleo],$B$1,
  m.vb[variavel],J$7,
  m.vb[mes],$A30
)</f>
        <v>0</v>
      </c>
      <c r="K30" s="123">
        <f ca="1">SUMIFS(
  m.vb[valor],
  m.vb[nucleo],$B$1,
  m.vb[variavel],K$7,
  m.vb[mes],$A30
)</f>
        <v>0</v>
      </c>
      <c r="L30" s="123">
        <f ca="1">SUMIFS(
  m.vb[valor],
  m.vb[nucleo],$B$1,
  m.vb[variavel],L$7,
  m.vb[mes],$A30
)</f>
        <v>0</v>
      </c>
      <c r="M30" s="124">
        <f ca="1">SUMIFS(
  m.vb[valor],
  m.vb[nucleo],$B$1,
  m.vb[variavel],M$7,
  m.vb[mes],$A30
)</f>
        <v>0</v>
      </c>
      <c r="N30" s="122">
        <f>COUNTIFS(
    tb_estq[empresa], N$6,
    tb_estq[Data da venda / reserva], "&gt;=" &amp; $A30,
    tb_estq[Data da venda / reserva], "&lt;"  &amp; EOMONTH($A30,0) + 1
)</f>
        <v>0</v>
      </c>
      <c r="O30" s="123">
        <f ca="1">SUMIFS(tb_rec_uni[2023-04-01],
INDIRECT("tb_rec_uni[natureza]"),"pro.soluto",
INDIRECT("tb_rec_uni[empresa]"),O$6)</f>
        <v>0</v>
      </c>
      <c r="P30" s="123">
        <f ca="1">SUMIFS(tb_rec_uni[2023-04-01],
INDIRECT("tb_rec_uni[natureza]"),"repasse.cef.obra",
INDIRECT("tb_rec_uni[empresa]"),P$6)</f>
        <v>0</v>
      </c>
      <c r="Q30" s="123">
        <f ca="1">SUMIFS(tb_rec_uni[2023-04-01],
INDIRECT("tb_rec_uni[natureza]"),"repasse.cef.terreno",
INDIRECT("tb_rec_uni[empresa]"),Q$6)</f>
        <v>0</v>
      </c>
      <c r="R30" s="123">
        <v>0</v>
      </c>
      <c r="S30" s="123">
        <f ca="1">SUMIFS(tb_rec_uni[2023-04-01],
INDIRECT("tb_rec_uni[natureza]"),"taxa.extra",
INDIRECT("tb_rec_uni[empresa]"),S$6)</f>
        <v>0</v>
      </c>
      <c r="T30" s="111"/>
      <c r="U30" s="123">
        <f ca="1">SUMIFS(
  m.vb[valor],
  m.vb[nucleo],$N$1,
  m.vb[variavel],U$7,
  m.vb[mes],$A30
)</f>
        <v>0</v>
      </c>
      <c r="V30" s="123">
        <f ca="1">SUMIFS(
  m.vb[valor],
  m.vb[nucleo],$N$1,
  m.vb[variavel],V$7,
  m.vb[mes],$A30
)</f>
        <v>0</v>
      </c>
      <c r="W30" s="123">
        <f ca="1">SUMIFS(
  m.vb[valor],
  m.vb[nucleo],$N$1,
  m.vb[variavel],W$7,
  m.vb[mes],$A30
)</f>
        <v>0</v>
      </c>
      <c r="X30" s="123">
        <f ca="1">SUMIFS(
  m.vb[valor],
  m.vb[nucleo],$N$1,
  m.vb[variavel],X$7,
  m.vb[mes],$A30
)</f>
        <v>0</v>
      </c>
      <c r="Y30" s="124">
        <f ca="1">SUMIFS(
  m.vb[valor],
  m.vb[nucleo],$N$1,
  m.vb[variavel],Y$7,
  m.vb[mes],$A30
)</f>
        <v>0</v>
      </c>
      <c r="Z30" s="122">
        <f>COUNTIFS(
    tb_estq[empresa], Z$6,
    tb_estq[Data da venda / reserva], "&gt;=" &amp; $A30,
    tb_estq[Data da venda / reserva], "&lt;"  &amp; EOMONTH($A30,0) + 1
)</f>
        <v>0</v>
      </c>
      <c r="AA30" s="123">
        <f ca="1">SUMIFS(tb_rec_uni[2023-04-01],
INDIRECT("tb_rec_uni[natureza]"),"pro.soluto",
INDIRECT("tb_rec_uni[empresa]"),AA$6)</f>
        <v>0</v>
      </c>
      <c r="AB30" s="123">
        <f ca="1">SUMIFS(tb_rec_uni[2023-04-01],
INDIRECT("tb_rec_uni[natureza]"),"parcela.fin.total.ik",
INDIRECT("tb_rec_uni[empresa]"),AB$6)</f>
        <v>0</v>
      </c>
      <c r="AC30" s="123">
        <f ca="1">SUMIFS(tb_rec_uni[2023-04-01],
INDIRECT("tb_rec_uni[natureza]"),"taxa.extra",
INDIRECT("tb_rec_uni[empresa]"),AC$6)</f>
        <v>0</v>
      </c>
      <c r="AD30" s="111"/>
      <c r="AE30" s="123">
        <f ca="1">SUMIFS(
  m.vb[valor],
  m.vb[nucleo],$Z$1,
  m.vb[variavel],AE$7,
  m.vb[mes],$A30
)</f>
        <v>0</v>
      </c>
      <c r="AF30" s="123">
        <f ca="1">SUMIFS(
  m.vb[valor],
  m.vb[nucleo],$Z$1,
  m.vb[variavel],AF$7,
  m.vb[mes],$A30
)</f>
        <v>0</v>
      </c>
      <c r="AG30" s="123">
        <f ca="1">SUMIFS(
  m.vb[valor],
  m.vb[nucleo],$Z$1,
  m.vb[variavel],AG$7,
  m.vb[mes],$A30
)</f>
        <v>0</v>
      </c>
      <c r="AH30" s="123">
        <f ca="1">SUMIFS(
  m.vb[valor],
  m.vb[nucleo],$Z$1,
  m.vb[variavel],AH$7,
  m.vb[mes],$A30
)</f>
        <v>0</v>
      </c>
      <c r="AI30" s="124">
        <f ca="1">SUMIFS(
  m.vb[valor],
  m.vb[nucleo],$Z$1,
  m.vb[variavel],AI$7,
  m.vb[mes],$A30
)</f>
        <v>0</v>
      </c>
      <c r="AJ30" s="122">
        <f>COUNTIFS(
    tb_estq[empresa], AJ$6,
    tb_estq[Data da venda / reserva], "&gt;=" &amp; $A30,
    tb_estq[Data da venda / reserva], "&lt;"  &amp; EOMONTH($A30,0) + 1
)</f>
        <v>0</v>
      </c>
      <c r="AK30" s="123">
        <f ca="1">SUMIFS(tb_rec_uni[2023-04-01],
INDIRECT("tb_rec_uni[natureza]"),"pro.soluto",
INDIRECT("tb_rec_uni[empresa]"),AK$6)</f>
        <v>0</v>
      </c>
      <c r="AL30" s="123">
        <f ca="1">SUMIFS(tb_rec_uni[2023-04-01],
INDIRECT("tb_rec_uni[natureza]"),"repasse.cef.obra",
INDIRECT("tb_rec_uni[empresa]"),AL$6)</f>
        <v>0</v>
      </c>
      <c r="AM30" s="123">
        <f ca="1">SUMIFS(tb_rec_uni[2023-04-01],
INDIRECT("tb_rec_uni[natureza]"),"repasse.cef.terreno",
INDIRECT("tb_rec_uni[empresa]"),AM$6)</f>
        <v>0</v>
      </c>
      <c r="AN30" s="123">
        <v>0</v>
      </c>
      <c r="AO30" s="123">
        <f ca="1">SUMIFS(tb_rec_uni[2023-04-01],
INDIRECT("tb_rec_uni[natureza]"),"taxa.extra",
INDIRECT("tb_rec_uni[empresa]"),AO$6)</f>
        <v>0</v>
      </c>
      <c r="AP30" s="111"/>
      <c r="AQ30" s="123">
        <f ca="1">SUMIFS(
  m.vb[valor],
  m.vb[nucleo],$AJ$1,
  m.vb[variavel],AQ$7,
  m.vb[mes],$A30
)</f>
        <v>0</v>
      </c>
      <c r="AR30" s="123">
        <f ca="1">SUMIFS(
  m.vb[valor],
  m.vb[nucleo],$AJ$1,
  m.vb[variavel],AR$7,
  m.vb[mes],$A30
)</f>
        <v>0</v>
      </c>
      <c r="AS30" s="123">
        <f ca="1">SUMIFS(
  m.vb[valor],
  m.vb[nucleo],$AJ$1,
  m.vb[variavel],AS$7,
  m.vb[mes],$A30
)</f>
        <v>0</v>
      </c>
      <c r="AT30" s="123">
        <f ca="1">SUMIFS(
  m.vb[valor],
  m.vb[nucleo],$AJ$1,
  m.vb[variavel],AT$7,
  m.vb[mes],$A30
)</f>
        <v>0</v>
      </c>
      <c r="AU30" s="124">
        <f ca="1">SUMIFS(
  m.vb[valor],
  m.vb[nucleo],$AJ$1,
  m.vb[variavel],AU$7,
  m.vb[mes],$A30
)</f>
        <v>0</v>
      </c>
      <c r="AV30" s="122">
        <f>COUNTIFS(
    tb_estq[empresa], AV$6,
    tb_estq[Data da venda / reserva], "&gt;=" &amp; $A30,
    tb_estq[Data da venda / reserva], "&lt;"  &amp; EOMONTH($A30,0) + 1
)</f>
        <v>0</v>
      </c>
      <c r="AW30" s="123">
        <f ca="1">SUMIFS(tb_rec_uni[2023-04-01],
INDIRECT("tb_rec_uni[natureza]"),"pro.soluto",
INDIRECT("tb_rec_uni[empresa]"),AW$6)</f>
        <v>0</v>
      </c>
      <c r="AX30" s="123">
        <f ca="1">SUMIFS(tb_rec_uni[2023-04-01],
INDIRECT("tb_rec_uni[natureza]"),"repasse.cef.obra",
INDIRECT("tb_rec_uni[empresa]"),AX$6)</f>
        <v>0</v>
      </c>
      <c r="AY30" s="123">
        <f ca="1">SUMIFS(tb_rec_uni[2023-04-01],
INDIRECT("tb_rec_uni[natureza]"),"repasse.cef.terreno",
INDIRECT("tb_rec_uni[empresa]"),AY$6)</f>
        <v>0</v>
      </c>
      <c r="AZ30" s="123">
        <v>0</v>
      </c>
      <c r="BA30" s="123">
        <f ca="1">SUMIFS(tb_rec_uni[2023-04-01],
INDIRECT("tb_rec_uni[natureza]"),"taxa.extra",
INDIRECT("tb_rec_uni[empresa]"),BA$6)</f>
        <v>0</v>
      </c>
      <c r="BB30" s="111"/>
      <c r="BC30" s="123">
        <f ca="1">SUMIFS(
  m.vb[valor],
  m.vb[nucleo],$AV$1,
  m.vb[variavel],BC$7,
  m.vb[mes],$A30
)</f>
        <v>0</v>
      </c>
      <c r="BD30" s="123">
        <f ca="1">SUMIFS(
  m.vb[valor],
  m.vb[nucleo],$AV$1,
  m.vb[variavel],BD$7,
  m.vb[mes],$A30
)</f>
        <v>0</v>
      </c>
      <c r="BE30" s="123">
        <f ca="1">SUMIFS(
  m.vb[valor],
  m.vb[nucleo],$AV$1,
  m.vb[variavel],BE$7,
  m.vb[mes],$A30
)</f>
        <v>0</v>
      </c>
      <c r="BF30" s="123">
        <f ca="1">SUMIFS(
  m.vb[valor],
  m.vb[nucleo],$AV$1,
  m.vb[variavel],BF$7,
  m.vb[mes],$A30
)</f>
        <v>0</v>
      </c>
      <c r="BG30" s="124">
        <f ca="1">SUMIFS(
  m.vb[valor],
  m.vb[nucleo],$AV$1,
  m.vb[variavel],BG$7,
  m.vb[mes],$A30
)</f>
        <v>0</v>
      </c>
      <c r="BH30" s="122">
        <f>COUNTIFS(
    tb_estq[empresa], BH$6,
    tb_estq[Data da venda / reserva], "&gt;=" &amp; $A30,
    tb_estq[Data da venda / reserva], "&lt;"  &amp; EOMONTH($A30,0) + 1
)</f>
        <v>0</v>
      </c>
      <c r="BI30" s="123">
        <f ca="1">SUMIFS(tb_rec_uni[2023-04-01],
INDIRECT("tb_rec_uni[natureza]"),"pro.soluto",
INDIRECT("tb_rec_uni[empresa]"),BI$6)</f>
        <v>0</v>
      </c>
      <c r="BJ30" s="111">
        <v>0</v>
      </c>
      <c r="BK30" s="123">
        <f ca="1">SUMIFS(tb_rec_uni[2023-04-01],
INDIRECT("tb_rec_uni[natureza]"),"taxa.extra",
INDIRECT("tb_rec_uni[empresa]"),BK$6)</f>
        <v>0</v>
      </c>
      <c r="BL30" s="111"/>
      <c r="BM30" s="123">
        <f ca="1">SUMIFS(
  m.vb[valor],
  m.vb[nucleo],$BH$1,
  m.vb[variavel],BM$7,
  m.vb[mes],$A30
)</f>
        <v>0</v>
      </c>
      <c r="BN30" s="123">
        <f ca="1">SUMIFS(
  m.vb[valor],
  m.vb[nucleo],$BH$1,
  m.vb[variavel],BN$7,
  m.vb[mes],$A30
)</f>
        <v>0</v>
      </c>
      <c r="BO30" s="123">
        <f ca="1">SUMIFS(
  m.vb[valor],
  m.vb[nucleo],$BH$1,
  m.vb[variavel],BO$7,
  m.vb[mes],$A30
)</f>
        <v>0</v>
      </c>
      <c r="BP30" s="123">
        <f ca="1">SUMIFS(
  m.vb[valor],
  m.vb[nucleo],$BH$1,
  m.vb[variavel],BP$7,
  m.vb[mes],$A30
)</f>
        <v>0</v>
      </c>
      <c r="BQ30" s="124">
        <f ca="1">SUMIFS(
  m.vb[valor],
  m.vb[nucleo],$BH$1,
  m.vb[variavel],BQ$7,
  m.vb[mes],$A30
)</f>
        <v>0</v>
      </c>
      <c r="BR30" s="122">
        <f>COUNTIFS(
    tb_estq[empresa], BR$6,
    tb_estq[Data da venda / reserva], "&gt;=" &amp; $A30,
    tb_estq[Data da venda / reserva], "&lt;"  &amp; EOMONTH($A30,0) + 1
)</f>
        <v>0</v>
      </c>
      <c r="BS30" s="123">
        <f ca="1">SUMIFS(tb_rec_uni[2023-04-01],
INDIRECT("tb_rec_uni[natureza]"),"pro.soluto",
INDIRECT("tb_rec_uni[empresa]"),BS$6)</f>
        <v>0</v>
      </c>
      <c r="BT30" s="123">
        <f ca="1">SUMIFS(tb_rec_uni[2023-04-01],
INDIRECT("tb_rec_uni[natureza]"),"parcela.fin.total.ik",
INDIRECT("tb_rec_uni[empresa]"),BT$6)</f>
        <v>0</v>
      </c>
      <c r="BU30" s="123">
        <f ca="1">SUMIFS(tb_rec_uni[2023-04-01],
INDIRECT("tb_rec_uni[natureza]"),"taxa.extra",
INDIRECT("tb_rec_uni[empresa]"),BU$6)</f>
        <v>0</v>
      </c>
      <c r="BV30" s="111"/>
      <c r="BW30" s="123">
        <f ca="1">SUMIFS(
  m.vb[valor],
  m.vb[nucleo],$BR$1,
  m.vb[variavel],BW$7,
  m.vb[mes],$A30
)</f>
        <v>0</v>
      </c>
      <c r="BX30" s="123">
        <f ca="1">SUMIFS(
  m.vb[valor],
  m.vb[nucleo],$BR$1,
  m.vb[variavel],BX$7,
  m.vb[mes],$A30
)</f>
        <v>0</v>
      </c>
      <c r="BY30" s="123">
        <f ca="1">SUMIFS(
  m.vb[valor],
  m.vb[nucleo],$BR$1,
  m.vb[variavel],BY$7,
  m.vb[mes],$A30
)</f>
        <v>0</v>
      </c>
      <c r="BZ30" s="123">
        <f ca="1">SUMIFS(
  m.vb[valor],
  m.vb[nucleo],$BR$1,
  m.vb[variavel],BZ$7,
  m.vb[mes],$A30
)</f>
        <v>0</v>
      </c>
      <c r="CA30" s="124">
        <f ca="1">SUMIFS(
  m.vb[valor],
  m.vb[nucleo],$BR$1,
  m.vb[variavel],CA$7,
  m.vb[mes],$A30
)</f>
        <v>0</v>
      </c>
      <c r="CB30" s="122">
        <f>COUNTIFS(
    tb_estq[empresa], CB$6,
    tb_estq[Data da venda / reserva], "&gt;=" &amp; $A30,
    tb_estq[Data da venda / reserva], "&lt;"  &amp; EOMONTH($A30,0) + 1
)</f>
        <v>0</v>
      </c>
      <c r="CC30" s="123">
        <f ca="1">SUMIFS(tb_rec_uni[2023-04-01],
INDIRECT("tb_rec_uni[natureza]"),"pro.soluto",
INDIRECT("tb_rec_uni[empresa]"),CC$6)</f>
        <v>0</v>
      </c>
      <c r="CD30" s="123">
        <f ca="1">SUMIFS(tb_rec_uni[2023-04-01],
INDIRECT("tb_rec_uni[natureza]"),"repasse.cef.obra",
INDIRECT("tb_rec_uni[empresa]"),CD$6)</f>
        <v>0</v>
      </c>
      <c r="CE30" s="123">
        <f ca="1">SUMIFS(tb_rec_uni[2023-04-01],
INDIRECT("tb_rec_uni[natureza]"),"repasse.cef.terreno",
INDIRECT("tb_rec_uni[empresa]"),CE$6)</f>
        <v>0</v>
      </c>
      <c r="CF30" s="123">
        <v>0</v>
      </c>
      <c r="CG30" s="123">
        <f ca="1">SUMIFS(tb_rec_uni[2023-04-01],
INDIRECT("tb_rec_uni[natureza]"),"taxa.extra",
INDIRECT("tb_rec_uni[empresa]"),CG$6)</f>
        <v>0</v>
      </c>
      <c r="CH30" s="111"/>
      <c r="CI30" s="123">
        <f ca="1">SUMIFS(
  m.vb[valor],
  m.vb[nucleo],$CB$1,
  m.vb[variavel],CI$7,
  m.vb[mes],$A30
)</f>
        <v>0</v>
      </c>
      <c r="CJ30" s="123">
        <f ca="1">SUMIFS(
  m.vb[valor],
  m.vb[nucleo],$CB$1,
  m.vb[variavel],CJ$7,
  m.vb[mes],$A30
)</f>
        <v>0</v>
      </c>
      <c r="CK30" s="123">
        <f ca="1">SUMIFS(
  m.vb[valor],
  m.vb[nucleo],$CB$1,
  m.vb[variavel],CK$7,
  m.vb[mes],$A30
)</f>
        <v>0</v>
      </c>
      <c r="CL30" s="123">
        <f ca="1">SUMIFS(
  m.vb[valor],
  m.vb[nucleo],$CB$1,
  m.vb[variavel],CL$7,
  m.vb[mes],$A30
)</f>
        <v>0</v>
      </c>
      <c r="CM30" s="124">
        <f ca="1">SUMIFS(
  m.vb[valor],
  m.vb[nucleo],$CB$1,
  m.vb[variavel],CM$7,
  m.vb[mes],$A30
)</f>
        <v>0</v>
      </c>
      <c r="CN30" s="122">
        <f>COUNTIFS(
    tb_estq[empresa], CN$6,
    tb_estq[Data da venda / reserva], "&gt;=" &amp; $A30,
    tb_estq[Data da venda / reserva], "&lt;"  &amp; EOMONTH($A30,0) + 1
)</f>
        <v>0</v>
      </c>
      <c r="CO30" s="123">
        <f ca="1">SUMIFS(tb_rec_uni[2023-04-01],
INDIRECT("tb_rec_uni[natureza]"),"pro.soluto",
INDIRECT("tb_rec_uni[empresa]"),CO$6)</f>
        <v>0</v>
      </c>
      <c r="CP30" s="123">
        <f ca="1">SUMIFS(tb_rec_uni[2023-04-01],
INDIRECT("tb_rec_uni[natureza]"),"repasse.cef.obra",
INDIRECT("tb_rec_uni[empresa]"),CP$6)</f>
        <v>0</v>
      </c>
      <c r="CQ30" s="123">
        <f ca="1">SUMIFS(tb_rec_uni[2023-04-01],
INDIRECT("tb_rec_uni[natureza]"),"repasse.cef.terreno",
INDIRECT("tb_rec_uni[empresa]"),CQ$6)</f>
        <v>0</v>
      </c>
      <c r="CR30" s="123">
        <v>0</v>
      </c>
      <c r="CS30" s="123">
        <f ca="1">SUMIFS(tb_rec_uni[2023-04-01],
INDIRECT("tb_rec_uni[natureza]"),"taxa.extra",
INDIRECT("tb_rec_uni[empresa]"),CS$6)</f>
        <v>0</v>
      </c>
      <c r="CT30" s="111"/>
      <c r="CU30" s="123">
        <f ca="1">SUMIFS(
  m.vb[valor],
  m.vb[nucleo],$CN$1,
  m.vb[variavel],CU$7,
  m.vb[mes],$A30
)</f>
        <v>0</v>
      </c>
      <c r="CV30" s="123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3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3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5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21">
        <v>45047</v>
      </c>
      <c r="B31" s="122">
        <f>COUNTIFS(
    tb_estq[empresa], B$6,
    tb_estq[Data da venda / reserva], "&gt;=" &amp; $A31,
    tb_estq[Data da venda / reserva], "&lt;"  &amp; EOMONTH($A31,0) + 1
)</f>
        <v>0</v>
      </c>
      <c r="C31" s="123">
        <f ca="1">SUMIFS(tb_rec_uni[2023-05-01],
INDIRECT("tb_rec_uni[natureza]"),"pro.soluto",
INDIRECT("tb_rec_uni[empresa]"),C$6)</f>
        <v>0</v>
      </c>
      <c r="D31" s="123">
        <f ca="1">SUMIFS(tb_rec_uni[2023-05-01],
INDIRECT("tb_rec_uni[natureza]"),"repasse.cef.obra",
INDIRECT("tb_rec_uni[empresa]"),D$6)</f>
        <v>0</v>
      </c>
      <c r="E31" s="123">
        <f ca="1">SUMIFS(tb_rec_uni[2023-05-01],
INDIRECT("tb_rec_uni[natureza]"),"repasse.cef.terreno",
INDIRECT("tb_rec_uni[empresa]"),E$6)</f>
        <v>0</v>
      </c>
      <c r="F31" s="123">
        <v>0</v>
      </c>
      <c r="G31" s="123">
        <f ca="1">SUMIFS(tb_rec_uni[2023-05-01],
INDIRECT("tb_rec_uni[natureza]"),"taxa.extra",
INDIRECT("tb_rec_uni[empresa]"),G$6)</f>
        <v>0</v>
      </c>
      <c r="H31" s="111"/>
      <c r="I31" s="123">
        <f ca="1">SUMIFS(
  m.vb[valor],
  m.vb[nucleo],$B$1,
  m.vb[variavel],I$7,
  m.vb[mes],$A31
)</f>
        <v>0</v>
      </c>
      <c r="J31" s="123">
        <f ca="1">SUMIFS(
  m.vb[valor],
  m.vb[nucleo],$B$1,
  m.vb[variavel],J$7,
  m.vb[mes],$A31
)</f>
        <v>0</v>
      </c>
      <c r="K31" s="123">
        <f ca="1">SUMIFS(
  m.vb[valor],
  m.vb[nucleo],$B$1,
  m.vb[variavel],K$7,
  m.vb[mes],$A31
)</f>
        <v>0</v>
      </c>
      <c r="L31" s="123">
        <f ca="1">SUMIFS(
  m.vb[valor],
  m.vb[nucleo],$B$1,
  m.vb[variavel],L$7,
  m.vb[mes],$A31
)</f>
        <v>0</v>
      </c>
      <c r="M31" s="124">
        <f ca="1">SUMIFS(
  m.vb[valor],
  m.vb[nucleo],$B$1,
  m.vb[variavel],M$7,
  m.vb[mes],$A31
)</f>
        <v>0</v>
      </c>
      <c r="N31" s="122">
        <f>COUNTIFS(
    tb_estq[empresa], N$6,
    tb_estq[Data da venda / reserva], "&gt;=" &amp; $A31,
    tb_estq[Data da venda / reserva], "&lt;"  &amp; EOMONTH($A31,0) + 1
)</f>
        <v>0</v>
      </c>
      <c r="O31" s="123">
        <f ca="1">SUMIFS(tb_rec_uni[2023-05-01],
INDIRECT("tb_rec_uni[natureza]"),"pro.soluto",
INDIRECT("tb_rec_uni[empresa]"),O$6)</f>
        <v>0</v>
      </c>
      <c r="P31" s="123">
        <f ca="1">SUMIFS(tb_rec_uni[2023-05-01],
INDIRECT("tb_rec_uni[natureza]"),"repasse.cef.obra",
INDIRECT("tb_rec_uni[empresa]"),P$6)</f>
        <v>0</v>
      </c>
      <c r="Q31" s="123">
        <f ca="1">SUMIFS(tb_rec_uni[2023-05-01],
INDIRECT("tb_rec_uni[natureza]"),"repasse.cef.terreno",
INDIRECT("tb_rec_uni[empresa]"),Q$6)</f>
        <v>0</v>
      </c>
      <c r="R31" s="123">
        <v>0</v>
      </c>
      <c r="S31" s="123">
        <f ca="1">SUMIFS(tb_rec_uni[2023-05-01],
INDIRECT("tb_rec_uni[natureza]"),"taxa.extra",
INDIRECT("tb_rec_uni[empresa]"),S$6)</f>
        <v>0</v>
      </c>
      <c r="T31" s="111"/>
      <c r="U31" s="123">
        <f ca="1">SUMIFS(
  m.vb[valor],
  m.vb[nucleo],$N$1,
  m.vb[variavel],U$7,
  m.vb[mes],$A31
)</f>
        <v>0</v>
      </c>
      <c r="V31" s="123">
        <f ca="1">SUMIFS(
  m.vb[valor],
  m.vb[nucleo],$N$1,
  m.vb[variavel],V$7,
  m.vb[mes],$A31
)</f>
        <v>0</v>
      </c>
      <c r="W31" s="123">
        <f ca="1">SUMIFS(
  m.vb[valor],
  m.vb[nucleo],$N$1,
  m.vb[variavel],W$7,
  m.vb[mes],$A31
)</f>
        <v>0</v>
      </c>
      <c r="X31" s="123">
        <f ca="1">SUMIFS(
  m.vb[valor],
  m.vb[nucleo],$N$1,
  m.vb[variavel],X$7,
  m.vb[mes],$A31
)</f>
        <v>0</v>
      </c>
      <c r="Y31" s="124">
        <f ca="1">SUMIFS(
  m.vb[valor],
  m.vb[nucleo],$N$1,
  m.vb[variavel],Y$7,
  m.vb[mes],$A31
)</f>
        <v>0</v>
      </c>
      <c r="Z31" s="122">
        <f>COUNTIFS(
    tb_estq[empresa], Z$6,
    tb_estq[Data da venda / reserva], "&gt;=" &amp; $A31,
    tb_estq[Data da venda / reserva], "&lt;"  &amp; EOMONTH($A31,0) + 1
)</f>
        <v>0</v>
      </c>
      <c r="AA31" s="123">
        <f ca="1">SUMIFS(tb_rec_uni[2023-05-01],
INDIRECT("tb_rec_uni[natureza]"),"pro.soluto",
INDIRECT("tb_rec_uni[empresa]"),AA$6)</f>
        <v>0</v>
      </c>
      <c r="AB31" s="123">
        <f ca="1">SUMIFS(tb_rec_uni[2023-05-01],
INDIRECT("tb_rec_uni[natureza]"),"parcela.fin.total.ik",
INDIRECT("tb_rec_uni[empresa]"),AB$6)</f>
        <v>0</v>
      </c>
      <c r="AC31" s="123">
        <f ca="1">SUMIFS(tb_rec_uni[2023-05-01],
INDIRECT("tb_rec_uni[natureza]"),"taxa.extra",
INDIRECT("tb_rec_uni[empresa]"),AC$6)</f>
        <v>0</v>
      </c>
      <c r="AD31" s="111"/>
      <c r="AE31" s="123">
        <f ca="1">SUMIFS(
  m.vb[valor],
  m.vb[nucleo],$Z$1,
  m.vb[variavel],AE$7,
  m.vb[mes],$A31
)</f>
        <v>0</v>
      </c>
      <c r="AF31" s="123">
        <f ca="1">SUMIFS(
  m.vb[valor],
  m.vb[nucleo],$Z$1,
  m.vb[variavel],AF$7,
  m.vb[mes],$A31
)</f>
        <v>0</v>
      </c>
      <c r="AG31" s="123">
        <f ca="1">SUMIFS(
  m.vb[valor],
  m.vb[nucleo],$Z$1,
  m.vb[variavel],AG$7,
  m.vb[mes],$A31
)</f>
        <v>0</v>
      </c>
      <c r="AH31" s="123">
        <f ca="1">SUMIFS(
  m.vb[valor],
  m.vb[nucleo],$Z$1,
  m.vb[variavel],AH$7,
  m.vb[mes],$A31
)</f>
        <v>0</v>
      </c>
      <c r="AI31" s="124">
        <f ca="1">SUMIFS(
  m.vb[valor],
  m.vb[nucleo],$Z$1,
  m.vb[variavel],AI$7,
  m.vb[mes],$A31
)</f>
        <v>0</v>
      </c>
      <c r="AJ31" s="122">
        <f>COUNTIFS(
    tb_estq[empresa], AJ$6,
    tb_estq[Data da venda / reserva], "&gt;=" &amp; $A31,
    tb_estq[Data da venda / reserva], "&lt;"  &amp; EOMONTH($A31,0) + 1
)</f>
        <v>0</v>
      </c>
      <c r="AK31" s="123">
        <f ca="1">SUMIFS(tb_rec_uni[2023-05-01],
INDIRECT("tb_rec_uni[natureza]"),"pro.soluto",
INDIRECT("tb_rec_uni[empresa]"),AK$6)</f>
        <v>0</v>
      </c>
      <c r="AL31" s="123">
        <f ca="1">SUMIFS(tb_rec_uni[2023-05-01],
INDIRECT("tb_rec_uni[natureza]"),"repasse.cef.obra",
INDIRECT("tb_rec_uni[empresa]"),AL$6)</f>
        <v>0</v>
      </c>
      <c r="AM31" s="123">
        <f ca="1">SUMIFS(tb_rec_uni[2023-05-01],
INDIRECT("tb_rec_uni[natureza]"),"repasse.cef.terreno",
INDIRECT("tb_rec_uni[empresa]"),AM$6)</f>
        <v>0</v>
      </c>
      <c r="AN31" s="123">
        <v>0</v>
      </c>
      <c r="AO31" s="123">
        <f ca="1">SUMIFS(tb_rec_uni[2023-05-01],
INDIRECT("tb_rec_uni[natureza]"),"taxa.extra",
INDIRECT("tb_rec_uni[empresa]"),AO$6)</f>
        <v>0</v>
      </c>
      <c r="AP31" s="111"/>
      <c r="AQ31" s="123">
        <f ca="1">SUMIFS(
  m.vb[valor],
  m.vb[nucleo],$AJ$1,
  m.vb[variavel],AQ$7,
  m.vb[mes],$A31
)</f>
        <v>0</v>
      </c>
      <c r="AR31" s="123">
        <f ca="1">SUMIFS(
  m.vb[valor],
  m.vb[nucleo],$AJ$1,
  m.vb[variavel],AR$7,
  m.vb[mes],$A31
)</f>
        <v>0</v>
      </c>
      <c r="AS31" s="123">
        <f ca="1">SUMIFS(
  m.vb[valor],
  m.vb[nucleo],$AJ$1,
  m.vb[variavel],AS$7,
  m.vb[mes],$A31
)</f>
        <v>0</v>
      </c>
      <c r="AT31" s="123">
        <f ca="1">SUMIFS(
  m.vb[valor],
  m.vb[nucleo],$AJ$1,
  m.vb[variavel],AT$7,
  m.vb[mes],$A31
)</f>
        <v>0</v>
      </c>
      <c r="AU31" s="124">
        <f ca="1">SUMIFS(
  m.vb[valor],
  m.vb[nucleo],$AJ$1,
  m.vb[variavel],AU$7,
  m.vb[mes],$A31
)</f>
        <v>0</v>
      </c>
      <c r="AV31" s="122">
        <f>COUNTIFS(
    tb_estq[empresa], AV$6,
    tb_estq[Data da venda / reserva], "&gt;=" &amp; $A31,
    tb_estq[Data da venda / reserva], "&lt;"  &amp; EOMONTH($A31,0) + 1
)</f>
        <v>0</v>
      </c>
      <c r="AW31" s="123">
        <f ca="1">SUMIFS(tb_rec_uni[2023-05-01],
INDIRECT("tb_rec_uni[natureza]"),"pro.soluto",
INDIRECT("tb_rec_uni[empresa]"),AW$6)</f>
        <v>0</v>
      </c>
      <c r="AX31" s="123">
        <f ca="1">SUMIFS(tb_rec_uni[2023-05-01],
INDIRECT("tb_rec_uni[natureza]"),"repasse.cef.obra",
INDIRECT("tb_rec_uni[empresa]"),AX$6)</f>
        <v>0</v>
      </c>
      <c r="AY31" s="123">
        <f ca="1">SUMIFS(tb_rec_uni[2023-05-01],
INDIRECT("tb_rec_uni[natureza]"),"repasse.cef.terreno",
INDIRECT("tb_rec_uni[empresa]"),AY$6)</f>
        <v>0</v>
      </c>
      <c r="AZ31" s="123">
        <v>0</v>
      </c>
      <c r="BA31" s="123">
        <f ca="1">SUMIFS(tb_rec_uni[2023-05-01],
INDIRECT("tb_rec_uni[natureza]"),"taxa.extra",
INDIRECT("tb_rec_uni[empresa]"),BA$6)</f>
        <v>0</v>
      </c>
      <c r="BB31" s="111"/>
      <c r="BC31" s="123">
        <f ca="1">SUMIFS(
  m.vb[valor],
  m.vb[nucleo],$AV$1,
  m.vb[variavel],BC$7,
  m.vb[mes],$A31
)</f>
        <v>0</v>
      </c>
      <c r="BD31" s="123">
        <f ca="1">SUMIFS(
  m.vb[valor],
  m.vb[nucleo],$AV$1,
  m.vb[variavel],BD$7,
  m.vb[mes],$A31
)</f>
        <v>0</v>
      </c>
      <c r="BE31" s="123">
        <f ca="1">SUMIFS(
  m.vb[valor],
  m.vb[nucleo],$AV$1,
  m.vb[variavel],BE$7,
  m.vb[mes],$A31
)</f>
        <v>0</v>
      </c>
      <c r="BF31" s="123">
        <f ca="1">SUMIFS(
  m.vb[valor],
  m.vb[nucleo],$AV$1,
  m.vb[variavel],BF$7,
  m.vb[mes],$A31
)</f>
        <v>0</v>
      </c>
      <c r="BG31" s="124">
        <f ca="1">SUMIFS(
  m.vb[valor],
  m.vb[nucleo],$AV$1,
  m.vb[variavel],BG$7,
  m.vb[mes],$A31
)</f>
        <v>0</v>
      </c>
      <c r="BH31" s="122">
        <f>COUNTIFS(
    tb_estq[empresa], BH$6,
    tb_estq[Data da venda / reserva], "&gt;=" &amp; $A31,
    tb_estq[Data da venda / reserva], "&lt;"  &amp; EOMONTH($A31,0) + 1
)</f>
        <v>0</v>
      </c>
      <c r="BI31" s="123">
        <f ca="1">SUMIFS(tb_rec_uni[2023-05-01],
INDIRECT("tb_rec_uni[natureza]"),"pro.soluto",
INDIRECT("tb_rec_uni[empresa]"),BI$6)</f>
        <v>0</v>
      </c>
      <c r="BJ31" s="111">
        <v>0</v>
      </c>
      <c r="BK31" s="123">
        <f ca="1">SUMIFS(tb_rec_uni[2023-05-01],
INDIRECT("tb_rec_uni[natureza]"),"taxa.extra",
INDIRECT("tb_rec_uni[empresa]"),BK$6)</f>
        <v>0</v>
      </c>
      <c r="BL31" s="111"/>
      <c r="BM31" s="123">
        <f ca="1">SUMIFS(
  m.vb[valor],
  m.vb[nucleo],$BH$1,
  m.vb[variavel],BM$7,
  m.vb[mes],$A31
)</f>
        <v>0</v>
      </c>
      <c r="BN31" s="123">
        <f ca="1">SUMIFS(
  m.vb[valor],
  m.vb[nucleo],$BH$1,
  m.vb[variavel],BN$7,
  m.vb[mes],$A31
)</f>
        <v>0</v>
      </c>
      <c r="BO31" s="123">
        <f ca="1">SUMIFS(
  m.vb[valor],
  m.vb[nucleo],$BH$1,
  m.vb[variavel],BO$7,
  m.vb[mes],$A31
)</f>
        <v>0</v>
      </c>
      <c r="BP31" s="123">
        <f ca="1">SUMIFS(
  m.vb[valor],
  m.vb[nucleo],$BH$1,
  m.vb[variavel],BP$7,
  m.vb[mes],$A31
)</f>
        <v>0</v>
      </c>
      <c r="BQ31" s="124">
        <f ca="1">SUMIFS(
  m.vb[valor],
  m.vb[nucleo],$BH$1,
  m.vb[variavel],BQ$7,
  m.vb[mes],$A31
)</f>
        <v>0</v>
      </c>
      <c r="BR31" s="122">
        <f>COUNTIFS(
    tb_estq[empresa], BR$6,
    tb_estq[Data da venda / reserva], "&gt;=" &amp; $A31,
    tb_estq[Data da venda / reserva], "&lt;"  &amp; EOMONTH($A31,0) + 1
)</f>
        <v>0</v>
      </c>
      <c r="BS31" s="123">
        <f ca="1">SUMIFS(tb_rec_uni[2023-05-01],
INDIRECT("tb_rec_uni[natureza]"),"pro.soluto",
INDIRECT("tb_rec_uni[empresa]"),BS$6)</f>
        <v>0</v>
      </c>
      <c r="BT31" s="123">
        <f ca="1">SUMIFS(tb_rec_uni[2023-05-01],
INDIRECT("tb_rec_uni[natureza]"),"parcela.fin.total.ik",
INDIRECT("tb_rec_uni[empresa]"),BT$6)</f>
        <v>0</v>
      </c>
      <c r="BU31" s="123">
        <f ca="1">SUMIFS(tb_rec_uni[2023-05-01],
INDIRECT("tb_rec_uni[natureza]"),"taxa.extra",
INDIRECT("tb_rec_uni[empresa]"),BU$6)</f>
        <v>0</v>
      </c>
      <c r="BV31" s="111"/>
      <c r="BW31" s="123">
        <f ca="1">SUMIFS(
  m.vb[valor],
  m.vb[nucleo],$BR$1,
  m.vb[variavel],BW$7,
  m.vb[mes],$A31
)</f>
        <v>0</v>
      </c>
      <c r="BX31" s="123">
        <f ca="1">SUMIFS(
  m.vb[valor],
  m.vb[nucleo],$BR$1,
  m.vb[variavel],BX$7,
  m.vb[mes],$A31
)</f>
        <v>0</v>
      </c>
      <c r="BY31" s="123">
        <f ca="1">SUMIFS(
  m.vb[valor],
  m.vb[nucleo],$BR$1,
  m.vb[variavel],BY$7,
  m.vb[mes],$A31
)</f>
        <v>0</v>
      </c>
      <c r="BZ31" s="123">
        <f ca="1">SUMIFS(
  m.vb[valor],
  m.vb[nucleo],$BR$1,
  m.vb[variavel],BZ$7,
  m.vb[mes],$A31
)</f>
        <v>0</v>
      </c>
      <c r="CA31" s="124">
        <f ca="1">SUMIFS(
  m.vb[valor],
  m.vb[nucleo],$BR$1,
  m.vb[variavel],CA$7,
  m.vb[mes],$A31
)</f>
        <v>0</v>
      </c>
      <c r="CB31" s="122">
        <f>COUNTIFS(
    tb_estq[empresa], CB$6,
    tb_estq[Data da venda / reserva], "&gt;=" &amp; $A31,
    tb_estq[Data da venda / reserva], "&lt;"  &amp; EOMONTH($A31,0) + 1
)</f>
        <v>0</v>
      </c>
      <c r="CC31" s="123">
        <f ca="1">SUMIFS(tb_rec_uni[2023-05-01],
INDIRECT("tb_rec_uni[natureza]"),"pro.soluto",
INDIRECT("tb_rec_uni[empresa]"),CC$6)</f>
        <v>0</v>
      </c>
      <c r="CD31" s="123">
        <f ca="1">SUMIFS(tb_rec_uni[2023-05-01],
INDIRECT("tb_rec_uni[natureza]"),"repasse.cef.obra",
INDIRECT("tb_rec_uni[empresa]"),CD$6)</f>
        <v>0</v>
      </c>
      <c r="CE31" s="123">
        <f ca="1">SUMIFS(tb_rec_uni[2023-05-01],
INDIRECT("tb_rec_uni[natureza]"),"repasse.cef.terreno",
INDIRECT("tb_rec_uni[empresa]"),CE$6)</f>
        <v>0</v>
      </c>
      <c r="CF31" s="123">
        <v>0</v>
      </c>
      <c r="CG31" s="123">
        <f ca="1">SUMIFS(tb_rec_uni[2023-05-01],
INDIRECT("tb_rec_uni[natureza]"),"taxa.extra",
INDIRECT("tb_rec_uni[empresa]"),CG$6)</f>
        <v>0</v>
      </c>
      <c r="CH31" s="111"/>
      <c r="CI31" s="123">
        <f ca="1">SUMIFS(
  m.vb[valor],
  m.vb[nucleo],$CB$1,
  m.vb[variavel],CI$7,
  m.vb[mes],$A31
)</f>
        <v>0</v>
      </c>
      <c r="CJ31" s="123">
        <f ca="1">SUMIFS(
  m.vb[valor],
  m.vb[nucleo],$CB$1,
  m.vb[variavel],CJ$7,
  m.vb[mes],$A31
)</f>
        <v>0</v>
      </c>
      <c r="CK31" s="123">
        <f ca="1">SUMIFS(
  m.vb[valor],
  m.vb[nucleo],$CB$1,
  m.vb[variavel],CK$7,
  m.vb[mes],$A31
)</f>
        <v>0</v>
      </c>
      <c r="CL31" s="123">
        <f ca="1">SUMIFS(
  m.vb[valor],
  m.vb[nucleo],$CB$1,
  m.vb[variavel],CL$7,
  m.vb[mes],$A31
)</f>
        <v>0</v>
      </c>
      <c r="CM31" s="124">
        <f ca="1">SUMIFS(
  m.vb[valor],
  m.vb[nucleo],$CB$1,
  m.vb[variavel],CM$7,
  m.vb[mes],$A31
)</f>
        <v>0</v>
      </c>
      <c r="CN31" s="122">
        <f>COUNTIFS(
    tb_estq[empresa], CN$6,
    tb_estq[Data da venda / reserva], "&gt;=" &amp; $A31,
    tb_estq[Data da venda / reserva], "&lt;"  &amp; EOMONTH($A31,0) + 1
)</f>
        <v>0</v>
      </c>
      <c r="CO31" s="123">
        <f ca="1">SUMIFS(tb_rec_uni[2023-05-01],
INDIRECT("tb_rec_uni[natureza]"),"pro.soluto",
INDIRECT("tb_rec_uni[empresa]"),CO$6)</f>
        <v>0</v>
      </c>
      <c r="CP31" s="123">
        <f ca="1">SUMIFS(tb_rec_uni[2023-05-01],
INDIRECT("tb_rec_uni[natureza]"),"repasse.cef.obra",
INDIRECT("tb_rec_uni[empresa]"),CP$6)</f>
        <v>0</v>
      </c>
      <c r="CQ31" s="123">
        <f ca="1">SUMIFS(tb_rec_uni[2023-05-01],
INDIRECT("tb_rec_uni[natureza]"),"repasse.cef.terreno",
INDIRECT("tb_rec_uni[empresa]"),CQ$6)</f>
        <v>0</v>
      </c>
      <c r="CR31" s="123">
        <v>0</v>
      </c>
      <c r="CS31" s="123">
        <f ca="1">SUMIFS(tb_rec_uni[2023-05-01],
INDIRECT("tb_rec_uni[natureza]"),"taxa.extra",
INDIRECT("tb_rec_uni[empresa]"),CS$6)</f>
        <v>0</v>
      </c>
      <c r="CT31" s="111"/>
      <c r="CU31" s="123">
        <f ca="1">SUMIFS(
  m.vb[valor],
  m.vb[nucleo],$CN$1,
  m.vb[variavel],CU$7,
  m.vb[mes],$A31
)</f>
        <v>0</v>
      </c>
      <c r="CV31" s="123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3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3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5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21">
        <v>45078</v>
      </c>
      <c r="B32" s="122">
        <f>COUNTIFS(
    tb_estq[empresa], B$6,
    tb_estq[Data da venda / reserva], "&gt;=" &amp; $A32,
    tb_estq[Data da venda / reserva], "&lt;"  &amp; EOMONTH($A32,0) + 1
)</f>
        <v>0</v>
      </c>
      <c r="C32" s="123">
        <f ca="1">SUMIFS(tb_rec_uni[2023-06-01],
INDIRECT("tb_rec_uni[natureza]"),"pro.soluto",
INDIRECT("tb_rec_uni[empresa]"),C$6)</f>
        <v>0</v>
      </c>
      <c r="D32" s="123">
        <f ca="1">SUMIFS(tb_rec_uni[2023-06-01],
INDIRECT("tb_rec_uni[natureza]"),"repasse.cef.obra",
INDIRECT("tb_rec_uni[empresa]"),D$6)</f>
        <v>0</v>
      </c>
      <c r="E32" s="123">
        <f ca="1">SUMIFS(tb_rec_uni[2023-06-01],
INDIRECT("tb_rec_uni[natureza]"),"repasse.cef.terreno",
INDIRECT("tb_rec_uni[empresa]"),E$6)</f>
        <v>0</v>
      </c>
      <c r="F32" s="123">
        <v>0</v>
      </c>
      <c r="G32" s="123">
        <f ca="1">SUMIFS(tb_rec_uni[2023-06-01],
INDIRECT("tb_rec_uni[natureza]"),"taxa.extra",
INDIRECT("tb_rec_uni[empresa]"),G$6)</f>
        <v>0</v>
      </c>
      <c r="H32" s="111"/>
      <c r="I32" s="123">
        <f ca="1">SUMIFS(
  m.vb[valor],
  m.vb[nucleo],$B$1,
  m.vb[variavel],I$7,
  m.vb[mes],$A32
)</f>
        <v>0</v>
      </c>
      <c r="J32" s="123">
        <f ca="1">SUMIFS(
  m.vb[valor],
  m.vb[nucleo],$B$1,
  m.vb[variavel],J$7,
  m.vb[mes],$A32
)</f>
        <v>0</v>
      </c>
      <c r="K32" s="123">
        <f ca="1">SUMIFS(
  m.vb[valor],
  m.vb[nucleo],$B$1,
  m.vb[variavel],K$7,
  m.vb[mes],$A32
)</f>
        <v>0</v>
      </c>
      <c r="L32" s="123">
        <f ca="1">SUMIFS(
  m.vb[valor],
  m.vb[nucleo],$B$1,
  m.vb[variavel],L$7,
  m.vb[mes],$A32
)</f>
        <v>0</v>
      </c>
      <c r="M32" s="124">
        <f ca="1">SUMIFS(
  m.vb[valor],
  m.vb[nucleo],$B$1,
  m.vb[variavel],M$7,
  m.vb[mes],$A32
)</f>
        <v>0</v>
      </c>
      <c r="N32" s="122">
        <f>COUNTIFS(
    tb_estq[empresa], N$6,
    tb_estq[Data da venda / reserva], "&gt;=" &amp; $A32,
    tb_estq[Data da venda / reserva], "&lt;"  &amp; EOMONTH($A32,0) + 1
)</f>
        <v>0</v>
      </c>
      <c r="O32" s="123">
        <f ca="1">SUMIFS(tb_rec_uni[2023-06-01],
INDIRECT("tb_rec_uni[natureza]"),"pro.soluto",
INDIRECT("tb_rec_uni[empresa]"),O$6)</f>
        <v>0</v>
      </c>
      <c r="P32" s="123">
        <f ca="1">SUMIFS(tb_rec_uni[2023-06-01],
INDIRECT("tb_rec_uni[natureza]"),"repasse.cef.obra",
INDIRECT("tb_rec_uni[empresa]"),P$6)</f>
        <v>0</v>
      </c>
      <c r="Q32" s="123">
        <f ca="1">SUMIFS(tb_rec_uni[2023-06-01],
INDIRECT("tb_rec_uni[natureza]"),"repasse.cef.terreno",
INDIRECT("tb_rec_uni[empresa]"),Q$6)</f>
        <v>0</v>
      </c>
      <c r="R32" s="123">
        <v>0</v>
      </c>
      <c r="S32" s="123">
        <f ca="1">SUMIFS(tb_rec_uni[2023-06-01],
INDIRECT("tb_rec_uni[natureza]"),"taxa.extra",
INDIRECT("tb_rec_uni[empresa]"),S$6)</f>
        <v>0</v>
      </c>
      <c r="T32" s="111"/>
      <c r="U32" s="123">
        <f ca="1">SUMIFS(
  m.vb[valor],
  m.vb[nucleo],$N$1,
  m.vb[variavel],U$7,
  m.vb[mes],$A32
)</f>
        <v>0</v>
      </c>
      <c r="V32" s="123">
        <f ca="1">SUMIFS(
  m.vb[valor],
  m.vb[nucleo],$N$1,
  m.vb[variavel],V$7,
  m.vb[mes],$A32
)</f>
        <v>0</v>
      </c>
      <c r="W32" s="123">
        <f ca="1">SUMIFS(
  m.vb[valor],
  m.vb[nucleo],$N$1,
  m.vb[variavel],W$7,
  m.vb[mes],$A32
)</f>
        <v>0</v>
      </c>
      <c r="X32" s="123">
        <f ca="1">SUMIFS(
  m.vb[valor],
  m.vb[nucleo],$N$1,
  m.vb[variavel],X$7,
  m.vb[mes],$A32
)</f>
        <v>0</v>
      </c>
      <c r="Y32" s="124">
        <f ca="1">SUMIFS(
  m.vb[valor],
  m.vb[nucleo],$N$1,
  m.vb[variavel],Y$7,
  m.vb[mes],$A32
)</f>
        <v>0</v>
      </c>
      <c r="Z32" s="122">
        <f>COUNTIFS(
    tb_estq[empresa], Z$6,
    tb_estq[Data da venda / reserva], "&gt;=" &amp; $A32,
    tb_estq[Data da venda / reserva], "&lt;"  &amp; EOMONTH($A32,0) + 1
)</f>
        <v>0</v>
      </c>
      <c r="AA32" s="123">
        <f ca="1">SUMIFS(tb_rec_uni[2023-06-01],
INDIRECT("tb_rec_uni[natureza]"),"pro.soluto",
INDIRECT("tb_rec_uni[empresa]"),AA$6)</f>
        <v>0</v>
      </c>
      <c r="AB32" s="123">
        <f ca="1">SUMIFS(tb_rec_uni[2023-06-01],
INDIRECT("tb_rec_uni[natureza]"),"parcela.fin.total.ik",
INDIRECT("tb_rec_uni[empresa]"),AB$6)</f>
        <v>0</v>
      </c>
      <c r="AC32" s="123">
        <f ca="1">SUMIFS(tb_rec_uni[2023-06-01],
INDIRECT("tb_rec_uni[natureza]"),"taxa.extra",
INDIRECT("tb_rec_uni[empresa]"),AC$6)</f>
        <v>0</v>
      </c>
      <c r="AD32" s="111"/>
      <c r="AE32" s="123">
        <f ca="1">SUMIFS(
  m.vb[valor],
  m.vb[nucleo],$Z$1,
  m.vb[variavel],AE$7,
  m.vb[mes],$A32
)</f>
        <v>0</v>
      </c>
      <c r="AF32" s="123">
        <f ca="1">SUMIFS(
  m.vb[valor],
  m.vb[nucleo],$Z$1,
  m.vb[variavel],AF$7,
  m.vb[mes],$A32
)</f>
        <v>0</v>
      </c>
      <c r="AG32" s="123">
        <f ca="1">SUMIFS(
  m.vb[valor],
  m.vb[nucleo],$Z$1,
  m.vb[variavel],AG$7,
  m.vb[mes],$A32
)</f>
        <v>0</v>
      </c>
      <c r="AH32" s="123">
        <f ca="1">SUMIFS(
  m.vb[valor],
  m.vb[nucleo],$Z$1,
  m.vb[variavel],AH$7,
  m.vb[mes],$A32
)</f>
        <v>0</v>
      </c>
      <c r="AI32" s="124">
        <f ca="1">SUMIFS(
  m.vb[valor],
  m.vb[nucleo],$Z$1,
  m.vb[variavel],AI$7,
  m.vb[mes],$A32
)</f>
        <v>0</v>
      </c>
      <c r="AJ32" s="122">
        <f>COUNTIFS(
    tb_estq[empresa], AJ$6,
    tb_estq[Data da venda / reserva], "&gt;=" &amp; $A32,
    tb_estq[Data da venda / reserva], "&lt;"  &amp; EOMONTH($A32,0) + 1
)</f>
        <v>0</v>
      </c>
      <c r="AK32" s="123">
        <f ca="1">SUMIFS(tb_rec_uni[2023-06-01],
INDIRECT("tb_rec_uni[natureza]"),"pro.soluto",
INDIRECT("tb_rec_uni[empresa]"),AK$6)</f>
        <v>0</v>
      </c>
      <c r="AL32" s="123">
        <f ca="1">SUMIFS(tb_rec_uni[2023-06-01],
INDIRECT("tb_rec_uni[natureza]"),"repasse.cef.obra",
INDIRECT("tb_rec_uni[empresa]"),AL$6)</f>
        <v>0</v>
      </c>
      <c r="AM32" s="123">
        <f ca="1">SUMIFS(tb_rec_uni[2023-06-01],
INDIRECT("tb_rec_uni[natureza]"),"repasse.cef.terreno",
INDIRECT("tb_rec_uni[empresa]"),AM$6)</f>
        <v>0</v>
      </c>
      <c r="AN32" s="123">
        <v>0</v>
      </c>
      <c r="AO32" s="123">
        <f ca="1">SUMIFS(tb_rec_uni[2023-06-01],
INDIRECT("tb_rec_uni[natureza]"),"taxa.extra",
INDIRECT("tb_rec_uni[empresa]"),AO$6)</f>
        <v>0</v>
      </c>
      <c r="AP32" s="111"/>
      <c r="AQ32" s="123">
        <f ca="1">SUMIFS(
  m.vb[valor],
  m.vb[nucleo],$AJ$1,
  m.vb[variavel],AQ$7,
  m.vb[mes],$A32
)</f>
        <v>0</v>
      </c>
      <c r="AR32" s="123">
        <f ca="1">SUMIFS(
  m.vb[valor],
  m.vb[nucleo],$AJ$1,
  m.vb[variavel],AR$7,
  m.vb[mes],$A32
)</f>
        <v>0</v>
      </c>
      <c r="AS32" s="123">
        <f ca="1">SUMIFS(
  m.vb[valor],
  m.vb[nucleo],$AJ$1,
  m.vb[variavel],AS$7,
  m.vb[mes],$A32
)</f>
        <v>0</v>
      </c>
      <c r="AT32" s="123">
        <f ca="1">SUMIFS(
  m.vb[valor],
  m.vb[nucleo],$AJ$1,
  m.vb[variavel],AT$7,
  m.vb[mes],$A32
)</f>
        <v>0</v>
      </c>
      <c r="AU32" s="124">
        <f ca="1">SUMIFS(
  m.vb[valor],
  m.vb[nucleo],$AJ$1,
  m.vb[variavel],AU$7,
  m.vb[mes],$A32
)</f>
        <v>0</v>
      </c>
      <c r="AV32" s="122">
        <f>COUNTIFS(
    tb_estq[empresa], AV$6,
    tb_estq[Data da venda / reserva], "&gt;=" &amp; $A32,
    tb_estq[Data da venda / reserva], "&lt;"  &amp; EOMONTH($A32,0) + 1
)</f>
        <v>0</v>
      </c>
      <c r="AW32" s="123">
        <f ca="1">SUMIFS(tb_rec_uni[2023-06-01],
INDIRECT("tb_rec_uni[natureza]"),"pro.soluto",
INDIRECT("tb_rec_uni[empresa]"),AW$6)</f>
        <v>0</v>
      </c>
      <c r="AX32" s="123">
        <f ca="1">SUMIFS(tb_rec_uni[2023-06-01],
INDIRECT("tb_rec_uni[natureza]"),"repasse.cef.obra",
INDIRECT("tb_rec_uni[empresa]"),AX$6)</f>
        <v>0</v>
      </c>
      <c r="AY32" s="123">
        <f ca="1">SUMIFS(tb_rec_uni[2023-06-01],
INDIRECT("tb_rec_uni[natureza]"),"repasse.cef.terreno",
INDIRECT("tb_rec_uni[empresa]"),AY$6)</f>
        <v>0</v>
      </c>
      <c r="AZ32" s="123">
        <v>0</v>
      </c>
      <c r="BA32" s="123">
        <f ca="1">SUMIFS(tb_rec_uni[2023-06-01],
INDIRECT("tb_rec_uni[natureza]"),"taxa.extra",
INDIRECT("tb_rec_uni[empresa]"),BA$6)</f>
        <v>0</v>
      </c>
      <c r="BB32" s="111"/>
      <c r="BC32" s="123">
        <f ca="1">SUMIFS(
  m.vb[valor],
  m.vb[nucleo],$AV$1,
  m.vb[variavel],BC$7,
  m.vb[mes],$A32
)</f>
        <v>0</v>
      </c>
      <c r="BD32" s="123">
        <f ca="1">SUMIFS(
  m.vb[valor],
  m.vb[nucleo],$AV$1,
  m.vb[variavel],BD$7,
  m.vb[mes],$A32
)</f>
        <v>0</v>
      </c>
      <c r="BE32" s="123">
        <f ca="1">SUMIFS(
  m.vb[valor],
  m.vb[nucleo],$AV$1,
  m.vb[variavel],BE$7,
  m.vb[mes],$A32
)</f>
        <v>0</v>
      </c>
      <c r="BF32" s="123">
        <f ca="1">SUMIFS(
  m.vb[valor],
  m.vb[nucleo],$AV$1,
  m.vb[variavel],BF$7,
  m.vb[mes],$A32
)</f>
        <v>0</v>
      </c>
      <c r="BG32" s="124">
        <f ca="1">SUMIFS(
  m.vb[valor],
  m.vb[nucleo],$AV$1,
  m.vb[variavel],BG$7,
  m.vb[mes],$A32
)</f>
        <v>0</v>
      </c>
      <c r="BH32" s="122">
        <f>COUNTIFS(
    tb_estq[empresa], BH$6,
    tb_estq[Data da venda / reserva], "&gt;=" &amp; $A32,
    tb_estq[Data da venda / reserva], "&lt;"  &amp; EOMONTH($A32,0) + 1
)</f>
        <v>0</v>
      </c>
      <c r="BI32" s="123">
        <f ca="1">SUMIFS(tb_rec_uni[2023-06-01],
INDIRECT("tb_rec_uni[natureza]"),"pro.soluto",
INDIRECT("tb_rec_uni[empresa]"),BI$6)</f>
        <v>0</v>
      </c>
      <c r="BJ32" s="111">
        <v>0</v>
      </c>
      <c r="BK32" s="123">
        <f ca="1">SUMIFS(tb_rec_uni[2023-06-01],
INDIRECT("tb_rec_uni[natureza]"),"taxa.extra",
INDIRECT("tb_rec_uni[empresa]"),BK$6)</f>
        <v>0</v>
      </c>
      <c r="BL32" s="111"/>
      <c r="BM32" s="123">
        <f ca="1">SUMIFS(
  m.vb[valor],
  m.vb[nucleo],$BH$1,
  m.vb[variavel],BM$7,
  m.vb[mes],$A32
)</f>
        <v>0</v>
      </c>
      <c r="BN32" s="123">
        <f ca="1">SUMIFS(
  m.vb[valor],
  m.vb[nucleo],$BH$1,
  m.vb[variavel],BN$7,
  m.vb[mes],$A32
)</f>
        <v>0</v>
      </c>
      <c r="BO32" s="123">
        <f ca="1">SUMIFS(
  m.vb[valor],
  m.vb[nucleo],$BH$1,
  m.vb[variavel],BO$7,
  m.vb[mes],$A32
)</f>
        <v>0</v>
      </c>
      <c r="BP32" s="123">
        <f ca="1">SUMIFS(
  m.vb[valor],
  m.vb[nucleo],$BH$1,
  m.vb[variavel],BP$7,
  m.vb[mes],$A32
)</f>
        <v>0</v>
      </c>
      <c r="BQ32" s="124">
        <f ca="1">SUMIFS(
  m.vb[valor],
  m.vb[nucleo],$BH$1,
  m.vb[variavel],BQ$7,
  m.vb[mes],$A32
)</f>
        <v>0</v>
      </c>
      <c r="BR32" s="122">
        <f>COUNTIFS(
    tb_estq[empresa], BR$6,
    tb_estq[Data da venda / reserva], "&gt;=" &amp; $A32,
    tb_estq[Data da venda / reserva], "&lt;"  &amp; EOMONTH($A32,0) + 1
)</f>
        <v>0</v>
      </c>
      <c r="BS32" s="123">
        <f ca="1">SUMIFS(tb_rec_uni[2023-06-01],
INDIRECT("tb_rec_uni[natureza]"),"pro.soluto",
INDIRECT("tb_rec_uni[empresa]"),BS$6)</f>
        <v>0</v>
      </c>
      <c r="BT32" s="123">
        <f ca="1">SUMIFS(tb_rec_uni[2023-06-01],
INDIRECT("tb_rec_uni[natureza]"),"parcela.fin.total.ik",
INDIRECT("tb_rec_uni[empresa]"),BT$6)</f>
        <v>0</v>
      </c>
      <c r="BU32" s="123">
        <f ca="1">SUMIFS(tb_rec_uni[2023-06-01],
INDIRECT("tb_rec_uni[natureza]"),"taxa.extra",
INDIRECT("tb_rec_uni[empresa]"),BU$6)</f>
        <v>0</v>
      </c>
      <c r="BV32" s="111"/>
      <c r="BW32" s="123">
        <f ca="1">SUMIFS(
  m.vb[valor],
  m.vb[nucleo],$BR$1,
  m.vb[variavel],BW$7,
  m.vb[mes],$A32
)</f>
        <v>0</v>
      </c>
      <c r="BX32" s="123">
        <f ca="1">SUMIFS(
  m.vb[valor],
  m.vb[nucleo],$BR$1,
  m.vb[variavel],BX$7,
  m.vb[mes],$A32
)</f>
        <v>0</v>
      </c>
      <c r="BY32" s="123">
        <f ca="1">SUMIFS(
  m.vb[valor],
  m.vb[nucleo],$BR$1,
  m.vb[variavel],BY$7,
  m.vb[mes],$A32
)</f>
        <v>0</v>
      </c>
      <c r="BZ32" s="123">
        <f ca="1">SUMIFS(
  m.vb[valor],
  m.vb[nucleo],$BR$1,
  m.vb[variavel],BZ$7,
  m.vb[mes],$A32
)</f>
        <v>0</v>
      </c>
      <c r="CA32" s="124">
        <f ca="1">SUMIFS(
  m.vb[valor],
  m.vb[nucleo],$BR$1,
  m.vb[variavel],CA$7,
  m.vb[mes],$A32
)</f>
        <v>0</v>
      </c>
      <c r="CB32" s="122">
        <f>COUNTIFS(
    tb_estq[empresa], CB$6,
    tb_estq[Data da venda / reserva], "&gt;=" &amp; $A32,
    tb_estq[Data da venda / reserva], "&lt;"  &amp; EOMONTH($A32,0) + 1
)</f>
        <v>0</v>
      </c>
      <c r="CC32" s="123">
        <f ca="1">SUMIFS(tb_rec_uni[2023-06-01],
INDIRECT("tb_rec_uni[natureza]"),"pro.soluto",
INDIRECT("tb_rec_uni[empresa]"),CC$6)</f>
        <v>0</v>
      </c>
      <c r="CD32" s="123">
        <f ca="1">SUMIFS(tb_rec_uni[2023-06-01],
INDIRECT("tb_rec_uni[natureza]"),"repasse.cef.obra",
INDIRECT("tb_rec_uni[empresa]"),CD$6)</f>
        <v>0</v>
      </c>
      <c r="CE32" s="123">
        <f ca="1">SUMIFS(tb_rec_uni[2023-06-01],
INDIRECT("tb_rec_uni[natureza]"),"repasse.cef.terreno",
INDIRECT("tb_rec_uni[empresa]"),CE$6)</f>
        <v>0</v>
      </c>
      <c r="CF32" s="123">
        <v>0</v>
      </c>
      <c r="CG32" s="123">
        <f ca="1">SUMIFS(tb_rec_uni[2023-06-01],
INDIRECT("tb_rec_uni[natureza]"),"taxa.extra",
INDIRECT("tb_rec_uni[empresa]"),CG$6)</f>
        <v>0</v>
      </c>
      <c r="CH32" s="111"/>
      <c r="CI32" s="123">
        <f ca="1">SUMIFS(
  m.vb[valor],
  m.vb[nucleo],$CB$1,
  m.vb[variavel],CI$7,
  m.vb[mes],$A32
)</f>
        <v>0</v>
      </c>
      <c r="CJ32" s="123">
        <f ca="1">SUMIFS(
  m.vb[valor],
  m.vb[nucleo],$CB$1,
  m.vb[variavel],CJ$7,
  m.vb[mes],$A32
)</f>
        <v>0</v>
      </c>
      <c r="CK32" s="123">
        <f ca="1">SUMIFS(
  m.vb[valor],
  m.vb[nucleo],$CB$1,
  m.vb[variavel],CK$7,
  m.vb[mes],$A32
)</f>
        <v>0</v>
      </c>
      <c r="CL32" s="123">
        <f ca="1">SUMIFS(
  m.vb[valor],
  m.vb[nucleo],$CB$1,
  m.vb[variavel],CL$7,
  m.vb[mes],$A32
)</f>
        <v>0</v>
      </c>
      <c r="CM32" s="124">
        <f ca="1">SUMIFS(
  m.vb[valor],
  m.vb[nucleo],$CB$1,
  m.vb[variavel],CM$7,
  m.vb[mes],$A32
)</f>
        <v>0</v>
      </c>
      <c r="CN32" s="122">
        <f>COUNTIFS(
    tb_estq[empresa], CN$6,
    tb_estq[Data da venda / reserva], "&gt;=" &amp; $A32,
    tb_estq[Data da venda / reserva], "&lt;"  &amp; EOMONTH($A32,0) + 1
)</f>
        <v>0</v>
      </c>
      <c r="CO32" s="123">
        <f ca="1">SUMIFS(tb_rec_uni[2023-06-01],
INDIRECT("tb_rec_uni[natureza]"),"pro.soluto",
INDIRECT("tb_rec_uni[empresa]"),CO$6)</f>
        <v>0</v>
      </c>
      <c r="CP32" s="123">
        <f ca="1">SUMIFS(tb_rec_uni[2023-06-01],
INDIRECT("tb_rec_uni[natureza]"),"repasse.cef.obra",
INDIRECT("tb_rec_uni[empresa]"),CP$6)</f>
        <v>0</v>
      </c>
      <c r="CQ32" s="123">
        <f ca="1">SUMIFS(tb_rec_uni[2023-06-01],
INDIRECT("tb_rec_uni[natureza]"),"repasse.cef.terreno",
INDIRECT("tb_rec_uni[empresa]"),CQ$6)</f>
        <v>0</v>
      </c>
      <c r="CR32" s="123">
        <v>0</v>
      </c>
      <c r="CS32" s="123">
        <f ca="1">SUMIFS(tb_rec_uni[2023-06-01],
INDIRECT("tb_rec_uni[natureza]"),"taxa.extra",
INDIRECT("tb_rec_uni[empresa]"),CS$6)</f>
        <v>0</v>
      </c>
      <c r="CT32" s="111"/>
      <c r="CU32" s="123">
        <f ca="1">SUMIFS(
  m.vb[valor],
  m.vb[nucleo],$CN$1,
  m.vb[variavel],CU$7,
  m.vb[mes],$A32
)</f>
        <v>0</v>
      </c>
      <c r="CV32" s="123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3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3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5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21">
        <v>45108</v>
      </c>
      <c r="B33" s="122">
        <f>COUNTIFS(
    tb_estq[empresa], B$6,
    tb_estq[Data da venda / reserva], "&gt;=" &amp; $A33,
    tb_estq[Data da venda / reserva], "&lt;"  &amp; EOMONTH($A33,0) + 1
)</f>
        <v>0</v>
      </c>
      <c r="C33" s="123">
        <f ca="1">SUMIFS(tb_rec_uni[2023-07-01],
INDIRECT("tb_rec_uni[natureza]"),"pro.soluto",
INDIRECT("tb_rec_uni[empresa]"),C$6)</f>
        <v>0</v>
      </c>
      <c r="D33" s="123">
        <f ca="1">SUMIFS(tb_rec_uni[2023-07-01],
INDIRECT("tb_rec_uni[natureza]"),"repasse.cef.obra",
INDIRECT("tb_rec_uni[empresa]"),D$6)</f>
        <v>0</v>
      </c>
      <c r="E33" s="123">
        <f ca="1">SUMIFS(tb_rec_uni[2023-07-01],
INDIRECT("tb_rec_uni[natureza]"),"repasse.cef.terreno",
INDIRECT("tb_rec_uni[empresa]"),E$6)</f>
        <v>0</v>
      </c>
      <c r="F33" s="123">
        <v>0</v>
      </c>
      <c r="G33" s="123">
        <f ca="1">SUMIFS(tb_rec_uni[2023-07-01],
INDIRECT("tb_rec_uni[natureza]"),"taxa.extra",
INDIRECT("tb_rec_uni[empresa]"),G$6)</f>
        <v>0</v>
      </c>
      <c r="H33" s="111"/>
      <c r="I33" s="123">
        <f ca="1">SUMIFS(
  m.vb[valor],
  m.vb[nucleo],$B$1,
  m.vb[variavel],I$7,
  m.vb[mes],$A33
)</f>
        <v>0</v>
      </c>
      <c r="J33" s="123">
        <f ca="1">SUMIFS(
  m.vb[valor],
  m.vb[nucleo],$B$1,
  m.vb[variavel],J$7,
  m.vb[mes],$A33
)</f>
        <v>0</v>
      </c>
      <c r="K33" s="123">
        <f ca="1">SUMIFS(
  m.vb[valor],
  m.vb[nucleo],$B$1,
  m.vb[variavel],K$7,
  m.vb[mes],$A33
)</f>
        <v>0</v>
      </c>
      <c r="L33" s="123">
        <f ca="1">SUMIFS(
  m.vb[valor],
  m.vb[nucleo],$B$1,
  m.vb[variavel],L$7,
  m.vb[mes],$A33
)</f>
        <v>0</v>
      </c>
      <c r="M33" s="124">
        <f ca="1">SUMIFS(
  m.vb[valor],
  m.vb[nucleo],$B$1,
  m.vb[variavel],M$7,
  m.vb[mes],$A33
)</f>
        <v>0</v>
      </c>
      <c r="N33" s="122">
        <f>COUNTIFS(
    tb_estq[empresa], N$6,
    tb_estq[Data da venda / reserva], "&gt;=" &amp; $A33,
    tb_estq[Data da venda / reserva], "&lt;"  &amp; EOMONTH($A33,0) + 1
)</f>
        <v>0</v>
      </c>
      <c r="O33" s="123">
        <f ca="1">SUMIFS(tb_rec_uni[2023-07-01],
INDIRECT("tb_rec_uni[natureza]"),"pro.soluto",
INDIRECT("tb_rec_uni[empresa]"),O$6)</f>
        <v>0</v>
      </c>
      <c r="P33" s="123">
        <f ca="1">SUMIFS(tb_rec_uni[2023-07-01],
INDIRECT("tb_rec_uni[natureza]"),"repasse.cef.obra",
INDIRECT("tb_rec_uni[empresa]"),P$6)</f>
        <v>0</v>
      </c>
      <c r="Q33" s="123">
        <f ca="1">SUMIFS(tb_rec_uni[2023-07-01],
INDIRECT("tb_rec_uni[natureza]"),"repasse.cef.terreno",
INDIRECT("tb_rec_uni[empresa]"),Q$6)</f>
        <v>0</v>
      </c>
      <c r="R33" s="123">
        <v>0</v>
      </c>
      <c r="S33" s="123">
        <f ca="1">SUMIFS(tb_rec_uni[2023-07-01],
INDIRECT("tb_rec_uni[natureza]"),"taxa.extra",
INDIRECT("tb_rec_uni[empresa]"),S$6)</f>
        <v>0</v>
      </c>
      <c r="T33" s="111"/>
      <c r="U33" s="123">
        <f ca="1">SUMIFS(
  m.vb[valor],
  m.vb[nucleo],$N$1,
  m.vb[variavel],U$7,
  m.vb[mes],$A33
)</f>
        <v>0</v>
      </c>
      <c r="V33" s="123">
        <f ca="1">SUMIFS(
  m.vb[valor],
  m.vb[nucleo],$N$1,
  m.vb[variavel],V$7,
  m.vb[mes],$A33
)</f>
        <v>0</v>
      </c>
      <c r="W33" s="123">
        <f ca="1">SUMIFS(
  m.vb[valor],
  m.vb[nucleo],$N$1,
  m.vb[variavel],W$7,
  m.vb[mes],$A33
)</f>
        <v>0</v>
      </c>
      <c r="X33" s="123">
        <f ca="1">SUMIFS(
  m.vb[valor],
  m.vb[nucleo],$N$1,
  m.vb[variavel],X$7,
  m.vb[mes],$A33
)</f>
        <v>0</v>
      </c>
      <c r="Y33" s="124">
        <f ca="1">SUMIFS(
  m.vb[valor],
  m.vb[nucleo],$N$1,
  m.vb[variavel],Y$7,
  m.vb[mes],$A33
)</f>
        <v>0</v>
      </c>
      <c r="Z33" s="122">
        <f>COUNTIFS(
    tb_estq[empresa], Z$6,
    tb_estq[Data da venda / reserva], "&gt;=" &amp; $A33,
    tb_estq[Data da venda / reserva], "&lt;"  &amp; EOMONTH($A33,0) + 1
)</f>
        <v>0</v>
      </c>
      <c r="AA33" s="123">
        <f ca="1">SUMIFS(tb_rec_uni[2023-07-01],
INDIRECT("tb_rec_uni[natureza]"),"pro.soluto",
INDIRECT("tb_rec_uni[empresa]"),AA$6)</f>
        <v>0</v>
      </c>
      <c r="AB33" s="123">
        <f ca="1">SUMIFS(tb_rec_uni[2023-07-01],
INDIRECT("tb_rec_uni[natureza]"),"parcela.fin.total.ik",
INDIRECT("tb_rec_uni[empresa]"),AB$6)</f>
        <v>0</v>
      </c>
      <c r="AC33" s="123">
        <f ca="1">SUMIFS(tb_rec_uni[2023-07-01],
INDIRECT("tb_rec_uni[natureza]"),"taxa.extra",
INDIRECT("tb_rec_uni[empresa]"),AC$6)</f>
        <v>0</v>
      </c>
      <c r="AD33" s="111"/>
      <c r="AE33" s="123">
        <f ca="1">SUMIFS(
  m.vb[valor],
  m.vb[nucleo],$Z$1,
  m.vb[variavel],AE$7,
  m.vb[mes],$A33
)</f>
        <v>0</v>
      </c>
      <c r="AF33" s="123">
        <f ca="1">SUMIFS(
  m.vb[valor],
  m.vb[nucleo],$Z$1,
  m.vb[variavel],AF$7,
  m.vb[mes],$A33
)</f>
        <v>0</v>
      </c>
      <c r="AG33" s="123">
        <f ca="1">SUMIFS(
  m.vb[valor],
  m.vb[nucleo],$Z$1,
  m.vb[variavel],AG$7,
  m.vb[mes],$A33
)</f>
        <v>0</v>
      </c>
      <c r="AH33" s="123">
        <f ca="1">SUMIFS(
  m.vb[valor],
  m.vb[nucleo],$Z$1,
  m.vb[variavel],AH$7,
  m.vb[mes],$A33
)</f>
        <v>0</v>
      </c>
      <c r="AI33" s="124">
        <f ca="1">SUMIFS(
  m.vb[valor],
  m.vb[nucleo],$Z$1,
  m.vb[variavel],AI$7,
  m.vb[mes],$A33
)</f>
        <v>0</v>
      </c>
      <c r="AJ33" s="122">
        <f>COUNTIFS(
    tb_estq[empresa], AJ$6,
    tb_estq[Data da venda / reserva], "&gt;=" &amp; $A33,
    tb_estq[Data da venda / reserva], "&lt;"  &amp; EOMONTH($A33,0) + 1
)</f>
        <v>0</v>
      </c>
      <c r="AK33" s="123">
        <f ca="1">SUMIFS(tb_rec_uni[2023-07-01],
INDIRECT("tb_rec_uni[natureza]"),"pro.soluto",
INDIRECT("tb_rec_uni[empresa]"),AK$6)</f>
        <v>0</v>
      </c>
      <c r="AL33" s="123">
        <f ca="1">SUMIFS(tb_rec_uni[2023-07-01],
INDIRECT("tb_rec_uni[natureza]"),"repasse.cef.obra",
INDIRECT("tb_rec_uni[empresa]"),AL$6)</f>
        <v>0</v>
      </c>
      <c r="AM33" s="123">
        <f ca="1">SUMIFS(tb_rec_uni[2023-07-01],
INDIRECT("tb_rec_uni[natureza]"),"repasse.cef.terreno",
INDIRECT("tb_rec_uni[empresa]"),AM$6)</f>
        <v>0</v>
      </c>
      <c r="AN33" s="123">
        <v>0</v>
      </c>
      <c r="AO33" s="123">
        <f ca="1">SUMIFS(tb_rec_uni[2023-07-01],
INDIRECT("tb_rec_uni[natureza]"),"taxa.extra",
INDIRECT("tb_rec_uni[empresa]"),AO$6)</f>
        <v>0</v>
      </c>
      <c r="AP33" s="111"/>
      <c r="AQ33" s="123">
        <f ca="1">SUMIFS(
  m.vb[valor],
  m.vb[nucleo],$AJ$1,
  m.vb[variavel],AQ$7,
  m.vb[mes],$A33
)</f>
        <v>0</v>
      </c>
      <c r="AR33" s="123">
        <f ca="1">SUMIFS(
  m.vb[valor],
  m.vb[nucleo],$AJ$1,
  m.vb[variavel],AR$7,
  m.vb[mes],$A33
)</f>
        <v>0</v>
      </c>
      <c r="AS33" s="123">
        <f ca="1">SUMIFS(
  m.vb[valor],
  m.vb[nucleo],$AJ$1,
  m.vb[variavel],AS$7,
  m.vb[mes],$A33
)</f>
        <v>0</v>
      </c>
      <c r="AT33" s="123">
        <f ca="1">SUMIFS(
  m.vb[valor],
  m.vb[nucleo],$AJ$1,
  m.vb[variavel],AT$7,
  m.vb[mes],$A33
)</f>
        <v>0</v>
      </c>
      <c r="AU33" s="124">
        <f ca="1">SUMIFS(
  m.vb[valor],
  m.vb[nucleo],$AJ$1,
  m.vb[variavel],AU$7,
  m.vb[mes],$A33
)</f>
        <v>0</v>
      </c>
      <c r="AV33" s="122">
        <f>COUNTIFS(
    tb_estq[empresa], AV$6,
    tb_estq[Data da venda / reserva], "&gt;=" &amp; $A33,
    tb_estq[Data da venda / reserva], "&lt;"  &amp; EOMONTH($A33,0) + 1
)</f>
        <v>0</v>
      </c>
      <c r="AW33" s="123">
        <f ca="1">SUMIFS(tb_rec_uni[2023-07-01],
INDIRECT("tb_rec_uni[natureza]"),"pro.soluto",
INDIRECT("tb_rec_uni[empresa]"),AW$6)</f>
        <v>0</v>
      </c>
      <c r="AX33" s="123">
        <f ca="1">SUMIFS(tb_rec_uni[2023-07-01],
INDIRECT("tb_rec_uni[natureza]"),"repasse.cef.obra",
INDIRECT("tb_rec_uni[empresa]"),AX$6)</f>
        <v>0</v>
      </c>
      <c r="AY33" s="123">
        <f ca="1">SUMIFS(tb_rec_uni[2023-07-01],
INDIRECT("tb_rec_uni[natureza]"),"repasse.cef.terreno",
INDIRECT("tb_rec_uni[empresa]"),AY$6)</f>
        <v>0</v>
      </c>
      <c r="AZ33" s="123">
        <v>0</v>
      </c>
      <c r="BA33" s="123">
        <f ca="1">SUMIFS(tb_rec_uni[2023-07-01],
INDIRECT("tb_rec_uni[natureza]"),"taxa.extra",
INDIRECT("tb_rec_uni[empresa]"),BA$6)</f>
        <v>0</v>
      </c>
      <c r="BB33" s="111"/>
      <c r="BC33" s="123">
        <f ca="1">SUMIFS(
  m.vb[valor],
  m.vb[nucleo],$AV$1,
  m.vb[variavel],BC$7,
  m.vb[mes],$A33
)</f>
        <v>0</v>
      </c>
      <c r="BD33" s="123">
        <f ca="1">SUMIFS(
  m.vb[valor],
  m.vb[nucleo],$AV$1,
  m.vb[variavel],BD$7,
  m.vb[mes],$A33
)</f>
        <v>0</v>
      </c>
      <c r="BE33" s="123">
        <f ca="1">SUMIFS(
  m.vb[valor],
  m.vb[nucleo],$AV$1,
  m.vb[variavel],BE$7,
  m.vb[mes],$A33
)</f>
        <v>0</v>
      </c>
      <c r="BF33" s="123">
        <f ca="1">SUMIFS(
  m.vb[valor],
  m.vb[nucleo],$AV$1,
  m.vb[variavel],BF$7,
  m.vb[mes],$A33
)</f>
        <v>0</v>
      </c>
      <c r="BG33" s="124">
        <f ca="1">SUMIFS(
  m.vb[valor],
  m.vb[nucleo],$AV$1,
  m.vb[variavel],BG$7,
  m.vb[mes],$A33
)</f>
        <v>0</v>
      </c>
      <c r="BH33" s="122">
        <f>COUNTIFS(
    tb_estq[empresa], BH$6,
    tb_estq[Data da venda / reserva], "&gt;=" &amp; $A33,
    tb_estq[Data da venda / reserva], "&lt;"  &amp; EOMONTH($A33,0) + 1
)</f>
        <v>0</v>
      </c>
      <c r="BI33" s="123">
        <f ca="1">SUMIFS(tb_rec_uni[2023-07-01],
INDIRECT("tb_rec_uni[natureza]"),"pro.soluto",
INDIRECT("tb_rec_uni[empresa]"),BI$6)</f>
        <v>0</v>
      </c>
      <c r="BJ33" s="111">
        <v>0</v>
      </c>
      <c r="BK33" s="123">
        <f ca="1">SUMIFS(tb_rec_uni[2023-07-01],
INDIRECT("tb_rec_uni[natureza]"),"taxa.extra",
INDIRECT("tb_rec_uni[empresa]"),BK$6)</f>
        <v>0</v>
      </c>
      <c r="BL33" s="111"/>
      <c r="BM33" s="123">
        <f ca="1">SUMIFS(
  m.vb[valor],
  m.vb[nucleo],$BH$1,
  m.vb[variavel],BM$7,
  m.vb[mes],$A33
)</f>
        <v>0</v>
      </c>
      <c r="BN33" s="123">
        <f ca="1">SUMIFS(
  m.vb[valor],
  m.vb[nucleo],$BH$1,
  m.vb[variavel],BN$7,
  m.vb[mes],$A33
)</f>
        <v>0</v>
      </c>
      <c r="BO33" s="123">
        <f ca="1">SUMIFS(
  m.vb[valor],
  m.vb[nucleo],$BH$1,
  m.vb[variavel],BO$7,
  m.vb[mes],$A33
)</f>
        <v>0</v>
      </c>
      <c r="BP33" s="123">
        <f ca="1">SUMIFS(
  m.vb[valor],
  m.vb[nucleo],$BH$1,
  m.vb[variavel],BP$7,
  m.vb[mes],$A33
)</f>
        <v>0</v>
      </c>
      <c r="BQ33" s="124">
        <f ca="1">SUMIFS(
  m.vb[valor],
  m.vb[nucleo],$BH$1,
  m.vb[variavel],BQ$7,
  m.vb[mes],$A33
)</f>
        <v>0</v>
      </c>
      <c r="BR33" s="122">
        <f>COUNTIFS(
    tb_estq[empresa], BR$6,
    tb_estq[Data da venda / reserva], "&gt;=" &amp; $A33,
    tb_estq[Data da venda / reserva], "&lt;"  &amp; EOMONTH($A33,0) + 1
)</f>
        <v>0</v>
      </c>
      <c r="BS33" s="123">
        <f ca="1">SUMIFS(tb_rec_uni[2023-07-01],
INDIRECT("tb_rec_uni[natureza]"),"pro.soluto",
INDIRECT("tb_rec_uni[empresa]"),BS$6)</f>
        <v>0</v>
      </c>
      <c r="BT33" s="123">
        <f ca="1">SUMIFS(tb_rec_uni[2023-07-01],
INDIRECT("tb_rec_uni[natureza]"),"parcela.fin.total.ik",
INDIRECT("tb_rec_uni[empresa]"),BT$6)</f>
        <v>0</v>
      </c>
      <c r="BU33" s="123">
        <f ca="1">SUMIFS(tb_rec_uni[2023-07-01],
INDIRECT("tb_rec_uni[natureza]"),"taxa.extra",
INDIRECT("tb_rec_uni[empresa]"),BU$6)</f>
        <v>0</v>
      </c>
      <c r="BV33" s="111"/>
      <c r="BW33" s="123">
        <f ca="1">SUMIFS(
  m.vb[valor],
  m.vb[nucleo],$BR$1,
  m.vb[variavel],BW$7,
  m.vb[mes],$A33
)</f>
        <v>0</v>
      </c>
      <c r="BX33" s="123">
        <f ca="1">SUMIFS(
  m.vb[valor],
  m.vb[nucleo],$BR$1,
  m.vb[variavel],BX$7,
  m.vb[mes],$A33
)</f>
        <v>0</v>
      </c>
      <c r="BY33" s="123">
        <f ca="1">SUMIFS(
  m.vb[valor],
  m.vb[nucleo],$BR$1,
  m.vb[variavel],BY$7,
  m.vb[mes],$A33
)</f>
        <v>0</v>
      </c>
      <c r="BZ33" s="123">
        <f ca="1">SUMIFS(
  m.vb[valor],
  m.vb[nucleo],$BR$1,
  m.vb[variavel],BZ$7,
  m.vb[mes],$A33
)</f>
        <v>0</v>
      </c>
      <c r="CA33" s="124">
        <f ca="1">SUMIFS(
  m.vb[valor],
  m.vb[nucleo],$BR$1,
  m.vb[variavel],CA$7,
  m.vb[mes],$A33
)</f>
        <v>0</v>
      </c>
      <c r="CB33" s="122">
        <f>COUNTIFS(
    tb_estq[empresa], CB$6,
    tb_estq[Data da venda / reserva], "&gt;=" &amp; $A33,
    tb_estq[Data da venda / reserva], "&lt;"  &amp; EOMONTH($A33,0) + 1
)</f>
        <v>0</v>
      </c>
      <c r="CC33" s="123">
        <f ca="1">SUMIFS(tb_rec_uni[2023-07-01],
INDIRECT("tb_rec_uni[natureza]"),"pro.soluto",
INDIRECT("tb_rec_uni[empresa]"),CC$6)</f>
        <v>0</v>
      </c>
      <c r="CD33" s="123">
        <f ca="1">SUMIFS(tb_rec_uni[2023-07-01],
INDIRECT("tb_rec_uni[natureza]"),"repasse.cef.obra",
INDIRECT("tb_rec_uni[empresa]"),CD$6)</f>
        <v>0</v>
      </c>
      <c r="CE33" s="123">
        <f ca="1">SUMIFS(tb_rec_uni[2023-07-01],
INDIRECT("tb_rec_uni[natureza]"),"repasse.cef.terreno",
INDIRECT("tb_rec_uni[empresa]"),CE$6)</f>
        <v>0</v>
      </c>
      <c r="CF33" s="123">
        <v>0</v>
      </c>
      <c r="CG33" s="123">
        <f ca="1">SUMIFS(tb_rec_uni[2023-07-01],
INDIRECT("tb_rec_uni[natureza]"),"taxa.extra",
INDIRECT("tb_rec_uni[empresa]"),CG$6)</f>
        <v>0</v>
      </c>
      <c r="CH33" s="111"/>
      <c r="CI33" s="123">
        <f ca="1">SUMIFS(
  m.vb[valor],
  m.vb[nucleo],$CB$1,
  m.vb[variavel],CI$7,
  m.vb[mes],$A33
)</f>
        <v>0</v>
      </c>
      <c r="CJ33" s="123">
        <f ca="1">SUMIFS(
  m.vb[valor],
  m.vb[nucleo],$CB$1,
  m.vb[variavel],CJ$7,
  m.vb[mes],$A33
)</f>
        <v>0</v>
      </c>
      <c r="CK33" s="123">
        <f ca="1">SUMIFS(
  m.vb[valor],
  m.vb[nucleo],$CB$1,
  m.vb[variavel],CK$7,
  m.vb[mes],$A33
)</f>
        <v>0</v>
      </c>
      <c r="CL33" s="123">
        <f ca="1">SUMIFS(
  m.vb[valor],
  m.vb[nucleo],$CB$1,
  m.vb[variavel],CL$7,
  m.vb[mes],$A33
)</f>
        <v>0</v>
      </c>
      <c r="CM33" s="124">
        <f ca="1">SUMIFS(
  m.vb[valor],
  m.vb[nucleo],$CB$1,
  m.vb[variavel],CM$7,
  m.vb[mes],$A33
)</f>
        <v>0</v>
      </c>
      <c r="CN33" s="122">
        <f>COUNTIFS(
    tb_estq[empresa], CN$6,
    tb_estq[Data da venda / reserva], "&gt;=" &amp; $A33,
    tb_estq[Data da venda / reserva], "&lt;"  &amp; EOMONTH($A33,0) + 1
)</f>
        <v>0</v>
      </c>
      <c r="CO33" s="123">
        <f ca="1">SUMIFS(tb_rec_uni[2023-07-01],
INDIRECT("tb_rec_uni[natureza]"),"pro.soluto",
INDIRECT("tb_rec_uni[empresa]"),CO$6)</f>
        <v>0</v>
      </c>
      <c r="CP33" s="123">
        <f ca="1">SUMIFS(tb_rec_uni[2023-07-01],
INDIRECT("tb_rec_uni[natureza]"),"repasse.cef.obra",
INDIRECT("tb_rec_uni[empresa]"),CP$6)</f>
        <v>0</v>
      </c>
      <c r="CQ33" s="123">
        <f ca="1">SUMIFS(tb_rec_uni[2023-07-01],
INDIRECT("tb_rec_uni[natureza]"),"repasse.cef.terreno",
INDIRECT("tb_rec_uni[empresa]"),CQ$6)</f>
        <v>0</v>
      </c>
      <c r="CR33" s="123">
        <v>0</v>
      </c>
      <c r="CS33" s="123">
        <f ca="1">SUMIFS(tb_rec_uni[2023-07-01],
INDIRECT("tb_rec_uni[natureza]"),"taxa.extra",
INDIRECT("tb_rec_uni[empresa]"),CS$6)</f>
        <v>0</v>
      </c>
      <c r="CT33" s="111"/>
      <c r="CU33" s="123">
        <f ca="1">SUMIFS(
  m.vb[valor],
  m.vb[nucleo],$CN$1,
  m.vb[variavel],CU$7,
  m.vb[mes],$A33
)</f>
        <v>0</v>
      </c>
      <c r="CV33" s="123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3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3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5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21">
        <v>45139</v>
      </c>
      <c r="B34" s="122">
        <f>COUNTIFS(
    tb_estq[empresa], B$6,
    tb_estq[Data da venda / reserva], "&gt;=" &amp; $A34,
    tb_estq[Data da venda / reserva], "&lt;"  &amp; EOMONTH($A34,0) + 1
)</f>
        <v>0</v>
      </c>
      <c r="C34" s="123">
        <f ca="1">SUMIFS(tb_rec_uni[2023-08-01],
INDIRECT("tb_rec_uni[natureza]"),"pro.soluto",
INDIRECT("tb_rec_uni[empresa]"),C$6)</f>
        <v>0</v>
      </c>
      <c r="D34" s="123">
        <f ca="1">SUMIFS(tb_rec_uni[2023-08-01],
INDIRECT("tb_rec_uni[natureza]"),"repasse.cef.obra",
INDIRECT("tb_rec_uni[empresa]"),D$6)</f>
        <v>0</v>
      </c>
      <c r="E34" s="123">
        <f ca="1">SUMIFS(tb_rec_uni[2023-08-01],
INDIRECT("tb_rec_uni[natureza]"),"repasse.cef.terreno",
INDIRECT("tb_rec_uni[empresa]"),E$6)</f>
        <v>0</v>
      </c>
      <c r="F34" s="123">
        <v>0</v>
      </c>
      <c r="G34" s="123">
        <f ca="1">SUMIFS(tb_rec_uni[2023-08-01],
INDIRECT("tb_rec_uni[natureza]"),"taxa.extra",
INDIRECT("tb_rec_uni[empresa]"),G$6)</f>
        <v>0</v>
      </c>
      <c r="H34" s="111"/>
      <c r="I34" s="123">
        <f ca="1">SUMIFS(
  m.vb[valor],
  m.vb[nucleo],$B$1,
  m.vb[variavel],I$7,
  m.vb[mes],$A34
)</f>
        <v>0</v>
      </c>
      <c r="J34" s="123">
        <f ca="1">SUMIFS(
  m.vb[valor],
  m.vb[nucleo],$B$1,
  m.vb[variavel],J$7,
  m.vb[mes],$A34
)</f>
        <v>0</v>
      </c>
      <c r="K34" s="123">
        <f ca="1">SUMIFS(
  m.vb[valor],
  m.vb[nucleo],$B$1,
  m.vb[variavel],K$7,
  m.vb[mes],$A34
)</f>
        <v>0</v>
      </c>
      <c r="L34" s="123">
        <f ca="1">SUMIFS(
  m.vb[valor],
  m.vb[nucleo],$B$1,
  m.vb[variavel],L$7,
  m.vb[mes],$A34
)</f>
        <v>0</v>
      </c>
      <c r="M34" s="124">
        <f ca="1">SUMIFS(
  m.vb[valor],
  m.vb[nucleo],$B$1,
  m.vb[variavel],M$7,
  m.vb[mes],$A34
)</f>
        <v>0</v>
      </c>
      <c r="N34" s="122">
        <f>COUNTIFS(
    tb_estq[empresa], N$6,
    tb_estq[Data da venda / reserva], "&gt;=" &amp; $A34,
    tb_estq[Data da venda / reserva], "&lt;"  &amp; EOMONTH($A34,0) + 1
)</f>
        <v>0</v>
      </c>
      <c r="O34" s="123">
        <f ca="1">SUMIFS(tb_rec_uni[2023-08-01],
INDIRECT("tb_rec_uni[natureza]"),"pro.soluto",
INDIRECT("tb_rec_uni[empresa]"),O$6)</f>
        <v>0</v>
      </c>
      <c r="P34" s="123">
        <f ca="1">SUMIFS(tb_rec_uni[2023-08-01],
INDIRECT("tb_rec_uni[natureza]"),"repasse.cef.obra",
INDIRECT("tb_rec_uni[empresa]"),P$6)</f>
        <v>0</v>
      </c>
      <c r="Q34" s="123">
        <f ca="1">SUMIFS(tb_rec_uni[2023-08-01],
INDIRECT("tb_rec_uni[natureza]"),"repasse.cef.terreno",
INDIRECT("tb_rec_uni[empresa]"),Q$6)</f>
        <v>0</v>
      </c>
      <c r="R34" s="123">
        <v>327575.88</v>
      </c>
      <c r="S34" s="123">
        <f ca="1">SUMIFS(tb_rec_uni[2023-08-01],
INDIRECT("tb_rec_uni[natureza]"),"taxa.extra",
INDIRECT("tb_rec_uni[empresa]"),S$6)</f>
        <v>0</v>
      </c>
      <c r="T34" s="111"/>
      <c r="U34" s="123">
        <f ca="1">SUMIFS(
  m.vb[valor],
  m.vb[nucleo],$N$1,
  m.vb[variavel],U$7,
  m.vb[mes],$A34
)</f>
        <v>0</v>
      </c>
      <c r="V34" s="123">
        <f ca="1">SUMIFS(
  m.vb[valor],
  m.vb[nucleo],$N$1,
  m.vb[variavel],V$7,
  m.vb[mes],$A34
)</f>
        <v>0</v>
      </c>
      <c r="W34" s="123">
        <f ca="1">SUMIFS(
  m.vb[valor],
  m.vb[nucleo],$N$1,
  m.vb[variavel],W$7,
  m.vb[mes],$A34
)</f>
        <v>0</v>
      </c>
      <c r="X34" s="123">
        <f ca="1">SUMIFS(
  m.vb[valor],
  m.vb[nucleo],$N$1,
  m.vb[variavel],X$7,
  m.vb[mes],$A34
)</f>
        <v>0</v>
      </c>
      <c r="Y34" s="124">
        <f ca="1">SUMIFS(
  m.vb[valor],
  m.vb[nucleo],$N$1,
  m.vb[variavel],Y$7,
  m.vb[mes],$A34
)</f>
        <v>0</v>
      </c>
      <c r="Z34" s="122">
        <f>COUNTIFS(
    tb_estq[empresa], Z$6,
    tb_estq[Data da venda / reserva], "&gt;=" &amp; $A34,
    tb_estq[Data da venda / reserva], "&lt;"  &amp; EOMONTH($A34,0) + 1
)</f>
        <v>0</v>
      </c>
      <c r="AA34" s="123">
        <f ca="1">SUMIFS(tb_rec_uni[2023-08-01],
INDIRECT("tb_rec_uni[natureza]"),"pro.soluto",
INDIRECT("tb_rec_uni[empresa]"),AA$6)</f>
        <v>0</v>
      </c>
      <c r="AB34" s="123">
        <f ca="1">SUMIFS(tb_rec_uni[2023-08-01],
INDIRECT("tb_rec_uni[natureza]"),"parcela.fin.total.ik",
INDIRECT("tb_rec_uni[empresa]"),AB$6)</f>
        <v>0</v>
      </c>
      <c r="AC34" s="123">
        <f ca="1">SUMIFS(tb_rec_uni[2023-08-01],
INDIRECT("tb_rec_uni[natureza]"),"taxa.extra",
INDIRECT("tb_rec_uni[empresa]"),AC$6)</f>
        <v>0</v>
      </c>
      <c r="AD34" s="111"/>
      <c r="AE34" s="123">
        <f ca="1">SUMIFS(
  m.vb[valor],
  m.vb[nucleo],$Z$1,
  m.vb[variavel],AE$7,
  m.vb[mes],$A34
)</f>
        <v>0</v>
      </c>
      <c r="AF34" s="123">
        <f ca="1">SUMIFS(
  m.vb[valor],
  m.vb[nucleo],$Z$1,
  m.vb[variavel],AF$7,
  m.vb[mes],$A34
)</f>
        <v>0</v>
      </c>
      <c r="AG34" s="123">
        <f ca="1">SUMIFS(
  m.vb[valor],
  m.vb[nucleo],$Z$1,
  m.vb[variavel],AG$7,
  m.vb[mes],$A34
)</f>
        <v>0</v>
      </c>
      <c r="AH34" s="123">
        <f ca="1">SUMIFS(
  m.vb[valor],
  m.vb[nucleo],$Z$1,
  m.vb[variavel],AH$7,
  m.vb[mes],$A34
)</f>
        <v>0</v>
      </c>
      <c r="AI34" s="124">
        <f ca="1">SUMIFS(
  m.vb[valor],
  m.vb[nucleo],$Z$1,
  m.vb[variavel],AI$7,
  m.vb[mes],$A34
)</f>
        <v>0</v>
      </c>
      <c r="AJ34" s="122">
        <f>COUNTIFS(
    tb_estq[empresa], AJ$6,
    tb_estq[Data da venda / reserva], "&gt;=" &amp; $A34,
    tb_estq[Data da venda / reserva], "&lt;"  &amp; EOMONTH($A34,0) + 1
)</f>
        <v>0</v>
      </c>
      <c r="AK34" s="123">
        <f ca="1">SUMIFS(tb_rec_uni[2023-08-01],
INDIRECT("tb_rec_uni[natureza]"),"pro.soluto",
INDIRECT("tb_rec_uni[empresa]"),AK$6)</f>
        <v>0</v>
      </c>
      <c r="AL34" s="123">
        <f ca="1">SUMIFS(tb_rec_uni[2023-08-01],
INDIRECT("tb_rec_uni[natureza]"),"repasse.cef.obra",
INDIRECT("tb_rec_uni[empresa]"),AL$6)</f>
        <v>0</v>
      </c>
      <c r="AM34" s="123">
        <f ca="1">SUMIFS(tb_rec_uni[2023-08-01],
INDIRECT("tb_rec_uni[natureza]"),"repasse.cef.terreno",
INDIRECT("tb_rec_uni[empresa]"),AM$6)</f>
        <v>0</v>
      </c>
      <c r="AN34" s="123">
        <v>0</v>
      </c>
      <c r="AO34" s="123">
        <f ca="1">SUMIFS(tb_rec_uni[2023-08-01],
INDIRECT("tb_rec_uni[natureza]"),"taxa.extra",
INDIRECT("tb_rec_uni[empresa]"),AO$6)</f>
        <v>0</v>
      </c>
      <c r="AP34" s="111"/>
      <c r="AQ34" s="123">
        <f ca="1">SUMIFS(
  m.vb[valor],
  m.vb[nucleo],$AJ$1,
  m.vb[variavel],AQ$7,
  m.vb[mes],$A34
)</f>
        <v>0</v>
      </c>
      <c r="AR34" s="123">
        <f ca="1">SUMIFS(
  m.vb[valor],
  m.vb[nucleo],$AJ$1,
  m.vb[variavel],AR$7,
  m.vb[mes],$A34
)</f>
        <v>0</v>
      </c>
      <c r="AS34" s="123">
        <f ca="1">SUMIFS(
  m.vb[valor],
  m.vb[nucleo],$AJ$1,
  m.vb[variavel],AS$7,
  m.vb[mes],$A34
)</f>
        <v>0</v>
      </c>
      <c r="AT34" s="123">
        <f ca="1">SUMIFS(
  m.vb[valor],
  m.vb[nucleo],$AJ$1,
  m.vb[variavel],AT$7,
  m.vb[mes],$A34
)</f>
        <v>0</v>
      </c>
      <c r="AU34" s="124">
        <f ca="1">SUMIFS(
  m.vb[valor],
  m.vb[nucleo],$AJ$1,
  m.vb[variavel],AU$7,
  m.vb[mes],$A34
)</f>
        <v>0</v>
      </c>
      <c r="AV34" s="122">
        <f>COUNTIFS(
    tb_estq[empresa], AV$6,
    tb_estq[Data da venda / reserva], "&gt;=" &amp; $A34,
    tb_estq[Data da venda / reserva], "&lt;"  &amp; EOMONTH($A34,0) + 1
)</f>
        <v>0</v>
      </c>
      <c r="AW34" s="123">
        <f ca="1">SUMIFS(tb_rec_uni[2023-08-01],
INDIRECT("tb_rec_uni[natureza]"),"pro.soluto",
INDIRECT("tb_rec_uni[empresa]"),AW$6)</f>
        <v>0</v>
      </c>
      <c r="AX34" s="123">
        <f ca="1">SUMIFS(tb_rec_uni[2023-08-01],
INDIRECT("tb_rec_uni[natureza]"),"repasse.cef.obra",
INDIRECT("tb_rec_uni[empresa]"),AX$6)</f>
        <v>0</v>
      </c>
      <c r="AY34" s="123">
        <f ca="1">SUMIFS(tb_rec_uni[2023-08-01],
INDIRECT("tb_rec_uni[natureza]"),"repasse.cef.terreno",
INDIRECT("tb_rec_uni[empresa]"),AY$6)</f>
        <v>0</v>
      </c>
      <c r="AZ34" s="123">
        <v>0</v>
      </c>
      <c r="BA34" s="123">
        <f ca="1">SUMIFS(tb_rec_uni[2023-08-01],
INDIRECT("tb_rec_uni[natureza]"),"taxa.extra",
INDIRECT("tb_rec_uni[empresa]"),BA$6)</f>
        <v>0</v>
      </c>
      <c r="BB34" s="111"/>
      <c r="BC34" s="123">
        <f ca="1">SUMIFS(
  m.vb[valor],
  m.vb[nucleo],$AV$1,
  m.vb[variavel],BC$7,
  m.vb[mes],$A34
)</f>
        <v>0</v>
      </c>
      <c r="BD34" s="123">
        <f ca="1">SUMIFS(
  m.vb[valor],
  m.vb[nucleo],$AV$1,
  m.vb[variavel],BD$7,
  m.vb[mes],$A34
)</f>
        <v>0</v>
      </c>
      <c r="BE34" s="123">
        <f ca="1">SUMIFS(
  m.vb[valor],
  m.vb[nucleo],$AV$1,
  m.vb[variavel],BE$7,
  m.vb[mes],$A34
)</f>
        <v>0</v>
      </c>
      <c r="BF34" s="123">
        <f ca="1">SUMIFS(
  m.vb[valor],
  m.vb[nucleo],$AV$1,
  m.vb[variavel],BF$7,
  m.vb[mes],$A34
)</f>
        <v>0</v>
      </c>
      <c r="BG34" s="124">
        <f ca="1">SUMIFS(
  m.vb[valor],
  m.vb[nucleo],$AV$1,
  m.vb[variavel],BG$7,
  m.vb[mes],$A34
)</f>
        <v>0</v>
      </c>
      <c r="BH34" s="122">
        <f>COUNTIFS(
    tb_estq[empresa], BH$6,
    tb_estq[Data da venda / reserva], "&gt;=" &amp; $A34,
    tb_estq[Data da venda / reserva], "&lt;"  &amp; EOMONTH($A34,0) + 1
)</f>
        <v>0</v>
      </c>
      <c r="BI34" s="123">
        <f ca="1">SUMIFS(tb_rec_uni[2023-08-01],
INDIRECT("tb_rec_uni[natureza]"),"pro.soluto",
INDIRECT("tb_rec_uni[empresa]"),BI$6)</f>
        <v>0</v>
      </c>
      <c r="BJ34" s="111">
        <v>0</v>
      </c>
      <c r="BK34" s="123">
        <f ca="1">SUMIFS(tb_rec_uni[2023-08-01],
INDIRECT("tb_rec_uni[natureza]"),"taxa.extra",
INDIRECT("tb_rec_uni[empresa]"),BK$6)</f>
        <v>0</v>
      </c>
      <c r="BL34" s="111"/>
      <c r="BM34" s="123">
        <f ca="1">SUMIFS(
  m.vb[valor],
  m.vb[nucleo],$BH$1,
  m.vb[variavel],BM$7,
  m.vb[mes],$A34
)</f>
        <v>0</v>
      </c>
      <c r="BN34" s="123">
        <f ca="1">SUMIFS(
  m.vb[valor],
  m.vb[nucleo],$BH$1,
  m.vb[variavel],BN$7,
  m.vb[mes],$A34
)</f>
        <v>0</v>
      </c>
      <c r="BO34" s="123">
        <f ca="1">SUMIFS(
  m.vb[valor],
  m.vb[nucleo],$BH$1,
  m.vb[variavel],BO$7,
  m.vb[mes],$A34
)</f>
        <v>0</v>
      </c>
      <c r="BP34" s="123">
        <f ca="1">SUMIFS(
  m.vb[valor],
  m.vb[nucleo],$BH$1,
  m.vb[variavel],BP$7,
  m.vb[mes],$A34
)</f>
        <v>0</v>
      </c>
      <c r="BQ34" s="124">
        <f ca="1">SUMIFS(
  m.vb[valor],
  m.vb[nucleo],$BH$1,
  m.vb[variavel],BQ$7,
  m.vb[mes],$A34
)</f>
        <v>0</v>
      </c>
      <c r="BR34" s="122">
        <f>COUNTIFS(
    tb_estq[empresa], BR$6,
    tb_estq[Data da venda / reserva], "&gt;=" &amp; $A34,
    tb_estq[Data da venda / reserva], "&lt;"  &amp; EOMONTH($A34,0) + 1
)</f>
        <v>0</v>
      </c>
      <c r="BS34" s="123">
        <f ca="1">SUMIFS(tb_rec_uni[2023-08-01],
INDIRECT("tb_rec_uni[natureza]"),"pro.soluto",
INDIRECT("tb_rec_uni[empresa]"),BS$6)</f>
        <v>0</v>
      </c>
      <c r="BT34" s="123">
        <f ca="1">SUMIFS(tb_rec_uni[2023-08-01],
INDIRECT("tb_rec_uni[natureza]"),"parcela.fin.total.ik",
INDIRECT("tb_rec_uni[empresa]"),BT$6)</f>
        <v>0</v>
      </c>
      <c r="BU34" s="123">
        <f ca="1">SUMIFS(tb_rec_uni[2023-08-01],
INDIRECT("tb_rec_uni[natureza]"),"taxa.extra",
INDIRECT("tb_rec_uni[empresa]"),BU$6)</f>
        <v>0</v>
      </c>
      <c r="BV34" s="111"/>
      <c r="BW34" s="123">
        <f ca="1">SUMIFS(
  m.vb[valor],
  m.vb[nucleo],$BR$1,
  m.vb[variavel],BW$7,
  m.vb[mes],$A34
)</f>
        <v>0</v>
      </c>
      <c r="BX34" s="123">
        <f ca="1">SUMIFS(
  m.vb[valor],
  m.vb[nucleo],$BR$1,
  m.vb[variavel],BX$7,
  m.vb[mes],$A34
)</f>
        <v>0</v>
      </c>
      <c r="BY34" s="123">
        <f ca="1">SUMIFS(
  m.vb[valor],
  m.vb[nucleo],$BR$1,
  m.vb[variavel],BY$7,
  m.vb[mes],$A34
)</f>
        <v>0</v>
      </c>
      <c r="BZ34" s="123">
        <f ca="1">SUMIFS(
  m.vb[valor],
  m.vb[nucleo],$BR$1,
  m.vb[variavel],BZ$7,
  m.vb[mes],$A34
)</f>
        <v>0</v>
      </c>
      <c r="CA34" s="124">
        <f ca="1">SUMIFS(
  m.vb[valor],
  m.vb[nucleo],$BR$1,
  m.vb[variavel],CA$7,
  m.vb[mes],$A34
)</f>
        <v>0</v>
      </c>
      <c r="CB34" s="122">
        <f>COUNTIFS(
    tb_estq[empresa], CB$6,
    tb_estq[Data da venda / reserva], "&gt;=" &amp; $A34,
    tb_estq[Data da venda / reserva], "&lt;"  &amp; EOMONTH($A34,0) + 1
)</f>
        <v>0</v>
      </c>
      <c r="CC34" s="123">
        <f ca="1">SUMIFS(tb_rec_uni[2023-08-01],
INDIRECT("tb_rec_uni[natureza]"),"pro.soluto",
INDIRECT("tb_rec_uni[empresa]"),CC$6)</f>
        <v>0</v>
      </c>
      <c r="CD34" s="123">
        <f ca="1">SUMIFS(tb_rec_uni[2023-08-01],
INDIRECT("tb_rec_uni[natureza]"),"repasse.cef.obra",
INDIRECT("tb_rec_uni[empresa]"),CD$6)</f>
        <v>0</v>
      </c>
      <c r="CE34" s="123">
        <f ca="1">SUMIFS(tb_rec_uni[2023-08-01],
INDIRECT("tb_rec_uni[natureza]"),"repasse.cef.terreno",
INDIRECT("tb_rec_uni[empresa]"),CE$6)</f>
        <v>0</v>
      </c>
      <c r="CF34" s="123">
        <v>0</v>
      </c>
      <c r="CG34" s="123">
        <f ca="1">SUMIFS(tb_rec_uni[2023-08-01],
INDIRECT("tb_rec_uni[natureza]"),"taxa.extra",
INDIRECT("tb_rec_uni[empresa]"),CG$6)</f>
        <v>0</v>
      </c>
      <c r="CH34" s="111"/>
      <c r="CI34" s="123">
        <f ca="1">SUMIFS(
  m.vb[valor],
  m.vb[nucleo],$CB$1,
  m.vb[variavel],CI$7,
  m.vb[mes],$A34
)</f>
        <v>0</v>
      </c>
      <c r="CJ34" s="123">
        <f ca="1">SUMIFS(
  m.vb[valor],
  m.vb[nucleo],$CB$1,
  m.vb[variavel],CJ$7,
  m.vb[mes],$A34
)</f>
        <v>0</v>
      </c>
      <c r="CK34" s="123">
        <f ca="1">SUMIFS(
  m.vb[valor],
  m.vb[nucleo],$CB$1,
  m.vb[variavel],CK$7,
  m.vb[mes],$A34
)</f>
        <v>0</v>
      </c>
      <c r="CL34" s="123">
        <f ca="1">SUMIFS(
  m.vb[valor],
  m.vb[nucleo],$CB$1,
  m.vb[variavel],CL$7,
  m.vb[mes],$A34
)</f>
        <v>0</v>
      </c>
      <c r="CM34" s="124">
        <f ca="1">SUMIFS(
  m.vb[valor],
  m.vb[nucleo],$CB$1,
  m.vb[variavel],CM$7,
  m.vb[mes],$A34
)</f>
        <v>0</v>
      </c>
      <c r="CN34" s="122">
        <f>COUNTIFS(
    tb_estq[empresa], CN$6,
    tb_estq[Data da venda / reserva], "&gt;=" &amp; $A34,
    tb_estq[Data da venda / reserva], "&lt;"  &amp; EOMONTH($A34,0) + 1
)</f>
        <v>0</v>
      </c>
      <c r="CO34" s="123">
        <f ca="1">SUMIFS(tb_rec_uni[2023-08-01],
INDIRECT("tb_rec_uni[natureza]"),"pro.soluto",
INDIRECT("tb_rec_uni[empresa]"),CO$6)</f>
        <v>0</v>
      </c>
      <c r="CP34" s="123">
        <f ca="1">SUMIFS(tb_rec_uni[2023-08-01],
INDIRECT("tb_rec_uni[natureza]"),"repasse.cef.obra",
INDIRECT("tb_rec_uni[empresa]"),CP$6)</f>
        <v>0</v>
      </c>
      <c r="CQ34" s="123">
        <f ca="1">SUMIFS(tb_rec_uni[2023-08-01],
INDIRECT("tb_rec_uni[natureza]"),"repasse.cef.terreno",
INDIRECT("tb_rec_uni[empresa]"),CQ$6)</f>
        <v>0</v>
      </c>
      <c r="CR34" s="123">
        <v>0</v>
      </c>
      <c r="CS34" s="123">
        <f ca="1">SUMIFS(tb_rec_uni[2023-08-01],
INDIRECT("tb_rec_uni[natureza]"),"taxa.extra",
INDIRECT("tb_rec_uni[empresa]"),CS$6)</f>
        <v>0</v>
      </c>
      <c r="CT34" s="111"/>
      <c r="CU34" s="123">
        <f ca="1">SUMIFS(
  m.vb[valor],
  m.vb[nucleo],$CN$1,
  m.vb[variavel],CU$7,
  m.vb[mes],$A34
)</f>
        <v>0</v>
      </c>
      <c r="CV34" s="123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3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3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5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21">
        <v>45170</v>
      </c>
      <c r="B35" s="122">
        <f>COUNTIFS(
    tb_estq[empresa], B$6,
    tb_estq[Data da venda / reserva], "&gt;=" &amp; $A35,
    tb_estq[Data da venda / reserva], "&lt;"  &amp; EOMONTH($A35,0) + 1
)</f>
        <v>0</v>
      </c>
      <c r="C35" s="123">
        <f ca="1">SUMIFS(tb_rec_uni[2023-09-01],
INDIRECT("tb_rec_uni[natureza]"),"pro.soluto",
INDIRECT("tb_rec_uni[empresa]"),C$6)</f>
        <v>0</v>
      </c>
      <c r="D35" s="123">
        <f ca="1">SUMIFS(tb_rec_uni[2023-09-01],
INDIRECT("tb_rec_uni[natureza]"),"repasse.cef.obra",
INDIRECT("tb_rec_uni[empresa]"),D$6)</f>
        <v>0</v>
      </c>
      <c r="E35" s="123">
        <f ca="1">SUMIFS(tb_rec_uni[2023-09-01],
INDIRECT("tb_rec_uni[natureza]"),"repasse.cef.terreno",
INDIRECT("tb_rec_uni[empresa]"),E$6)</f>
        <v>0</v>
      </c>
      <c r="F35" s="123">
        <v>0</v>
      </c>
      <c r="G35" s="123">
        <f ca="1">SUMIFS(tb_rec_uni[2023-09-01],
INDIRECT("tb_rec_uni[natureza]"),"taxa.extra",
INDIRECT("tb_rec_uni[empresa]"),G$6)</f>
        <v>0</v>
      </c>
      <c r="H35" s="111"/>
      <c r="I35" s="123">
        <f ca="1">SUMIFS(
  m.vb[valor],
  m.vb[nucleo],$B$1,
  m.vb[variavel],I$7,
  m.vb[mes],$A35
)</f>
        <v>0</v>
      </c>
      <c r="J35" s="123">
        <f ca="1">SUMIFS(
  m.vb[valor],
  m.vb[nucleo],$B$1,
  m.vb[variavel],J$7,
  m.vb[mes],$A35
)</f>
        <v>0</v>
      </c>
      <c r="K35" s="123">
        <f ca="1">SUMIFS(
  m.vb[valor],
  m.vb[nucleo],$B$1,
  m.vb[variavel],K$7,
  m.vb[mes],$A35
)</f>
        <v>0</v>
      </c>
      <c r="L35" s="123">
        <f ca="1">SUMIFS(
  m.vb[valor],
  m.vb[nucleo],$B$1,
  m.vb[variavel],L$7,
  m.vb[mes],$A35
)</f>
        <v>0</v>
      </c>
      <c r="M35" s="124">
        <f ca="1">SUMIFS(
  m.vb[valor],
  m.vb[nucleo],$B$1,
  m.vb[variavel],M$7,
  m.vb[mes],$A35
)</f>
        <v>0</v>
      </c>
      <c r="N35" s="122">
        <f>COUNTIFS(
    tb_estq[empresa], N$6,
    tb_estq[Data da venda / reserva], "&gt;=" &amp; $A35,
    tb_estq[Data da venda / reserva], "&lt;"  &amp; EOMONTH($A35,0) + 1
)</f>
        <v>0</v>
      </c>
      <c r="O35" s="123">
        <f ca="1">SUMIFS(tb_rec_uni[2023-09-01],
INDIRECT("tb_rec_uni[natureza]"),"pro.soluto",
INDIRECT("tb_rec_uni[empresa]"),O$6)</f>
        <v>0</v>
      </c>
      <c r="P35" s="123">
        <f ca="1">SUMIFS(tb_rec_uni[2023-09-01],
INDIRECT("tb_rec_uni[natureza]"),"repasse.cef.obra",
INDIRECT("tb_rec_uni[empresa]"),P$6)</f>
        <v>0</v>
      </c>
      <c r="Q35" s="123">
        <f ca="1">SUMIFS(tb_rec_uni[2023-09-01],
INDIRECT("tb_rec_uni[natureza]"),"repasse.cef.terreno",
INDIRECT("tb_rec_uni[empresa]"),Q$6)</f>
        <v>0</v>
      </c>
      <c r="R35" s="123">
        <v>445799.01</v>
      </c>
      <c r="S35" s="123">
        <f ca="1">SUMIFS(tb_rec_uni[2023-09-01],
INDIRECT("tb_rec_uni[natureza]"),"taxa.extra",
INDIRECT("tb_rec_uni[empresa]"),S$6)</f>
        <v>0</v>
      </c>
      <c r="T35" s="111"/>
      <c r="U35" s="123">
        <f ca="1">SUMIFS(
  m.vb[valor],
  m.vb[nucleo],$N$1,
  m.vb[variavel],U$7,
  m.vb[mes],$A35
)</f>
        <v>0</v>
      </c>
      <c r="V35" s="123">
        <f ca="1">SUMIFS(
  m.vb[valor],
  m.vb[nucleo],$N$1,
  m.vb[variavel],V$7,
  m.vb[mes],$A35
)</f>
        <v>0</v>
      </c>
      <c r="W35" s="123">
        <f ca="1">SUMIFS(
  m.vb[valor],
  m.vb[nucleo],$N$1,
  m.vb[variavel],W$7,
  m.vb[mes],$A35
)</f>
        <v>0</v>
      </c>
      <c r="X35" s="123">
        <f ca="1">SUMIFS(
  m.vb[valor],
  m.vb[nucleo],$N$1,
  m.vb[variavel],X$7,
  m.vb[mes],$A35
)</f>
        <v>0</v>
      </c>
      <c r="Y35" s="124">
        <f ca="1">SUMIFS(
  m.vb[valor],
  m.vb[nucleo],$N$1,
  m.vb[variavel],Y$7,
  m.vb[mes],$A35
)</f>
        <v>0</v>
      </c>
      <c r="Z35" s="122">
        <f>COUNTIFS(
    tb_estq[empresa], Z$6,
    tb_estq[Data da venda / reserva], "&gt;=" &amp; $A35,
    tb_estq[Data da venda / reserva], "&lt;"  &amp; EOMONTH($A35,0) + 1
)</f>
        <v>0</v>
      </c>
      <c r="AA35" s="123">
        <f ca="1">SUMIFS(tb_rec_uni[2023-09-01],
INDIRECT("tb_rec_uni[natureza]"),"pro.soluto",
INDIRECT("tb_rec_uni[empresa]"),AA$6)</f>
        <v>0</v>
      </c>
      <c r="AB35" s="123">
        <f ca="1">SUMIFS(tb_rec_uni[2023-09-01],
INDIRECT("tb_rec_uni[natureza]"),"parcela.fin.total.ik",
INDIRECT("tb_rec_uni[empresa]"),AB$6)</f>
        <v>0</v>
      </c>
      <c r="AC35" s="123">
        <f ca="1">SUMIFS(tb_rec_uni[2023-09-01],
INDIRECT("tb_rec_uni[natureza]"),"taxa.extra",
INDIRECT("tb_rec_uni[empresa]"),AC$6)</f>
        <v>0</v>
      </c>
      <c r="AD35" s="111"/>
      <c r="AE35" s="123">
        <f ca="1">SUMIFS(
  m.vb[valor],
  m.vb[nucleo],$Z$1,
  m.vb[variavel],AE$7,
  m.vb[mes],$A35
)</f>
        <v>0</v>
      </c>
      <c r="AF35" s="123">
        <f ca="1">SUMIFS(
  m.vb[valor],
  m.vb[nucleo],$Z$1,
  m.vb[variavel],AF$7,
  m.vb[mes],$A35
)</f>
        <v>0</v>
      </c>
      <c r="AG35" s="123">
        <f ca="1">SUMIFS(
  m.vb[valor],
  m.vb[nucleo],$Z$1,
  m.vb[variavel],AG$7,
  m.vb[mes],$A35
)</f>
        <v>0</v>
      </c>
      <c r="AH35" s="123">
        <f ca="1">SUMIFS(
  m.vb[valor],
  m.vb[nucleo],$Z$1,
  m.vb[variavel],AH$7,
  m.vb[mes],$A35
)</f>
        <v>0</v>
      </c>
      <c r="AI35" s="124">
        <f ca="1">SUMIFS(
  m.vb[valor],
  m.vb[nucleo],$Z$1,
  m.vb[variavel],AI$7,
  m.vb[mes],$A35
)</f>
        <v>0</v>
      </c>
      <c r="AJ35" s="122">
        <f>COUNTIFS(
    tb_estq[empresa], AJ$6,
    tb_estq[Data da venda / reserva], "&gt;=" &amp; $A35,
    tb_estq[Data da venda / reserva], "&lt;"  &amp; EOMONTH($A35,0) + 1
)</f>
        <v>0</v>
      </c>
      <c r="AK35" s="123">
        <f ca="1">SUMIFS(tb_rec_uni[2023-09-01],
INDIRECT("tb_rec_uni[natureza]"),"pro.soluto",
INDIRECT("tb_rec_uni[empresa]"),AK$6)</f>
        <v>0</v>
      </c>
      <c r="AL35" s="123">
        <f ca="1">SUMIFS(tb_rec_uni[2023-09-01],
INDIRECT("tb_rec_uni[natureza]"),"repasse.cef.obra",
INDIRECT("tb_rec_uni[empresa]"),AL$6)</f>
        <v>0</v>
      </c>
      <c r="AM35" s="123">
        <f ca="1">SUMIFS(tb_rec_uni[2023-09-01],
INDIRECT("tb_rec_uni[natureza]"),"repasse.cef.terreno",
INDIRECT("tb_rec_uni[empresa]"),AM$6)</f>
        <v>0</v>
      </c>
      <c r="AN35" s="123">
        <v>0</v>
      </c>
      <c r="AO35" s="123">
        <f ca="1">SUMIFS(tb_rec_uni[2023-09-01],
INDIRECT("tb_rec_uni[natureza]"),"taxa.extra",
INDIRECT("tb_rec_uni[empresa]"),AO$6)</f>
        <v>0</v>
      </c>
      <c r="AP35" s="111"/>
      <c r="AQ35" s="123">
        <f ca="1">SUMIFS(
  m.vb[valor],
  m.vb[nucleo],$AJ$1,
  m.vb[variavel],AQ$7,
  m.vb[mes],$A35
)</f>
        <v>0</v>
      </c>
      <c r="AR35" s="123">
        <f ca="1">SUMIFS(
  m.vb[valor],
  m.vb[nucleo],$AJ$1,
  m.vb[variavel],AR$7,
  m.vb[mes],$A35
)</f>
        <v>0</v>
      </c>
      <c r="AS35" s="123">
        <f ca="1">SUMIFS(
  m.vb[valor],
  m.vb[nucleo],$AJ$1,
  m.vb[variavel],AS$7,
  m.vb[mes],$A35
)</f>
        <v>0</v>
      </c>
      <c r="AT35" s="123">
        <f ca="1">SUMIFS(
  m.vb[valor],
  m.vb[nucleo],$AJ$1,
  m.vb[variavel],AT$7,
  m.vb[mes],$A35
)</f>
        <v>0</v>
      </c>
      <c r="AU35" s="124">
        <f ca="1">SUMIFS(
  m.vb[valor],
  m.vb[nucleo],$AJ$1,
  m.vb[variavel],AU$7,
  m.vb[mes],$A35
)</f>
        <v>0</v>
      </c>
      <c r="AV35" s="122">
        <f>COUNTIFS(
    tb_estq[empresa], AV$6,
    tb_estq[Data da venda / reserva], "&gt;=" &amp; $A35,
    tb_estq[Data da venda / reserva], "&lt;"  &amp; EOMONTH($A35,0) + 1
)</f>
        <v>0</v>
      </c>
      <c r="AW35" s="123">
        <f ca="1">SUMIFS(tb_rec_uni[2023-09-01],
INDIRECT("tb_rec_uni[natureza]"),"pro.soluto",
INDIRECT("tb_rec_uni[empresa]"),AW$6)</f>
        <v>0</v>
      </c>
      <c r="AX35" s="123">
        <f ca="1">SUMIFS(tb_rec_uni[2023-09-01],
INDIRECT("tb_rec_uni[natureza]"),"repasse.cef.obra",
INDIRECT("tb_rec_uni[empresa]"),AX$6)</f>
        <v>0</v>
      </c>
      <c r="AY35" s="123">
        <f ca="1">SUMIFS(tb_rec_uni[2023-09-01],
INDIRECT("tb_rec_uni[natureza]"),"repasse.cef.terreno",
INDIRECT("tb_rec_uni[empresa]"),AY$6)</f>
        <v>0</v>
      </c>
      <c r="AZ35" s="123">
        <v>0</v>
      </c>
      <c r="BA35" s="123">
        <f ca="1">SUMIFS(tb_rec_uni[2023-09-01],
INDIRECT("tb_rec_uni[natureza]"),"taxa.extra",
INDIRECT("tb_rec_uni[empresa]"),BA$6)</f>
        <v>0</v>
      </c>
      <c r="BB35" s="111"/>
      <c r="BC35" s="123">
        <f ca="1">SUMIFS(
  m.vb[valor],
  m.vb[nucleo],$AV$1,
  m.vb[variavel],BC$7,
  m.vb[mes],$A35
)</f>
        <v>0</v>
      </c>
      <c r="BD35" s="123">
        <f ca="1">SUMIFS(
  m.vb[valor],
  m.vb[nucleo],$AV$1,
  m.vb[variavel],BD$7,
  m.vb[mes],$A35
)</f>
        <v>0</v>
      </c>
      <c r="BE35" s="123">
        <f ca="1">SUMIFS(
  m.vb[valor],
  m.vb[nucleo],$AV$1,
  m.vb[variavel],BE$7,
  m.vb[mes],$A35
)</f>
        <v>0</v>
      </c>
      <c r="BF35" s="123">
        <f ca="1">SUMIFS(
  m.vb[valor],
  m.vb[nucleo],$AV$1,
  m.vb[variavel],BF$7,
  m.vb[mes],$A35
)</f>
        <v>0</v>
      </c>
      <c r="BG35" s="124">
        <f ca="1">SUMIFS(
  m.vb[valor],
  m.vb[nucleo],$AV$1,
  m.vb[variavel],BG$7,
  m.vb[mes],$A35
)</f>
        <v>0</v>
      </c>
      <c r="BH35" s="122">
        <f>COUNTIFS(
    tb_estq[empresa], BH$6,
    tb_estq[Data da venda / reserva], "&gt;=" &amp; $A35,
    tb_estq[Data da venda / reserva], "&lt;"  &amp; EOMONTH($A35,0) + 1
)</f>
        <v>0</v>
      </c>
      <c r="BI35" s="123">
        <f ca="1">SUMIFS(tb_rec_uni[2023-09-01],
INDIRECT("tb_rec_uni[natureza]"),"pro.soluto",
INDIRECT("tb_rec_uni[empresa]"),BI$6)</f>
        <v>0</v>
      </c>
      <c r="BJ35" s="111">
        <v>0</v>
      </c>
      <c r="BK35" s="123">
        <f ca="1">SUMIFS(tb_rec_uni[2023-09-01],
INDIRECT("tb_rec_uni[natureza]"),"taxa.extra",
INDIRECT("tb_rec_uni[empresa]"),BK$6)</f>
        <v>0</v>
      </c>
      <c r="BL35" s="111"/>
      <c r="BM35" s="123">
        <f ca="1">SUMIFS(
  m.vb[valor],
  m.vb[nucleo],$BH$1,
  m.vb[variavel],BM$7,
  m.vb[mes],$A35
)</f>
        <v>0</v>
      </c>
      <c r="BN35" s="123">
        <f ca="1">SUMIFS(
  m.vb[valor],
  m.vb[nucleo],$BH$1,
  m.vb[variavel],BN$7,
  m.vb[mes],$A35
)</f>
        <v>0</v>
      </c>
      <c r="BO35" s="123">
        <f ca="1">SUMIFS(
  m.vb[valor],
  m.vb[nucleo],$BH$1,
  m.vb[variavel],BO$7,
  m.vb[mes],$A35
)</f>
        <v>0</v>
      </c>
      <c r="BP35" s="123">
        <f ca="1">SUMIFS(
  m.vb[valor],
  m.vb[nucleo],$BH$1,
  m.vb[variavel],BP$7,
  m.vb[mes],$A35
)</f>
        <v>0</v>
      </c>
      <c r="BQ35" s="124">
        <f ca="1">SUMIFS(
  m.vb[valor],
  m.vb[nucleo],$BH$1,
  m.vb[variavel],BQ$7,
  m.vb[mes],$A35
)</f>
        <v>0</v>
      </c>
      <c r="BR35" s="122">
        <f>COUNTIFS(
    tb_estq[empresa], BR$6,
    tb_estq[Data da venda / reserva], "&gt;=" &amp; $A35,
    tb_estq[Data da venda / reserva], "&lt;"  &amp; EOMONTH($A35,0) + 1
)</f>
        <v>0</v>
      </c>
      <c r="BS35" s="123">
        <f ca="1">SUMIFS(tb_rec_uni[2023-09-01],
INDIRECT("tb_rec_uni[natureza]"),"pro.soluto",
INDIRECT("tb_rec_uni[empresa]"),BS$6)</f>
        <v>0</v>
      </c>
      <c r="BT35" s="123">
        <f ca="1">SUMIFS(tb_rec_uni[2023-09-01],
INDIRECT("tb_rec_uni[natureza]"),"parcela.fin.total.ik",
INDIRECT("tb_rec_uni[empresa]"),BT$6)</f>
        <v>0</v>
      </c>
      <c r="BU35" s="123">
        <f ca="1">SUMIFS(tb_rec_uni[2023-09-01],
INDIRECT("tb_rec_uni[natureza]"),"taxa.extra",
INDIRECT("tb_rec_uni[empresa]"),BU$6)</f>
        <v>0</v>
      </c>
      <c r="BV35" s="111"/>
      <c r="BW35" s="123">
        <f ca="1">SUMIFS(
  m.vb[valor],
  m.vb[nucleo],$BR$1,
  m.vb[variavel],BW$7,
  m.vb[mes],$A35
)</f>
        <v>0</v>
      </c>
      <c r="BX35" s="123">
        <f ca="1">SUMIFS(
  m.vb[valor],
  m.vb[nucleo],$BR$1,
  m.vb[variavel],BX$7,
  m.vb[mes],$A35
)</f>
        <v>0</v>
      </c>
      <c r="BY35" s="123">
        <f ca="1">SUMIFS(
  m.vb[valor],
  m.vb[nucleo],$BR$1,
  m.vb[variavel],BY$7,
  m.vb[mes],$A35
)</f>
        <v>0</v>
      </c>
      <c r="BZ35" s="123">
        <f ca="1">SUMIFS(
  m.vb[valor],
  m.vb[nucleo],$BR$1,
  m.vb[variavel],BZ$7,
  m.vb[mes],$A35
)</f>
        <v>0</v>
      </c>
      <c r="CA35" s="124">
        <f ca="1">SUMIFS(
  m.vb[valor],
  m.vb[nucleo],$BR$1,
  m.vb[variavel],CA$7,
  m.vb[mes],$A35
)</f>
        <v>0</v>
      </c>
      <c r="CB35" s="122">
        <f>COUNTIFS(
    tb_estq[empresa], CB$6,
    tb_estq[Data da venda / reserva], "&gt;=" &amp; $A35,
    tb_estq[Data da venda / reserva], "&lt;"  &amp; EOMONTH($A35,0) + 1
)</f>
        <v>0</v>
      </c>
      <c r="CC35" s="123">
        <f ca="1">SUMIFS(tb_rec_uni[2023-09-01],
INDIRECT("tb_rec_uni[natureza]"),"pro.soluto",
INDIRECT("tb_rec_uni[empresa]"),CC$6)</f>
        <v>0</v>
      </c>
      <c r="CD35" s="123">
        <f ca="1">SUMIFS(tb_rec_uni[2023-09-01],
INDIRECT("tb_rec_uni[natureza]"),"repasse.cef.obra",
INDIRECT("tb_rec_uni[empresa]"),CD$6)</f>
        <v>0</v>
      </c>
      <c r="CE35" s="123">
        <f ca="1">SUMIFS(tb_rec_uni[2023-09-01],
INDIRECT("tb_rec_uni[natureza]"),"repasse.cef.terreno",
INDIRECT("tb_rec_uni[empresa]"),CE$6)</f>
        <v>0</v>
      </c>
      <c r="CF35" s="123">
        <v>0</v>
      </c>
      <c r="CG35" s="123">
        <f ca="1">SUMIFS(tb_rec_uni[2023-09-01],
INDIRECT("tb_rec_uni[natureza]"),"taxa.extra",
INDIRECT("tb_rec_uni[empresa]"),CG$6)</f>
        <v>0</v>
      </c>
      <c r="CH35" s="111"/>
      <c r="CI35" s="123">
        <f ca="1">SUMIFS(
  m.vb[valor],
  m.vb[nucleo],$CB$1,
  m.vb[variavel],CI$7,
  m.vb[mes],$A35
)</f>
        <v>0</v>
      </c>
      <c r="CJ35" s="123">
        <f ca="1">SUMIFS(
  m.vb[valor],
  m.vb[nucleo],$CB$1,
  m.vb[variavel],CJ$7,
  m.vb[mes],$A35
)</f>
        <v>0</v>
      </c>
      <c r="CK35" s="123">
        <f ca="1">SUMIFS(
  m.vb[valor],
  m.vb[nucleo],$CB$1,
  m.vb[variavel],CK$7,
  m.vb[mes],$A35
)</f>
        <v>0</v>
      </c>
      <c r="CL35" s="123">
        <f ca="1">SUMIFS(
  m.vb[valor],
  m.vb[nucleo],$CB$1,
  m.vb[variavel],CL$7,
  m.vb[mes],$A35
)</f>
        <v>0</v>
      </c>
      <c r="CM35" s="124">
        <f ca="1">SUMIFS(
  m.vb[valor],
  m.vb[nucleo],$CB$1,
  m.vb[variavel],CM$7,
  m.vb[mes],$A35
)</f>
        <v>0</v>
      </c>
      <c r="CN35" s="122">
        <f>COUNTIFS(
    tb_estq[empresa], CN$6,
    tb_estq[Data da venda / reserva], "&gt;=" &amp; $A35,
    tb_estq[Data da venda / reserva], "&lt;"  &amp; EOMONTH($A35,0) + 1
)</f>
        <v>0</v>
      </c>
      <c r="CO35" s="123">
        <f ca="1">SUMIFS(tb_rec_uni[2023-09-01],
INDIRECT("tb_rec_uni[natureza]"),"pro.soluto",
INDIRECT("tb_rec_uni[empresa]"),CO$6)</f>
        <v>0</v>
      </c>
      <c r="CP35" s="123">
        <f ca="1">SUMIFS(tb_rec_uni[2023-09-01],
INDIRECT("tb_rec_uni[natureza]"),"repasse.cef.obra",
INDIRECT("tb_rec_uni[empresa]"),CP$6)</f>
        <v>0</v>
      </c>
      <c r="CQ35" s="123">
        <f ca="1">SUMIFS(tb_rec_uni[2023-09-01],
INDIRECT("tb_rec_uni[natureza]"),"repasse.cef.terreno",
INDIRECT("tb_rec_uni[empresa]"),CQ$6)</f>
        <v>0</v>
      </c>
      <c r="CR35" s="123">
        <v>0</v>
      </c>
      <c r="CS35" s="123">
        <f ca="1">SUMIFS(tb_rec_uni[2023-09-01],
INDIRECT("tb_rec_uni[natureza]"),"taxa.extra",
INDIRECT("tb_rec_uni[empresa]"),CS$6)</f>
        <v>0</v>
      </c>
      <c r="CT35" s="111"/>
      <c r="CU35" s="123">
        <f ca="1">SUMIFS(
  m.vb[valor],
  m.vb[nucleo],$CN$1,
  m.vb[variavel],CU$7,
  m.vb[mes],$A35
)</f>
        <v>0</v>
      </c>
      <c r="CV35" s="123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3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3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5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21">
        <v>45200</v>
      </c>
      <c r="B36" s="122">
        <f>COUNTIFS(
    tb_estq[empresa], B$6,
    tb_estq[Data da venda / reserva], "&gt;=" &amp; $A36,
    tb_estq[Data da venda / reserva], "&lt;"  &amp; EOMONTH($A36,0) + 1
)</f>
        <v>0</v>
      </c>
      <c r="C36" s="123">
        <f ca="1">SUMIFS(tb_rec_uni[2023-10-01],
INDIRECT("tb_rec_uni[natureza]"),"pro.soluto",
INDIRECT("tb_rec_uni[empresa]"),C$6)</f>
        <v>0</v>
      </c>
      <c r="D36" s="123">
        <f ca="1">SUMIFS(tb_rec_uni[2023-10-01],
INDIRECT("tb_rec_uni[natureza]"),"repasse.cef.obra",
INDIRECT("tb_rec_uni[empresa]"),D$6)</f>
        <v>0</v>
      </c>
      <c r="E36" s="123">
        <f ca="1">SUMIFS(tb_rec_uni[2023-10-01],
INDIRECT("tb_rec_uni[natureza]"),"repasse.cef.terreno",
INDIRECT("tb_rec_uni[empresa]"),E$6)</f>
        <v>0</v>
      </c>
      <c r="F36" s="123">
        <v>0</v>
      </c>
      <c r="G36" s="123">
        <f ca="1">SUMIFS(tb_rec_uni[2023-10-01],
INDIRECT("tb_rec_uni[natureza]"),"taxa.extra",
INDIRECT("tb_rec_uni[empresa]"),G$6)</f>
        <v>0</v>
      </c>
      <c r="H36" s="111"/>
      <c r="I36" s="123">
        <f ca="1">SUMIFS(
  m.vb[valor],
  m.vb[nucleo],$B$1,
  m.vb[variavel],I$7,
  m.vb[mes],$A36
)</f>
        <v>0</v>
      </c>
      <c r="J36" s="123">
        <f ca="1">SUMIFS(
  m.vb[valor],
  m.vb[nucleo],$B$1,
  m.vb[variavel],J$7,
  m.vb[mes],$A36
)</f>
        <v>0</v>
      </c>
      <c r="K36" s="123">
        <f ca="1">SUMIFS(
  m.vb[valor],
  m.vb[nucleo],$B$1,
  m.vb[variavel],K$7,
  m.vb[mes],$A36
)</f>
        <v>0</v>
      </c>
      <c r="L36" s="123">
        <f ca="1">SUMIFS(
  m.vb[valor],
  m.vb[nucleo],$B$1,
  m.vb[variavel],L$7,
  m.vb[mes],$A36
)</f>
        <v>0</v>
      </c>
      <c r="M36" s="124">
        <f ca="1">SUMIFS(
  m.vb[valor],
  m.vb[nucleo],$B$1,
  m.vb[variavel],M$7,
  m.vb[mes],$A36
)</f>
        <v>0</v>
      </c>
      <c r="N36" s="122">
        <f>COUNTIFS(
    tb_estq[empresa], N$6,
    tb_estq[Data da venda / reserva], "&gt;=" &amp; $A36,
    tb_estq[Data da venda / reserva], "&lt;"  &amp; EOMONTH($A36,0) + 1
)</f>
        <v>0</v>
      </c>
      <c r="O36" s="123">
        <f ca="1">SUMIFS(tb_rec_uni[2023-10-01],
INDIRECT("tb_rec_uni[natureza]"),"pro.soluto",
INDIRECT("tb_rec_uni[empresa]"),O$6)</f>
        <v>0</v>
      </c>
      <c r="P36" s="123">
        <f ca="1">SUMIFS(tb_rec_uni[2023-10-01],
INDIRECT("tb_rec_uni[natureza]"),"repasse.cef.obra",
INDIRECT("tb_rec_uni[empresa]"),P$6)</f>
        <v>0</v>
      </c>
      <c r="Q36" s="123">
        <f ca="1">SUMIFS(tb_rec_uni[2023-10-01],
INDIRECT("tb_rec_uni[natureza]"),"repasse.cef.terreno",
INDIRECT("tb_rec_uni[empresa]"),Q$6)</f>
        <v>0</v>
      </c>
      <c r="R36" s="123">
        <v>0</v>
      </c>
      <c r="S36" s="123">
        <f ca="1">SUMIFS(tb_rec_uni[2023-10-01],
INDIRECT("tb_rec_uni[natureza]"),"taxa.extra",
INDIRECT("tb_rec_uni[empresa]"),S$6)</f>
        <v>0</v>
      </c>
      <c r="T36" s="111"/>
      <c r="U36" s="123">
        <f ca="1">SUMIFS(
  m.vb[valor],
  m.vb[nucleo],$N$1,
  m.vb[variavel],U$7,
  m.vb[mes],$A36
)</f>
        <v>0</v>
      </c>
      <c r="V36" s="123">
        <f ca="1">SUMIFS(
  m.vb[valor],
  m.vb[nucleo],$N$1,
  m.vb[variavel],V$7,
  m.vb[mes],$A36
)</f>
        <v>0</v>
      </c>
      <c r="W36" s="123">
        <f ca="1">SUMIFS(
  m.vb[valor],
  m.vb[nucleo],$N$1,
  m.vb[variavel],W$7,
  m.vb[mes],$A36
)</f>
        <v>0</v>
      </c>
      <c r="X36" s="123">
        <f ca="1">SUMIFS(
  m.vb[valor],
  m.vb[nucleo],$N$1,
  m.vb[variavel],X$7,
  m.vb[mes],$A36
)</f>
        <v>0</v>
      </c>
      <c r="Y36" s="124">
        <f ca="1">SUMIFS(
  m.vb[valor],
  m.vb[nucleo],$N$1,
  m.vb[variavel],Y$7,
  m.vb[mes],$A36
)</f>
        <v>0</v>
      </c>
      <c r="Z36" s="122">
        <f>COUNTIFS(
    tb_estq[empresa], Z$6,
    tb_estq[Data da venda / reserva], "&gt;=" &amp; $A36,
    tb_estq[Data da venda / reserva], "&lt;"  &amp; EOMONTH($A36,0) + 1
)</f>
        <v>0</v>
      </c>
      <c r="AA36" s="123">
        <f ca="1">SUMIFS(tb_rec_uni[2023-10-01],
INDIRECT("tb_rec_uni[natureza]"),"pro.soluto",
INDIRECT("tb_rec_uni[empresa]"),AA$6)</f>
        <v>0</v>
      </c>
      <c r="AB36" s="123">
        <f ca="1">SUMIFS(tb_rec_uni[2023-10-01],
INDIRECT("tb_rec_uni[natureza]"),"parcela.fin.total.ik",
INDIRECT("tb_rec_uni[empresa]"),AB$6)</f>
        <v>0</v>
      </c>
      <c r="AC36" s="123">
        <f ca="1">SUMIFS(tb_rec_uni[2023-10-01],
INDIRECT("tb_rec_uni[natureza]"),"taxa.extra",
INDIRECT("tb_rec_uni[empresa]"),AC$6)</f>
        <v>0</v>
      </c>
      <c r="AD36" s="111"/>
      <c r="AE36" s="123">
        <f ca="1">SUMIFS(
  m.vb[valor],
  m.vb[nucleo],$Z$1,
  m.vb[variavel],AE$7,
  m.vb[mes],$A36
)</f>
        <v>0</v>
      </c>
      <c r="AF36" s="123">
        <f ca="1">SUMIFS(
  m.vb[valor],
  m.vb[nucleo],$Z$1,
  m.vb[variavel],AF$7,
  m.vb[mes],$A36
)</f>
        <v>0</v>
      </c>
      <c r="AG36" s="123">
        <f ca="1">SUMIFS(
  m.vb[valor],
  m.vb[nucleo],$Z$1,
  m.vb[variavel],AG$7,
  m.vb[mes],$A36
)</f>
        <v>0</v>
      </c>
      <c r="AH36" s="123">
        <f ca="1">SUMIFS(
  m.vb[valor],
  m.vb[nucleo],$Z$1,
  m.vb[variavel],AH$7,
  m.vb[mes],$A36
)</f>
        <v>0</v>
      </c>
      <c r="AI36" s="124">
        <f ca="1">SUMIFS(
  m.vb[valor],
  m.vb[nucleo],$Z$1,
  m.vb[variavel],AI$7,
  m.vb[mes],$A36
)</f>
        <v>0</v>
      </c>
      <c r="AJ36" s="122">
        <f>COUNTIFS(
    tb_estq[empresa], AJ$6,
    tb_estq[Data da venda / reserva], "&gt;=" &amp; $A36,
    tb_estq[Data da venda / reserva], "&lt;"  &amp; EOMONTH($A36,0) + 1
)</f>
        <v>0</v>
      </c>
      <c r="AK36" s="123">
        <f ca="1">SUMIFS(tb_rec_uni[2023-10-01],
INDIRECT("tb_rec_uni[natureza]"),"pro.soluto",
INDIRECT("tb_rec_uni[empresa]"),AK$6)</f>
        <v>0</v>
      </c>
      <c r="AL36" s="123">
        <f ca="1">SUMIFS(tb_rec_uni[2023-10-01],
INDIRECT("tb_rec_uni[natureza]"),"repasse.cef.obra",
INDIRECT("tb_rec_uni[empresa]"),AL$6)</f>
        <v>0</v>
      </c>
      <c r="AM36" s="123">
        <f ca="1">SUMIFS(tb_rec_uni[2023-10-01],
INDIRECT("tb_rec_uni[natureza]"),"repasse.cef.terreno",
INDIRECT("tb_rec_uni[empresa]"),AM$6)</f>
        <v>0</v>
      </c>
      <c r="AN36" s="123">
        <v>0</v>
      </c>
      <c r="AO36" s="123">
        <f ca="1">SUMIFS(tb_rec_uni[2023-10-01],
INDIRECT("tb_rec_uni[natureza]"),"taxa.extra",
INDIRECT("tb_rec_uni[empresa]"),AO$6)</f>
        <v>0</v>
      </c>
      <c r="AP36" s="111"/>
      <c r="AQ36" s="123">
        <f ca="1">SUMIFS(
  m.vb[valor],
  m.vb[nucleo],$AJ$1,
  m.vb[variavel],AQ$7,
  m.vb[mes],$A36
)</f>
        <v>0</v>
      </c>
      <c r="AR36" s="123">
        <f ca="1">SUMIFS(
  m.vb[valor],
  m.vb[nucleo],$AJ$1,
  m.vb[variavel],AR$7,
  m.vb[mes],$A36
)</f>
        <v>0</v>
      </c>
      <c r="AS36" s="123">
        <f ca="1">SUMIFS(
  m.vb[valor],
  m.vb[nucleo],$AJ$1,
  m.vb[variavel],AS$7,
  m.vb[mes],$A36
)</f>
        <v>0</v>
      </c>
      <c r="AT36" s="123">
        <f ca="1">SUMIFS(
  m.vb[valor],
  m.vb[nucleo],$AJ$1,
  m.vb[variavel],AT$7,
  m.vb[mes],$A36
)</f>
        <v>0</v>
      </c>
      <c r="AU36" s="124">
        <f ca="1">SUMIFS(
  m.vb[valor],
  m.vb[nucleo],$AJ$1,
  m.vb[variavel],AU$7,
  m.vb[mes],$A36
)</f>
        <v>0</v>
      </c>
      <c r="AV36" s="122">
        <f>COUNTIFS(
    tb_estq[empresa], AV$6,
    tb_estq[Data da venda / reserva], "&gt;=" &amp; $A36,
    tb_estq[Data da venda / reserva], "&lt;"  &amp; EOMONTH($A36,0) + 1
)</f>
        <v>0</v>
      </c>
      <c r="AW36" s="123">
        <f ca="1">SUMIFS(tb_rec_uni[2023-10-01],
INDIRECT("tb_rec_uni[natureza]"),"pro.soluto",
INDIRECT("tb_rec_uni[empresa]"),AW$6)</f>
        <v>0</v>
      </c>
      <c r="AX36" s="123">
        <f ca="1">SUMIFS(tb_rec_uni[2023-10-01],
INDIRECT("tb_rec_uni[natureza]"),"repasse.cef.obra",
INDIRECT("tb_rec_uni[empresa]"),AX$6)</f>
        <v>0</v>
      </c>
      <c r="AY36" s="123">
        <f ca="1">SUMIFS(tb_rec_uni[2023-10-01],
INDIRECT("tb_rec_uni[natureza]"),"repasse.cef.terreno",
INDIRECT("tb_rec_uni[empresa]"),AY$6)</f>
        <v>0</v>
      </c>
      <c r="AZ36" s="123">
        <v>0</v>
      </c>
      <c r="BA36" s="123">
        <f ca="1">SUMIFS(tb_rec_uni[2023-10-01],
INDIRECT("tb_rec_uni[natureza]"),"taxa.extra",
INDIRECT("tb_rec_uni[empresa]"),BA$6)</f>
        <v>0</v>
      </c>
      <c r="BB36" s="111"/>
      <c r="BC36" s="123">
        <f ca="1">SUMIFS(
  m.vb[valor],
  m.vb[nucleo],$AV$1,
  m.vb[variavel],BC$7,
  m.vb[mes],$A36
)</f>
        <v>0</v>
      </c>
      <c r="BD36" s="123">
        <f ca="1">SUMIFS(
  m.vb[valor],
  m.vb[nucleo],$AV$1,
  m.vb[variavel],BD$7,
  m.vb[mes],$A36
)</f>
        <v>0</v>
      </c>
      <c r="BE36" s="123">
        <f ca="1">SUMIFS(
  m.vb[valor],
  m.vb[nucleo],$AV$1,
  m.vb[variavel],BE$7,
  m.vb[mes],$A36
)</f>
        <v>0</v>
      </c>
      <c r="BF36" s="123">
        <f ca="1">SUMIFS(
  m.vb[valor],
  m.vb[nucleo],$AV$1,
  m.vb[variavel],BF$7,
  m.vb[mes],$A36
)</f>
        <v>0</v>
      </c>
      <c r="BG36" s="124">
        <f ca="1">SUMIFS(
  m.vb[valor],
  m.vb[nucleo],$AV$1,
  m.vb[variavel],BG$7,
  m.vb[mes],$A36
)</f>
        <v>0</v>
      </c>
      <c r="BH36" s="122">
        <f>COUNTIFS(
    tb_estq[empresa], BH$6,
    tb_estq[Data da venda / reserva], "&gt;=" &amp; $A36,
    tb_estq[Data da venda / reserva], "&lt;"  &amp; EOMONTH($A36,0) + 1
)</f>
        <v>0</v>
      </c>
      <c r="BI36" s="123">
        <f ca="1">SUMIFS(tb_rec_uni[2023-10-01],
INDIRECT("tb_rec_uni[natureza]"),"pro.soluto",
INDIRECT("tb_rec_uni[empresa]"),BI$6)</f>
        <v>0</v>
      </c>
      <c r="BJ36" s="111">
        <v>0</v>
      </c>
      <c r="BK36" s="123">
        <f ca="1">SUMIFS(tb_rec_uni[2023-10-01],
INDIRECT("tb_rec_uni[natureza]"),"taxa.extra",
INDIRECT("tb_rec_uni[empresa]"),BK$6)</f>
        <v>0</v>
      </c>
      <c r="BL36" s="111"/>
      <c r="BM36" s="123">
        <f ca="1">SUMIFS(
  m.vb[valor],
  m.vb[nucleo],$BH$1,
  m.vb[variavel],BM$7,
  m.vb[mes],$A36
)</f>
        <v>0</v>
      </c>
      <c r="BN36" s="123">
        <f ca="1">SUMIFS(
  m.vb[valor],
  m.vb[nucleo],$BH$1,
  m.vb[variavel],BN$7,
  m.vb[mes],$A36
)</f>
        <v>0</v>
      </c>
      <c r="BO36" s="123">
        <f ca="1">SUMIFS(
  m.vb[valor],
  m.vb[nucleo],$BH$1,
  m.vb[variavel],BO$7,
  m.vb[mes],$A36
)</f>
        <v>0</v>
      </c>
      <c r="BP36" s="123">
        <f ca="1">SUMIFS(
  m.vb[valor],
  m.vb[nucleo],$BH$1,
  m.vb[variavel],BP$7,
  m.vb[mes],$A36
)</f>
        <v>0</v>
      </c>
      <c r="BQ36" s="124">
        <f ca="1">SUMIFS(
  m.vb[valor],
  m.vb[nucleo],$BH$1,
  m.vb[variavel],BQ$7,
  m.vb[mes],$A36
)</f>
        <v>0</v>
      </c>
      <c r="BR36" s="122">
        <f>COUNTIFS(
    tb_estq[empresa], BR$6,
    tb_estq[Data da venda / reserva], "&gt;=" &amp; $A36,
    tb_estq[Data da venda / reserva], "&lt;"  &amp; EOMONTH($A36,0) + 1
)</f>
        <v>0</v>
      </c>
      <c r="BS36" s="123">
        <f ca="1">SUMIFS(tb_rec_uni[2023-10-01],
INDIRECT("tb_rec_uni[natureza]"),"pro.soluto",
INDIRECT("tb_rec_uni[empresa]"),BS$6)</f>
        <v>0</v>
      </c>
      <c r="BT36" s="123">
        <f ca="1">SUMIFS(tb_rec_uni[2023-10-01],
INDIRECT("tb_rec_uni[natureza]"),"parcela.fin.total.ik",
INDIRECT("tb_rec_uni[empresa]"),BT$6)</f>
        <v>0</v>
      </c>
      <c r="BU36" s="123">
        <f ca="1">SUMIFS(tb_rec_uni[2023-10-01],
INDIRECT("tb_rec_uni[natureza]"),"taxa.extra",
INDIRECT("tb_rec_uni[empresa]"),BU$6)</f>
        <v>0</v>
      </c>
      <c r="BV36" s="111"/>
      <c r="BW36" s="123">
        <f ca="1">SUMIFS(
  m.vb[valor],
  m.vb[nucleo],$BR$1,
  m.vb[variavel],BW$7,
  m.vb[mes],$A36
)</f>
        <v>0</v>
      </c>
      <c r="BX36" s="123">
        <f ca="1">SUMIFS(
  m.vb[valor],
  m.vb[nucleo],$BR$1,
  m.vb[variavel],BX$7,
  m.vb[mes],$A36
)</f>
        <v>0</v>
      </c>
      <c r="BY36" s="123">
        <f ca="1">SUMIFS(
  m.vb[valor],
  m.vb[nucleo],$BR$1,
  m.vb[variavel],BY$7,
  m.vb[mes],$A36
)</f>
        <v>0</v>
      </c>
      <c r="BZ36" s="123">
        <f ca="1">SUMIFS(
  m.vb[valor],
  m.vb[nucleo],$BR$1,
  m.vb[variavel],BZ$7,
  m.vb[mes],$A36
)</f>
        <v>0</v>
      </c>
      <c r="CA36" s="124">
        <f ca="1">SUMIFS(
  m.vb[valor],
  m.vb[nucleo],$BR$1,
  m.vb[variavel],CA$7,
  m.vb[mes],$A36
)</f>
        <v>0</v>
      </c>
      <c r="CB36" s="122">
        <f>COUNTIFS(
    tb_estq[empresa], CB$6,
    tb_estq[Data da venda / reserva], "&gt;=" &amp; $A36,
    tb_estq[Data da venda / reserva], "&lt;"  &amp; EOMONTH($A36,0) + 1
)</f>
        <v>0</v>
      </c>
      <c r="CC36" s="123">
        <f ca="1">SUMIFS(tb_rec_uni[2023-10-01],
INDIRECT("tb_rec_uni[natureza]"),"pro.soluto",
INDIRECT("tb_rec_uni[empresa]"),CC$6)</f>
        <v>0</v>
      </c>
      <c r="CD36" s="123">
        <f ca="1">SUMIFS(tb_rec_uni[2023-10-01],
INDIRECT("tb_rec_uni[natureza]"),"repasse.cef.obra",
INDIRECT("tb_rec_uni[empresa]"),CD$6)</f>
        <v>0</v>
      </c>
      <c r="CE36" s="123">
        <f ca="1">SUMIFS(tb_rec_uni[2023-10-01],
INDIRECT("tb_rec_uni[natureza]"),"repasse.cef.terreno",
INDIRECT("tb_rec_uni[empresa]"),CE$6)</f>
        <v>0</v>
      </c>
      <c r="CF36" s="123">
        <v>0</v>
      </c>
      <c r="CG36" s="123">
        <f ca="1">SUMIFS(tb_rec_uni[2023-10-01],
INDIRECT("tb_rec_uni[natureza]"),"taxa.extra",
INDIRECT("tb_rec_uni[empresa]"),CG$6)</f>
        <v>0</v>
      </c>
      <c r="CH36" s="111"/>
      <c r="CI36" s="123">
        <f ca="1">SUMIFS(
  m.vb[valor],
  m.vb[nucleo],$CB$1,
  m.vb[variavel],CI$7,
  m.vb[mes],$A36
)</f>
        <v>0</v>
      </c>
      <c r="CJ36" s="123">
        <f ca="1">SUMIFS(
  m.vb[valor],
  m.vb[nucleo],$CB$1,
  m.vb[variavel],CJ$7,
  m.vb[mes],$A36
)</f>
        <v>0</v>
      </c>
      <c r="CK36" s="123">
        <f ca="1">SUMIFS(
  m.vb[valor],
  m.vb[nucleo],$CB$1,
  m.vb[variavel],CK$7,
  m.vb[mes],$A36
)</f>
        <v>0</v>
      </c>
      <c r="CL36" s="123">
        <f ca="1">SUMIFS(
  m.vb[valor],
  m.vb[nucleo],$CB$1,
  m.vb[variavel],CL$7,
  m.vb[mes],$A36
)</f>
        <v>0</v>
      </c>
      <c r="CM36" s="124">
        <f ca="1">SUMIFS(
  m.vb[valor],
  m.vb[nucleo],$CB$1,
  m.vb[variavel],CM$7,
  m.vb[mes],$A36
)</f>
        <v>0</v>
      </c>
      <c r="CN36" s="122">
        <f>COUNTIFS(
    tb_estq[empresa], CN$6,
    tb_estq[Data da venda / reserva], "&gt;=" &amp; $A36,
    tb_estq[Data da venda / reserva], "&lt;"  &amp; EOMONTH($A36,0) + 1
)</f>
        <v>0</v>
      </c>
      <c r="CO36" s="123">
        <f ca="1">SUMIFS(tb_rec_uni[2023-10-01],
INDIRECT("tb_rec_uni[natureza]"),"pro.soluto",
INDIRECT("tb_rec_uni[empresa]"),CO$6)</f>
        <v>0</v>
      </c>
      <c r="CP36" s="123">
        <f ca="1">SUMIFS(tb_rec_uni[2023-10-01],
INDIRECT("tb_rec_uni[natureza]"),"repasse.cef.obra",
INDIRECT("tb_rec_uni[empresa]"),CP$6)</f>
        <v>0</v>
      </c>
      <c r="CQ36" s="123">
        <f ca="1">SUMIFS(tb_rec_uni[2023-10-01],
INDIRECT("tb_rec_uni[natureza]"),"repasse.cef.terreno",
INDIRECT("tb_rec_uni[empresa]"),CQ$6)</f>
        <v>0</v>
      </c>
      <c r="CR36" s="123">
        <v>0</v>
      </c>
      <c r="CS36" s="123">
        <f ca="1">SUMIFS(tb_rec_uni[2023-10-01],
INDIRECT("tb_rec_uni[natureza]"),"taxa.extra",
INDIRECT("tb_rec_uni[empresa]"),CS$6)</f>
        <v>0</v>
      </c>
      <c r="CT36" s="111"/>
      <c r="CU36" s="123">
        <f ca="1">SUMIFS(
  m.vb[valor],
  m.vb[nucleo],$CN$1,
  m.vb[variavel],CU$7,
  m.vb[mes],$A36
)</f>
        <v>0</v>
      </c>
      <c r="CV36" s="123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3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3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5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21">
        <v>45231</v>
      </c>
      <c r="B37" s="122">
        <f>COUNTIFS(
    tb_estq[empresa], B$6,
    tb_estq[Data da venda / reserva], "&gt;=" &amp; $A37,
    tb_estq[Data da venda / reserva], "&lt;"  &amp; EOMONTH($A37,0) + 1
)</f>
        <v>0</v>
      </c>
      <c r="C37" s="123">
        <f ca="1">SUMIFS(tb_rec_uni[2023-11-01],
INDIRECT("tb_rec_uni[natureza]"),"pro.soluto",
INDIRECT("tb_rec_uni[empresa]"),C$6)</f>
        <v>0</v>
      </c>
      <c r="D37" s="123">
        <f ca="1">SUMIFS(tb_rec_uni[2023-11-01],
INDIRECT("tb_rec_uni[natureza]"),"repasse.cef.obra",
INDIRECT("tb_rec_uni[empresa]"),D$6)</f>
        <v>0</v>
      </c>
      <c r="E37" s="123">
        <f ca="1">SUMIFS(tb_rec_uni[2023-11-01],
INDIRECT("tb_rec_uni[natureza]"),"repasse.cef.terreno",
INDIRECT("tb_rec_uni[empresa]"),E$6)</f>
        <v>0</v>
      </c>
      <c r="F37" s="123">
        <v>0</v>
      </c>
      <c r="G37" s="123">
        <f ca="1">SUMIFS(tb_rec_uni[2023-11-01],
INDIRECT("tb_rec_uni[natureza]"),"taxa.extra",
INDIRECT("tb_rec_uni[empresa]"),G$6)</f>
        <v>0</v>
      </c>
      <c r="H37" s="111"/>
      <c r="I37" s="123">
        <f ca="1">SUMIFS(
  m.vb[valor],
  m.vb[nucleo],$B$1,
  m.vb[variavel],I$7,
  m.vb[mes],$A37
)</f>
        <v>0</v>
      </c>
      <c r="J37" s="123">
        <f ca="1">SUMIFS(
  m.vb[valor],
  m.vb[nucleo],$B$1,
  m.vb[variavel],J$7,
  m.vb[mes],$A37
)</f>
        <v>0</v>
      </c>
      <c r="K37" s="123">
        <f ca="1">SUMIFS(
  m.vb[valor],
  m.vb[nucleo],$B$1,
  m.vb[variavel],K$7,
  m.vb[mes],$A37
)</f>
        <v>0</v>
      </c>
      <c r="L37" s="123">
        <f ca="1">SUMIFS(
  m.vb[valor],
  m.vb[nucleo],$B$1,
  m.vb[variavel],L$7,
  m.vb[mes],$A37
)</f>
        <v>0</v>
      </c>
      <c r="M37" s="124">
        <f ca="1">SUMIFS(
  m.vb[valor],
  m.vb[nucleo],$B$1,
  m.vb[variavel],M$7,
  m.vb[mes],$A37
)</f>
        <v>0</v>
      </c>
      <c r="N37" s="122">
        <f>COUNTIFS(
    tb_estq[empresa], N$6,
    tb_estq[Data da venda / reserva], "&gt;=" &amp; $A37,
    tb_estq[Data da venda / reserva], "&lt;"  &amp; EOMONTH($A37,0) + 1
)</f>
        <v>0</v>
      </c>
      <c r="O37" s="123">
        <f ca="1">SUMIFS(tb_rec_uni[2023-11-01],
INDIRECT("tb_rec_uni[natureza]"),"pro.soluto",
INDIRECT("tb_rec_uni[empresa]"),O$6)</f>
        <v>0</v>
      </c>
      <c r="P37" s="123">
        <f ca="1">SUMIFS(tb_rec_uni[2023-11-01],
INDIRECT("tb_rec_uni[natureza]"),"repasse.cef.obra",
INDIRECT("tb_rec_uni[empresa]"),P$6)</f>
        <v>0</v>
      </c>
      <c r="Q37" s="123">
        <f ca="1">SUMIFS(tb_rec_uni[2023-11-01],
INDIRECT("tb_rec_uni[natureza]"),"repasse.cef.terreno",
INDIRECT("tb_rec_uni[empresa]"),Q$6)</f>
        <v>0</v>
      </c>
      <c r="R37" s="123">
        <v>1455283.7599999998</v>
      </c>
      <c r="S37" s="123">
        <f ca="1">SUMIFS(tb_rec_uni[2023-11-01],
INDIRECT("tb_rec_uni[natureza]"),"taxa.extra",
INDIRECT("tb_rec_uni[empresa]"),S$6)</f>
        <v>0</v>
      </c>
      <c r="T37" s="111"/>
      <c r="U37" s="123">
        <f ca="1">SUMIFS(
  m.vb[valor],
  m.vb[nucleo],$N$1,
  m.vb[variavel],U$7,
  m.vb[mes],$A37
)</f>
        <v>0</v>
      </c>
      <c r="V37" s="123">
        <f ca="1">SUMIFS(
  m.vb[valor],
  m.vb[nucleo],$N$1,
  m.vb[variavel],V$7,
  m.vb[mes],$A37
)</f>
        <v>0</v>
      </c>
      <c r="W37" s="123">
        <f ca="1">SUMIFS(
  m.vb[valor],
  m.vb[nucleo],$N$1,
  m.vb[variavel],W$7,
  m.vb[mes],$A37
)</f>
        <v>0</v>
      </c>
      <c r="X37" s="123">
        <f ca="1">SUMIFS(
  m.vb[valor],
  m.vb[nucleo],$N$1,
  m.vb[variavel],X$7,
  m.vb[mes],$A37
)</f>
        <v>0</v>
      </c>
      <c r="Y37" s="124">
        <f ca="1">SUMIFS(
  m.vb[valor],
  m.vb[nucleo],$N$1,
  m.vb[variavel],Y$7,
  m.vb[mes],$A37
)</f>
        <v>0</v>
      </c>
      <c r="Z37" s="122">
        <f>COUNTIFS(
    tb_estq[empresa], Z$6,
    tb_estq[Data da venda / reserva], "&gt;=" &amp; $A37,
    tb_estq[Data da venda / reserva], "&lt;"  &amp; EOMONTH($A37,0) + 1
)</f>
        <v>0</v>
      </c>
      <c r="AA37" s="123">
        <f ca="1">SUMIFS(tb_rec_uni[2023-11-01],
INDIRECT("tb_rec_uni[natureza]"),"pro.soluto",
INDIRECT("tb_rec_uni[empresa]"),AA$6)</f>
        <v>0</v>
      </c>
      <c r="AB37" s="123">
        <f ca="1">SUMIFS(tb_rec_uni[2023-11-01],
INDIRECT("tb_rec_uni[natureza]"),"parcela.fin.total.ik",
INDIRECT("tb_rec_uni[empresa]"),AB$6)</f>
        <v>0</v>
      </c>
      <c r="AC37" s="123">
        <f ca="1">SUMIFS(tb_rec_uni[2023-11-01],
INDIRECT("tb_rec_uni[natureza]"),"taxa.extra",
INDIRECT("tb_rec_uni[empresa]"),AC$6)</f>
        <v>0</v>
      </c>
      <c r="AD37" s="111"/>
      <c r="AE37" s="123">
        <f ca="1">SUMIFS(
  m.vb[valor],
  m.vb[nucleo],$Z$1,
  m.vb[variavel],AE$7,
  m.vb[mes],$A37
)</f>
        <v>0</v>
      </c>
      <c r="AF37" s="123">
        <f ca="1">SUMIFS(
  m.vb[valor],
  m.vb[nucleo],$Z$1,
  m.vb[variavel],AF$7,
  m.vb[mes],$A37
)</f>
        <v>0</v>
      </c>
      <c r="AG37" s="123">
        <f ca="1">SUMIFS(
  m.vb[valor],
  m.vb[nucleo],$Z$1,
  m.vb[variavel],AG$7,
  m.vb[mes],$A37
)</f>
        <v>0</v>
      </c>
      <c r="AH37" s="123">
        <f ca="1">SUMIFS(
  m.vb[valor],
  m.vb[nucleo],$Z$1,
  m.vb[variavel],AH$7,
  m.vb[mes],$A37
)</f>
        <v>0</v>
      </c>
      <c r="AI37" s="124">
        <f ca="1">SUMIFS(
  m.vb[valor],
  m.vb[nucleo],$Z$1,
  m.vb[variavel],AI$7,
  m.vb[mes],$A37
)</f>
        <v>0</v>
      </c>
      <c r="AJ37" s="122">
        <f>COUNTIFS(
    tb_estq[empresa], AJ$6,
    tb_estq[Data da venda / reserva], "&gt;=" &amp; $A37,
    tb_estq[Data da venda / reserva], "&lt;"  &amp; EOMONTH($A37,0) + 1
)</f>
        <v>0</v>
      </c>
      <c r="AK37" s="123">
        <f ca="1">SUMIFS(tb_rec_uni[2023-11-01],
INDIRECT("tb_rec_uni[natureza]"),"pro.soluto",
INDIRECT("tb_rec_uni[empresa]"),AK$6)</f>
        <v>0</v>
      </c>
      <c r="AL37" s="123">
        <f ca="1">SUMIFS(tb_rec_uni[2023-11-01],
INDIRECT("tb_rec_uni[natureza]"),"repasse.cef.obra",
INDIRECT("tb_rec_uni[empresa]"),AL$6)</f>
        <v>0</v>
      </c>
      <c r="AM37" s="123">
        <f ca="1">SUMIFS(tb_rec_uni[2023-11-01],
INDIRECT("tb_rec_uni[natureza]"),"repasse.cef.terreno",
INDIRECT("tb_rec_uni[empresa]"),AM$6)</f>
        <v>0</v>
      </c>
      <c r="AN37" s="123">
        <v>0</v>
      </c>
      <c r="AO37" s="123">
        <f ca="1">SUMIFS(tb_rec_uni[2023-11-01],
INDIRECT("tb_rec_uni[natureza]"),"taxa.extra",
INDIRECT("tb_rec_uni[empresa]"),AO$6)</f>
        <v>0</v>
      </c>
      <c r="AP37" s="111"/>
      <c r="AQ37" s="123">
        <f ca="1">SUMIFS(
  m.vb[valor],
  m.vb[nucleo],$AJ$1,
  m.vb[variavel],AQ$7,
  m.vb[mes],$A37
)</f>
        <v>0</v>
      </c>
      <c r="AR37" s="123">
        <f ca="1">SUMIFS(
  m.vb[valor],
  m.vb[nucleo],$AJ$1,
  m.vb[variavel],AR$7,
  m.vb[mes],$A37
)</f>
        <v>0</v>
      </c>
      <c r="AS37" s="123">
        <f ca="1">SUMIFS(
  m.vb[valor],
  m.vb[nucleo],$AJ$1,
  m.vb[variavel],AS$7,
  m.vb[mes],$A37
)</f>
        <v>0</v>
      </c>
      <c r="AT37" s="123">
        <f ca="1">SUMIFS(
  m.vb[valor],
  m.vb[nucleo],$AJ$1,
  m.vb[variavel],AT$7,
  m.vb[mes],$A37
)</f>
        <v>0</v>
      </c>
      <c r="AU37" s="124">
        <f ca="1">SUMIFS(
  m.vb[valor],
  m.vb[nucleo],$AJ$1,
  m.vb[variavel],AU$7,
  m.vb[mes],$A37
)</f>
        <v>0</v>
      </c>
      <c r="AV37" s="122">
        <f>COUNTIFS(
    tb_estq[empresa], AV$6,
    tb_estq[Data da venda / reserva], "&gt;=" &amp; $A37,
    tb_estq[Data da venda / reserva], "&lt;"  &amp; EOMONTH($A37,0) + 1
)</f>
        <v>0</v>
      </c>
      <c r="AW37" s="123">
        <f ca="1">SUMIFS(tb_rec_uni[2023-11-01],
INDIRECT("tb_rec_uni[natureza]"),"pro.soluto",
INDIRECT("tb_rec_uni[empresa]"),AW$6)</f>
        <v>0</v>
      </c>
      <c r="AX37" s="123">
        <f ca="1">SUMIFS(tb_rec_uni[2023-11-01],
INDIRECT("tb_rec_uni[natureza]"),"repasse.cef.obra",
INDIRECT("tb_rec_uni[empresa]"),AX$6)</f>
        <v>0</v>
      </c>
      <c r="AY37" s="123">
        <f ca="1">SUMIFS(tb_rec_uni[2023-11-01],
INDIRECT("tb_rec_uni[natureza]"),"repasse.cef.terreno",
INDIRECT("tb_rec_uni[empresa]"),AY$6)</f>
        <v>0</v>
      </c>
      <c r="AZ37" s="123">
        <v>0</v>
      </c>
      <c r="BA37" s="123">
        <f ca="1">SUMIFS(tb_rec_uni[2023-11-01],
INDIRECT("tb_rec_uni[natureza]"),"taxa.extra",
INDIRECT("tb_rec_uni[empresa]"),BA$6)</f>
        <v>0</v>
      </c>
      <c r="BB37" s="111"/>
      <c r="BC37" s="123">
        <f ca="1">SUMIFS(
  m.vb[valor],
  m.vb[nucleo],$AV$1,
  m.vb[variavel],BC$7,
  m.vb[mes],$A37
)</f>
        <v>0</v>
      </c>
      <c r="BD37" s="123">
        <f ca="1">SUMIFS(
  m.vb[valor],
  m.vb[nucleo],$AV$1,
  m.vb[variavel],BD$7,
  m.vb[mes],$A37
)</f>
        <v>0</v>
      </c>
      <c r="BE37" s="123">
        <f ca="1">SUMIFS(
  m.vb[valor],
  m.vb[nucleo],$AV$1,
  m.vb[variavel],BE$7,
  m.vb[mes],$A37
)</f>
        <v>0</v>
      </c>
      <c r="BF37" s="123">
        <f ca="1">SUMIFS(
  m.vb[valor],
  m.vb[nucleo],$AV$1,
  m.vb[variavel],BF$7,
  m.vb[mes],$A37
)</f>
        <v>0</v>
      </c>
      <c r="BG37" s="124">
        <f ca="1">SUMIFS(
  m.vb[valor],
  m.vb[nucleo],$AV$1,
  m.vb[variavel],BG$7,
  m.vb[mes],$A37
)</f>
        <v>0</v>
      </c>
      <c r="BH37" s="122">
        <f>COUNTIFS(
    tb_estq[empresa], BH$6,
    tb_estq[Data da venda / reserva], "&gt;=" &amp; $A37,
    tb_estq[Data da venda / reserva], "&lt;"  &amp; EOMONTH($A37,0) + 1
)</f>
        <v>0</v>
      </c>
      <c r="BI37" s="123">
        <f ca="1">SUMIFS(tb_rec_uni[2023-11-01],
INDIRECT("tb_rec_uni[natureza]"),"pro.soluto",
INDIRECT("tb_rec_uni[empresa]"),BI$6)</f>
        <v>0</v>
      </c>
      <c r="BJ37" s="111">
        <v>0</v>
      </c>
      <c r="BK37" s="123">
        <f ca="1">SUMIFS(tb_rec_uni[2023-11-01],
INDIRECT("tb_rec_uni[natureza]"),"taxa.extra",
INDIRECT("tb_rec_uni[empresa]"),BK$6)</f>
        <v>0</v>
      </c>
      <c r="BL37" s="111"/>
      <c r="BM37" s="123">
        <f ca="1">SUMIFS(
  m.vb[valor],
  m.vb[nucleo],$BH$1,
  m.vb[variavel],BM$7,
  m.vb[mes],$A37
)</f>
        <v>0</v>
      </c>
      <c r="BN37" s="123">
        <f ca="1">SUMIFS(
  m.vb[valor],
  m.vb[nucleo],$BH$1,
  m.vb[variavel],BN$7,
  m.vb[mes],$A37
)</f>
        <v>0</v>
      </c>
      <c r="BO37" s="123">
        <f ca="1">SUMIFS(
  m.vb[valor],
  m.vb[nucleo],$BH$1,
  m.vb[variavel],BO$7,
  m.vb[mes],$A37
)</f>
        <v>0</v>
      </c>
      <c r="BP37" s="123">
        <f ca="1">SUMIFS(
  m.vb[valor],
  m.vb[nucleo],$BH$1,
  m.vb[variavel],BP$7,
  m.vb[mes],$A37
)</f>
        <v>0</v>
      </c>
      <c r="BQ37" s="124">
        <f ca="1">SUMIFS(
  m.vb[valor],
  m.vb[nucleo],$BH$1,
  m.vb[variavel],BQ$7,
  m.vb[mes],$A37
)</f>
        <v>0</v>
      </c>
      <c r="BR37" s="122">
        <f>COUNTIFS(
    tb_estq[empresa], BR$6,
    tb_estq[Data da venda / reserva], "&gt;=" &amp; $A37,
    tb_estq[Data da venda / reserva], "&lt;"  &amp; EOMONTH($A37,0) + 1
)</f>
        <v>0</v>
      </c>
      <c r="BS37" s="123">
        <f ca="1">SUMIFS(tb_rec_uni[2023-11-01],
INDIRECT("tb_rec_uni[natureza]"),"pro.soluto",
INDIRECT("tb_rec_uni[empresa]"),BS$6)</f>
        <v>0</v>
      </c>
      <c r="BT37" s="123">
        <f ca="1">SUMIFS(tb_rec_uni[2023-11-01],
INDIRECT("tb_rec_uni[natureza]"),"parcela.fin.total.ik",
INDIRECT("tb_rec_uni[empresa]"),BT$6)</f>
        <v>0</v>
      </c>
      <c r="BU37" s="123">
        <f ca="1">SUMIFS(tb_rec_uni[2023-11-01],
INDIRECT("tb_rec_uni[natureza]"),"taxa.extra",
INDIRECT("tb_rec_uni[empresa]"),BU$6)</f>
        <v>0</v>
      </c>
      <c r="BV37" s="111"/>
      <c r="BW37" s="123">
        <f ca="1">SUMIFS(
  m.vb[valor],
  m.vb[nucleo],$BR$1,
  m.vb[variavel],BW$7,
  m.vb[mes],$A37
)</f>
        <v>0</v>
      </c>
      <c r="BX37" s="123">
        <f ca="1">SUMIFS(
  m.vb[valor],
  m.vb[nucleo],$BR$1,
  m.vb[variavel],BX$7,
  m.vb[mes],$A37
)</f>
        <v>0</v>
      </c>
      <c r="BY37" s="123">
        <f ca="1">SUMIFS(
  m.vb[valor],
  m.vb[nucleo],$BR$1,
  m.vb[variavel],BY$7,
  m.vb[mes],$A37
)</f>
        <v>0</v>
      </c>
      <c r="BZ37" s="123">
        <f ca="1">SUMIFS(
  m.vb[valor],
  m.vb[nucleo],$BR$1,
  m.vb[variavel],BZ$7,
  m.vb[mes],$A37
)</f>
        <v>0</v>
      </c>
      <c r="CA37" s="124">
        <f ca="1">SUMIFS(
  m.vb[valor],
  m.vb[nucleo],$BR$1,
  m.vb[variavel],CA$7,
  m.vb[mes],$A37
)</f>
        <v>0</v>
      </c>
      <c r="CB37" s="122">
        <f>COUNTIFS(
    tb_estq[empresa], CB$6,
    tb_estq[Data da venda / reserva], "&gt;=" &amp; $A37,
    tb_estq[Data da venda / reserva], "&lt;"  &amp; EOMONTH($A37,0) + 1
)</f>
        <v>0</v>
      </c>
      <c r="CC37" s="123">
        <f ca="1">SUMIFS(tb_rec_uni[2023-11-01],
INDIRECT("tb_rec_uni[natureza]"),"pro.soluto",
INDIRECT("tb_rec_uni[empresa]"),CC$6)</f>
        <v>0</v>
      </c>
      <c r="CD37" s="123">
        <f ca="1">SUMIFS(tb_rec_uni[2023-11-01],
INDIRECT("tb_rec_uni[natureza]"),"repasse.cef.obra",
INDIRECT("tb_rec_uni[empresa]"),CD$6)</f>
        <v>0</v>
      </c>
      <c r="CE37" s="123">
        <f ca="1">SUMIFS(tb_rec_uni[2023-11-01],
INDIRECT("tb_rec_uni[natureza]"),"repasse.cef.terreno",
INDIRECT("tb_rec_uni[empresa]"),CE$6)</f>
        <v>0</v>
      </c>
      <c r="CF37" s="123">
        <v>0</v>
      </c>
      <c r="CG37" s="123">
        <f ca="1">SUMIFS(tb_rec_uni[2023-11-01],
INDIRECT("tb_rec_uni[natureza]"),"taxa.extra",
INDIRECT("tb_rec_uni[empresa]"),CG$6)</f>
        <v>0</v>
      </c>
      <c r="CH37" s="111"/>
      <c r="CI37" s="123">
        <f ca="1">SUMIFS(
  m.vb[valor],
  m.vb[nucleo],$CB$1,
  m.vb[variavel],CI$7,
  m.vb[mes],$A37
)</f>
        <v>0</v>
      </c>
      <c r="CJ37" s="123">
        <f ca="1">SUMIFS(
  m.vb[valor],
  m.vb[nucleo],$CB$1,
  m.vb[variavel],CJ$7,
  m.vb[mes],$A37
)</f>
        <v>0</v>
      </c>
      <c r="CK37" s="123">
        <f ca="1">SUMIFS(
  m.vb[valor],
  m.vb[nucleo],$CB$1,
  m.vb[variavel],CK$7,
  m.vb[mes],$A37
)</f>
        <v>0</v>
      </c>
      <c r="CL37" s="123">
        <f ca="1">SUMIFS(
  m.vb[valor],
  m.vb[nucleo],$CB$1,
  m.vb[variavel],CL$7,
  m.vb[mes],$A37
)</f>
        <v>0</v>
      </c>
      <c r="CM37" s="124">
        <f ca="1">SUMIFS(
  m.vb[valor],
  m.vb[nucleo],$CB$1,
  m.vb[variavel],CM$7,
  m.vb[mes],$A37
)</f>
        <v>0</v>
      </c>
      <c r="CN37" s="122">
        <f>COUNTIFS(
    tb_estq[empresa], CN$6,
    tb_estq[Data da venda / reserva], "&gt;=" &amp; $A37,
    tb_estq[Data da venda / reserva], "&lt;"  &amp; EOMONTH($A37,0) + 1
)</f>
        <v>0</v>
      </c>
      <c r="CO37" s="123">
        <f ca="1">SUMIFS(tb_rec_uni[2023-11-01],
INDIRECT("tb_rec_uni[natureza]"),"pro.soluto",
INDIRECT("tb_rec_uni[empresa]"),CO$6)</f>
        <v>0</v>
      </c>
      <c r="CP37" s="123">
        <f ca="1">SUMIFS(tb_rec_uni[2023-11-01],
INDIRECT("tb_rec_uni[natureza]"),"repasse.cef.obra",
INDIRECT("tb_rec_uni[empresa]"),CP$6)</f>
        <v>0</v>
      </c>
      <c r="CQ37" s="123">
        <f ca="1">SUMIFS(tb_rec_uni[2023-11-01],
INDIRECT("tb_rec_uni[natureza]"),"repasse.cef.terreno",
INDIRECT("tb_rec_uni[empresa]"),CQ$6)</f>
        <v>0</v>
      </c>
      <c r="CR37" s="123">
        <v>0</v>
      </c>
      <c r="CS37" s="123">
        <f ca="1">SUMIFS(tb_rec_uni[2023-11-01],
INDIRECT("tb_rec_uni[natureza]"),"taxa.extra",
INDIRECT("tb_rec_uni[empresa]"),CS$6)</f>
        <v>0</v>
      </c>
      <c r="CT37" s="111"/>
      <c r="CU37" s="123">
        <f ca="1">SUMIFS(
  m.vb[valor],
  m.vb[nucleo],$CN$1,
  m.vb[variavel],CU$7,
  m.vb[mes],$A37
)</f>
        <v>0</v>
      </c>
      <c r="CV37" s="123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3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3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5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21">
        <v>45261</v>
      </c>
      <c r="B38" s="122">
        <f>COUNTIFS(
    tb_estq[empresa], B$6,
    tb_estq[Data da venda / reserva], "&gt;=" &amp; $A38,
    tb_estq[Data da venda / reserva], "&lt;"  &amp; EOMONTH($A38,0) + 1
)</f>
        <v>0</v>
      </c>
      <c r="C38" s="123">
        <f ca="1">SUMIFS(tb_rec_uni[2023-12-01],
INDIRECT("tb_rec_uni[natureza]"),"pro.soluto",
INDIRECT("tb_rec_uni[empresa]"),C$6)</f>
        <v>0</v>
      </c>
      <c r="D38" s="123">
        <f ca="1">SUMIFS(tb_rec_uni[2023-12-01],
INDIRECT("tb_rec_uni[natureza]"),"repasse.cef.obra",
INDIRECT("tb_rec_uni[empresa]"),D$6)</f>
        <v>0</v>
      </c>
      <c r="E38" s="123">
        <f ca="1">SUMIFS(tb_rec_uni[2023-12-01],
INDIRECT("tb_rec_uni[natureza]"),"repasse.cef.terreno",
INDIRECT("tb_rec_uni[empresa]"),E$6)</f>
        <v>0</v>
      </c>
      <c r="F38" s="123">
        <v>0</v>
      </c>
      <c r="G38" s="123">
        <f ca="1">SUMIFS(tb_rec_uni[2023-12-01],
INDIRECT("tb_rec_uni[natureza]"),"taxa.extra",
INDIRECT("tb_rec_uni[empresa]"),G$6)</f>
        <v>0</v>
      </c>
      <c r="H38" s="111"/>
      <c r="I38" s="123">
        <f ca="1">SUMIFS(
  m.vb[valor],
  m.vb[nucleo],$B$1,
  m.vb[variavel],I$7,
  m.vb[mes],$A38
)</f>
        <v>0</v>
      </c>
      <c r="J38" s="123">
        <f ca="1">SUMIFS(
  m.vb[valor],
  m.vb[nucleo],$B$1,
  m.vb[variavel],J$7,
  m.vb[mes],$A38
)</f>
        <v>0</v>
      </c>
      <c r="K38" s="123">
        <f ca="1">SUMIFS(
  m.vb[valor],
  m.vb[nucleo],$B$1,
  m.vb[variavel],K$7,
  m.vb[mes],$A38
)</f>
        <v>0</v>
      </c>
      <c r="L38" s="123">
        <f ca="1">SUMIFS(
  m.vb[valor],
  m.vb[nucleo],$B$1,
  m.vb[variavel],L$7,
  m.vb[mes],$A38
)</f>
        <v>0</v>
      </c>
      <c r="M38" s="124">
        <f ca="1">SUMIFS(
  m.vb[valor],
  m.vb[nucleo],$B$1,
  m.vb[variavel],M$7,
  m.vb[mes],$A38
)</f>
        <v>0</v>
      </c>
      <c r="N38" s="122">
        <f>COUNTIFS(
    tb_estq[empresa], N$6,
    tb_estq[Data da venda / reserva], "&gt;=" &amp; $A38,
    tb_estq[Data da venda / reserva], "&lt;"  &amp; EOMONTH($A38,0) + 1
)</f>
        <v>0</v>
      </c>
      <c r="O38" s="123">
        <f ca="1">SUMIFS(tb_rec_uni[2023-12-01],
INDIRECT("tb_rec_uni[natureza]"),"pro.soluto",
INDIRECT("tb_rec_uni[empresa]"),O$6)</f>
        <v>0</v>
      </c>
      <c r="P38" s="123">
        <f ca="1">SUMIFS(tb_rec_uni[2023-12-01],
INDIRECT("tb_rec_uni[natureza]"),"repasse.cef.obra",
INDIRECT("tb_rec_uni[empresa]"),P$6)</f>
        <v>0</v>
      </c>
      <c r="Q38" s="123">
        <f ca="1">SUMIFS(tb_rec_uni[2023-12-01],
INDIRECT("tb_rec_uni[natureza]"),"repasse.cef.terreno",
INDIRECT("tb_rec_uni[empresa]"),Q$6)</f>
        <v>0</v>
      </c>
      <c r="R38" s="123">
        <v>0</v>
      </c>
      <c r="S38" s="123">
        <f ca="1">SUMIFS(tb_rec_uni[2023-12-01],
INDIRECT("tb_rec_uni[natureza]"),"taxa.extra",
INDIRECT("tb_rec_uni[empresa]"),S$6)</f>
        <v>0</v>
      </c>
      <c r="T38" s="111"/>
      <c r="U38" s="123">
        <f ca="1">SUMIFS(
  m.vb[valor],
  m.vb[nucleo],$N$1,
  m.vb[variavel],U$7,
  m.vb[mes],$A38
)</f>
        <v>0</v>
      </c>
      <c r="V38" s="123">
        <f ca="1">SUMIFS(
  m.vb[valor],
  m.vb[nucleo],$N$1,
  m.vb[variavel],V$7,
  m.vb[mes],$A38
)</f>
        <v>0</v>
      </c>
      <c r="W38" s="123">
        <f ca="1">SUMIFS(
  m.vb[valor],
  m.vb[nucleo],$N$1,
  m.vb[variavel],W$7,
  m.vb[mes],$A38
)</f>
        <v>0</v>
      </c>
      <c r="X38" s="123">
        <f ca="1">SUMIFS(
  m.vb[valor],
  m.vb[nucleo],$N$1,
  m.vb[variavel],X$7,
  m.vb[mes],$A38
)</f>
        <v>0</v>
      </c>
      <c r="Y38" s="124">
        <f ca="1">SUMIFS(
  m.vb[valor],
  m.vb[nucleo],$N$1,
  m.vb[variavel],Y$7,
  m.vb[mes],$A38
)</f>
        <v>0</v>
      </c>
      <c r="Z38" s="122">
        <f>COUNTIFS(
    tb_estq[empresa], Z$6,
    tb_estq[Data da venda / reserva], "&gt;=" &amp; $A38,
    tb_estq[Data da venda / reserva], "&lt;"  &amp; EOMONTH($A38,0) + 1
)</f>
        <v>0</v>
      </c>
      <c r="AA38" s="123">
        <f ca="1">SUMIFS(tb_rec_uni[2023-12-01],
INDIRECT("tb_rec_uni[natureza]"),"pro.soluto",
INDIRECT("tb_rec_uni[empresa]"),AA$6)</f>
        <v>0</v>
      </c>
      <c r="AB38" s="123">
        <f ca="1">SUMIFS(tb_rec_uni[2023-12-01],
INDIRECT("tb_rec_uni[natureza]"),"parcela.fin.total.ik",
INDIRECT("tb_rec_uni[empresa]"),AB$6)</f>
        <v>0</v>
      </c>
      <c r="AC38" s="123">
        <f ca="1">SUMIFS(tb_rec_uni[2023-12-01],
INDIRECT("tb_rec_uni[natureza]"),"taxa.extra",
INDIRECT("tb_rec_uni[empresa]"),AC$6)</f>
        <v>0</v>
      </c>
      <c r="AD38" s="111"/>
      <c r="AE38" s="123">
        <f ca="1">SUMIFS(
  m.vb[valor],
  m.vb[nucleo],$Z$1,
  m.vb[variavel],AE$7,
  m.vb[mes],$A38
)</f>
        <v>0</v>
      </c>
      <c r="AF38" s="123">
        <f ca="1">SUMIFS(
  m.vb[valor],
  m.vb[nucleo],$Z$1,
  m.vb[variavel],AF$7,
  m.vb[mes],$A38
)</f>
        <v>0</v>
      </c>
      <c r="AG38" s="123">
        <f ca="1">SUMIFS(
  m.vb[valor],
  m.vb[nucleo],$Z$1,
  m.vb[variavel],AG$7,
  m.vb[mes],$A38
)</f>
        <v>0</v>
      </c>
      <c r="AH38" s="123">
        <f ca="1">SUMIFS(
  m.vb[valor],
  m.vb[nucleo],$Z$1,
  m.vb[variavel],AH$7,
  m.vb[mes],$A38
)</f>
        <v>0</v>
      </c>
      <c r="AI38" s="124">
        <f ca="1">SUMIFS(
  m.vb[valor],
  m.vb[nucleo],$Z$1,
  m.vb[variavel],AI$7,
  m.vb[mes],$A38
)</f>
        <v>0</v>
      </c>
      <c r="AJ38" s="122">
        <f>COUNTIFS(
    tb_estq[empresa], AJ$6,
    tb_estq[Data da venda / reserva], "&gt;=" &amp; $A38,
    tb_estq[Data da venda / reserva], "&lt;"  &amp; EOMONTH($A38,0) + 1
)</f>
        <v>0</v>
      </c>
      <c r="AK38" s="123">
        <f ca="1">SUMIFS(tb_rec_uni[2023-12-01],
INDIRECT("tb_rec_uni[natureza]"),"pro.soluto",
INDIRECT("tb_rec_uni[empresa]"),AK$6)</f>
        <v>0</v>
      </c>
      <c r="AL38" s="123">
        <f ca="1">SUMIFS(tb_rec_uni[2023-12-01],
INDIRECT("tb_rec_uni[natureza]"),"repasse.cef.obra",
INDIRECT("tb_rec_uni[empresa]"),AL$6)</f>
        <v>0</v>
      </c>
      <c r="AM38" s="123">
        <f ca="1">SUMIFS(tb_rec_uni[2023-12-01],
INDIRECT("tb_rec_uni[natureza]"),"repasse.cef.terreno",
INDIRECT("tb_rec_uni[empresa]"),AM$6)</f>
        <v>0</v>
      </c>
      <c r="AN38" s="123">
        <v>0</v>
      </c>
      <c r="AO38" s="123">
        <f ca="1">SUMIFS(tb_rec_uni[2023-12-01],
INDIRECT("tb_rec_uni[natureza]"),"taxa.extra",
INDIRECT("tb_rec_uni[empresa]"),AO$6)</f>
        <v>0</v>
      </c>
      <c r="AP38" s="111"/>
      <c r="AQ38" s="123">
        <f ca="1">SUMIFS(
  m.vb[valor],
  m.vb[nucleo],$AJ$1,
  m.vb[variavel],AQ$7,
  m.vb[mes],$A38
)</f>
        <v>0</v>
      </c>
      <c r="AR38" s="123">
        <f ca="1">SUMIFS(
  m.vb[valor],
  m.vb[nucleo],$AJ$1,
  m.vb[variavel],AR$7,
  m.vb[mes],$A38
)</f>
        <v>0</v>
      </c>
      <c r="AS38" s="123">
        <f ca="1">SUMIFS(
  m.vb[valor],
  m.vb[nucleo],$AJ$1,
  m.vb[variavel],AS$7,
  m.vb[mes],$A38
)</f>
        <v>0</v>
      </c>
      <c r="AT38" s="123">
        <f ca="1">SUMIFS(
  m.vb[valor],
  m.vb[nucleo],$AJ$1,
  m.vb[variavel],AT$7,
  m.vb[mes],$A38
)</f>
        <v>0</v>
      </c>
      <c r="AU38" s="124">
        <f ca="1">SUMIFS(
  m.vb[valor],
  m.vb[nucleo],$AJ$1,
  m.vb[variavel],AU$7,
  m.vb[mes],$A38
)</f>
        <v>0</v>
      </c>
      <c r="AV38" s="122">
        <f>COUNTIFS(
    tb_estq[empresa], AV$6,
    tb_estq[Data da venda / reserva], "&gt;=" &amp; $A38,
    tb_estq[Data da venda / reserva], "&lt;"  &amp; EOMONTH($A38,0) + 1
)</f>
        <v>0</v>
      </c>
      <c r="AW38" s="123">
        <f ca="1">SUMIFS(tb_rec_uni[2023-12-01],
INDIRECT("tb_rec_uni[natureza]"),"pro.soluto",
INDIRECT("tb_rec_uni[empresa]"),AW$6)</f>
        <v>0</v>
      </c>
      <c r="AX38" s="123">
        <f ca="1">SUMIFS(tb_rec_uni[2023-12-01],
INDIRECT("tb_rec_uni[natureza]"),"repasse.cef.obra",
INDIRECT("tb_rec_uni[empresa]"),AX$6)</f>
        <v>0</v>
      </c>
      <c r="AY38" s="123">
        <f ca="1">SUMIFS(tb_rec_uni[2023-12-01],
INDIRECT("tb_rec_uni[natureza]"),"repasse.cef.terreno",
INDIRECT("tb_rec_uni[empresa]"),AY$6)</f>
        <v>0</v>
      </c>
      <c r="AZ38" s="123">
        <v>0</v>
      </c>
      <c r="BA38" s="123">
        <f ca="1">SUMIFS(tb_rec_uni[2023-12-01],
INDIRECT("tb_rec_uni[natureza]"),"taxa.extra",
INDIRECT("tb_rec_uni[empresa]"),BA$6)</f>
        <v>0</v>
      </c>
      <c r="BB38" s="111"/>
      <c r="BC38" s="123">
        <f ca="1">SUMIFS(
  m.vb[valor],
  m.vb[nucleo],$AV$1,
  m.vb[variavel],BC$7,
  m.vb[mes],$A38
)</f>
        <v>0</v>
      </c>
      <c r="BD38" s="123">
        <f ca="1">SUMIFS(
  m.vb[valor],
  m.vb[nucleo],$AV$1,
  m.vb[variavel],BD$7,
  m.vb[mes],$A38
)</f>
        <v>0</v>
      </c>
      <c r="BE38" s="123">
        <f ca="1">SUMIFS(
  m.vb[valor],
  m.vb[nucleo],$AV$1,
  m.vb[variavel],BE$7,
  m.vb[mes],$A38
)</f>
        <v>0</v>
      </c>
      <c r="BF38" s="123">
        <f ca="1">SUMIFS(
  m.vb[valor],
  m.vb[nucleo],$AV$1,
  m.vb[variavel],BF$7,
  m.vb[mes],$A38
)</f>
        <v>0</v>
      </c>
      <c r="BG38" s="124">
        <f ca="1">SUMIFS(
  m.vb[valor],
  m.vb[nucleo],$AV$1,
  m.vb[variavel],BG$7,
  m.vb[mes],$A38
)</f>
        <v>0</v>
      </c>
      <c r="BH38" s="122">
        <f>COUNTIFS(
    tb_estq[empresa], BH$6,
    tb_estq[Data da venda / reserva], "&gt;=" &amp; $A38,
    tb_estq[Data da venda / reserva], "&lt;"  &amp; EOMONTH($A38,0) + 1
)</f>
        <v>0</v>
      </c>
      <c r="BI38" s="123">
        <f ca="1">SUMIFS(tb_rec_uni[2023-12-01],
INDIRECT("tb_rec_uni[natureza]"),"pro.soluto",
INDIRECT("tb_rec_uni[empresa]"),BI$6)</f>
        <v>0</v>
      </c>
      <c r="BJ38" s="111">
        <v>0</v>
      </c>
      <c r="BK38" s="123">
        <f ca="1">SUMIFS(tb_rec_uni[2023-12-01],
INDIRECT("tb_rec_uni[natureza]"),"taxa.extra",
INDIRECT("tb_rec_uni[empresa]"),BK$6)</f>
        <v>0</v>
      </c>
      <c r="BL38" s="111"/>
      <c r="BM38" s="123">
        <f ca="1">SUMIFS(
  m.vb[valor],
  m.vb[nucleo],$BH$1,
  m.vb[variavel],BM$7,
  m.vb[mes],$A38
)</f>
        <v>0</v>
      </c>
      <c r="BN38" s="123">
        <f ca="1">SUMIFS(
  m.vb[valor],
  m.vb[nucleo],$BH$1,
  m.vb[variavel],BN$7,
  m.vb[mes],$A38
)</f>
        <v>0</v>
      </c>
      <c r="BO38" s="123">
        <f ca="1">SUMIFS(
  m.vb[valor],
  m.vb[nucleo],$BH$1,
  m.vb[variavel],BO$7,
  m.vb[mes],$A38
)</f>
        <v>0</v>
      </c>
      <c r="BP38" s="123">
        <f ca="1">SUMIFS(
  m.vb[valor],
  m.vb[nucleo],$BH$1,
  m.vb[variavel],BP$7,
  m.vb[mes],$A38
)</f>
        <v>0</v>
      </c>
      <c r="BQ38" s="124">
        <f ca="1">SUMIFS(
  m.vb[valor],
  m.vb[nucleo],$BH$1,
  m.vb[variavel],BQ$7,
  m.vb[mes],$A38
)</f>
        <v>0</v>
      </c>
      <c r="BR38" s="122">
        <f>COUNTIFS(
    tb_estq[empresa], BR$6,
    tb_estq[Data da venda / reserva], "&gt;=" &amp; $A38,
    tb_estq[Data da venda / reserva], "&lt;"  &amp; EOMONTH($A38,0) + 1
)</f>
        <v>0</v>
      </c>
      <c r="BS38" s="123">
        <f ca="1">SUMIFS(tb_rec_uni[2023-12-01],
INDIRECT("tb_rec_uni[natureza]"),"pro.soluto",
INDIRECT("tb_rec_uni[empresa]"),BS$6)</f>
        <v>0</v>
      </c>
      <c r="BT38" s="123">
        <f ca="1">SUMIFS(tb_rec_uni[2023-12-01],
INDIRECT("tb_rec_uni[natureza]"),"parcela.fin.total.ik",
INDIRECT("tb_rec_uni[empresa]"),BT$6)</f>
        <v>0</v>
      </c>
      <c r="BU38" s="123">
        <f ca="1">SUMIFS(tb_rec_uni[2023-12-01],
INDIRECT("tb_rec_uni[natureza]"),"taxa.extra",
INDIRECT("tb_rec_uni[empresa]"),BU$6)</f>
        <v>0</v>
      </c>
      <c r="BV38" s="111"/>
      <c r="BW38" s="123">
        <f ca="1">SUMIFS(
  m.vb[valor],
  m.vb[nucleo],$BR$1,
  m.vb[variavel],BW$7,
  m.vb[mes],$A38
)</f>
        <v>0</v>
      </c>
      <c r="BX38" s="123">
        <f ca="1">SUMIFS(
  m.vb[valor],
  m.vb[nucleo],$BR$1,
  m.vb[variavel],BX$7,
  m.vb[mes],$A38
)</f>
        <v>0</v>
      </c>
      <c r="BY38" s="123">
        <f ca="1">SUMIFS(
  m.vb[valor],
  m.vb[nucleo],$BR$1,
  m.vb[variavel],BY$7,
  m.vb[mes],$A38
)</f>
        <v>0</v>
      </c>
      <c r="BZ38" s="123">
        <f ca="1">SUMIFS(
  m.vb[valor],
  m.vb[nucleo],$BR$1,
  m.vb[variavel],BZ$7,
  m.vb[mes],$A38
)</f>
        <v>0</v>
      </c>
      <c r="CA38" s="124">
        <f ca="1">SUMIFS(
  m.vb[valor],
  m.vb[nucleo],$BR$1,
  m.vb[variavel],CA$7,
  m.vb[mes],$A38
)</f>
        <v>0</v>
      </c>
      <c r="CB38" s="122">
        <f>COUNTIFS(
    tb_estq[empresa], CB$6,
    tb_estq[Data da venda / reserva], "&gt;=" &amp; $A38,
    tb_estq[Data da venda / reserva], "&lt;"  &amp; EOMONTH($A38,0) + 1
)</f>
        <v>0</v>
      </c>
      <c r="CC38" s="123">
        <f ca="1">SUMIFS(tb_rec_uni[2023-12-01],
INDIRECT("tb_rec_uni[natureza]"),"pro.soluto",
INDIRECT("tb_rec_uni[empresa]"),CC$6)</f>
        <v>0</v>
      </c>
      <c r="CD38" s="123">
        <f ca="1">SUMIFS(tb_rec_uni[2023-12-01],
INDIRECT("tb_rec_uni[natureza]"),"repasse.cef.obra",
INDIRECT("tb_rec_uni[empresa]"),CD$6)</f>
        <v>0</v>
      </c>
      <c r="CE38" s="123">
        <f ca="1">SUMIFS(tb_rec_uni[2023-12-01],
INDIRECT("tb_rec_uni[natureza]"),"repasse.cef.terreno",
INDIRECT("tb_rec_uni[empresa]"),CE$6)</f>
        <v>0</v>
      </c>
      <c r="CF38" s="123">
        <v>0</v>
      </c>
      <c r="CG38" s="123">
        <f ca="1">SUMIFS(tb_rec_uni[2023-12-01],
INDIRECT("tb_rec_uni[natureza]"),"taxa.extra",
INDIRECT("tb_rec_uni[empresa]"),CG$6)</f>
        <v>0</v>
      </c>
      <c r="CH38" s="111"/>
      <c r="CI38" s="123">
        <f ca="1">SUMIFS(
  m.vb[valor],
  m.vb[nucleo],$CB$1,
  m.vb[variavel],CI$7,
  m.vb[mes],$A38
)</f>
        <v>0</v>
      </c>
      <c r="CJ38" s="123">
        <f ca="1">SUMIFS(
  m.vb[valor],
  m.vb[nucleo],$CB$1,
  m.vb[variavel],CJ$7,
  m.vb[mes],$A38
)</f>
        <v>0</v>
      </c>
      <c r="CK38" s="123">
        <f ca="1">SUMIFS(
  m.vb[valor],
  m.vb[nucleo],$CB$1,
  m.vb[variavel],CK$7,
  m.vb[mes],$A38
)</f>
        <v>0</v>
      </c>
      <c r="CL38" s="123">
        <f ca="1">SUMIFS(
  m.vb[valor],
  m.vb[nucleo],$CB$1,
  m.vb[variavel],CL$7,
  m.vb[mes],$A38
)</f>
        <v>0</v>
      </c>
      <c r="CM38" s="124">
        <f ca="1">SUMIFS(
  m.vb[valor],
  m.vb[nucleo],$CB$1,
  m.vb[variavel],CM$7,
  m.vb[mes],$A38
)</f>
        <v>0</v>
      </c>
      <c r="CN38" s="122">
        <f>COUNTIFS(
    tb_estq[empresa], CN$6,
    tb_estq[Data da venda / reserva], "&gt;=" &amp; $A38,
    tb_estq[Data da venda / reserva], "&lt;"  &amp; EOMONTH($A38,0) + 1
)</f>
        <v>0</v>
      </c>
      <c r="CO38" s="123">
        <f ca="1">SUMIFS(tb_rec_uni[2023-12-01],
INDIRECT("tb_rec_uni[natureza]"),"pro.soluto",
INDIRECT("tb_rec_uni[empresa]"),CO$6)</f>
        <v>0</v>
      </c>
      <c r="CP38" s="123">
        <f ca="1">SUMIFS(tb_rec_uni[2023-12-01],
INDIRECT("tb_rec_uni[natureza]"),"repasse.cef.obra",
INDIRECT("tb_rec_uni[empresa]"),CP$6)</f>
        <v>0</v>
      </c>
      <c r="CQ38" s="123">
        <f ca="1">SUMIFS(tb_rec_uni[2023-12-01],
INDIRECT("tb_rec_uni[natureza]"),"repasse.cef.terreno",
INDIRECT("tb_rec_uni[empresa]"),CQ$6)</f>
        <v>0</v>
      </c>
      <c r="CR38" s="123">
        <v>0</v>
      </c>
      <c r="CS38" s="123">
        <f ca="1">SUMIFS(tb_rec_uni[2023-12-01],
INDIRECT("tb_rec_uni[natureza]"),"taxa.extra",
INDIRECT("tb_rec_uni[empresa]"),CS$6)</f>
        <v>0</v>
      </c>
      <c r="CT38" s="111"/>
      <c r="CU38" s="123">
        <f ca="1">SUMIFS(
  m.vb[valor],
  m.vb[nucleo],$CN$1,
  m.vb[variavel],CU$7,
  m.vb[mes],$A38
)</f>
        <v>0</v>
      </c>
      <c r="CV38" s="123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3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3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5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21">
        <v>45292</v>
      </c>
      <c r="B39" s="122">
        <f>COUNTIFS(
    tb_estq[empresa], B$6,
    tb_estq[Data da venda / reserva], "&gt;=" &amp; $A39,
    tb_estq[Data da venda / reserva], "&lt;"  &amp; EOMONTH($A39,0) + 1
)</f>
        <v>0</v>
      </c>
      <c r="C39" s="123">
        <f ca="1">SUMIFS(tb_rec_uni[2024-01-01],
INDIRECT("tb_rec_uni[natureza]"),"pro.soluto",
INDIRECT("tb_rec_uni[empresa]"),C$6)</f>
        <v>0</v>
      </c>
      <c r="D39" s="123">
        <f ca="1">SUMIFS(tb_rec_uni[2024-01-01],
INDIRECT("tb_rec_uni[natureza]"),"repasse.cef.obra",
INDIRECT("tb_rec_uni[empresa]"),D$6)</f>
        <v>0</v>
      </c>
      <c r="E39" s="123">
        <f ca="1">SUMIFS(tb_rec_uni[2024-01-01],
INDIRECT("tb_rec_uni[natureza]"),"repasse.cef.terreno",
INDIRECT("tb_rec_uni[empresa]"),E$6)</f>
        <v>0</v>
      </c>
      <c r="F39" s="123">
        <v>0</v>
      </c>
      <c r="G39" s="123">
        <f ca="1">SUMIFS(tb_rec_uni[2024-01-01],
INDIRECT("tb_rec_uni[natureza]"),"taxa.extra",
INDIRECT("tb_rec_uni[empresa]"),G$6)</f>
        <v>0</v>
      </c>
      <c r="H39" s="111"/>
      <c r="I39" s="123">
        <f ca="1">SUMIFS(
  m.vb[valor],
  m.vb[nucleo],$B$1,
  m.vb[variavel],I$7,
  m.vb[mes],$A39
)</f>
        <v>0</v>
      </c>
      <c r="J39" s="123">
        <f ca="1">SUMIFS(
  m.vb[valor],
  m.vb[nucleo],$B$1,
  m.vb[variavel],J$7,
  m.vb[mes],$A39
)</f>
        <v>0</v>
      </c>
      <c r="K39" s="123">
        <f ca="1">SUMIFS(
  m.vb[valor],
  m.vb[nucleo],$B$1,
  m.vb[variavel],K$7,
  m.vb[mes],$A39
)</f>
        <v>0</v>
      </c>
      <c r="L39" s="123">
        <f ca="1">SUMIFS(
  m.vb[valor],
  m.vb[nucleo],$B$1,
  m.vb[variavel],L$7,
  m.vb[mes],$A39
)</f>
        <v>0</v>
      </c>
      <c r="M39" s="124">
        <f ca="1">SUMIFS(
  m.vb[valor],
  m.vb[nucleo],$B$1,
  m.vb[variavel],M$7,
  m.vb[mes],$A39
)</f>
        <v>0</v>
      </c>
      <c r="N39" s="122">
        <f>COUNTIFS(
    tb_estq[empresa], N$6,
    tb_estq[Data da venda / reserva], "&gt;=" &amp; $A39,
    tb_estq[Data da venda / reserva], "&lt;"  &amp; EOMONTH($A39,0) + 1
)</f>
        <v>0</v>
      </c>
      <c r="O39" s="123">
        <f ca="1">SUMIFS(tb_rec_uni[2024-01-01],
INDIRECT("tb_rec_uni[natureza]"),"pro.soluto",
INDIRECT("tb_rec_uni[empresa]"),O$6)</f>
        <v>0</v>
      </c>
      <c r="P39" s="123">
        <f ca="1">SUMIFS(tb_rec_uni[2024-01-01],
INDIRECT("tb_rec_uni[natureza]"),"repasse.cef.obra",
INDIRECT("tb_rec_uni[empresa]"),P$6)</f>
        <v>0</v>
      </c>
      <c r="Q39" s="123">
        <f ca="1">SUMIFS(tb_rec_uni[2024-01-01],
INDIRECT("tb_rec_uni[natureza]"),"repasse.cef.terreno",
INDIRECT("tb_rec_uni[empresa]"),Q$6)</f>
        <v>0</v>
      </c>
      <c r="R39" s="123">
        <v>1292869.73</v>
      </c>
      <c r="S39" s="123">
        <f ca="1">SUMIFS(tb_rec_uni[2024-01-01],
INDIRECT("tb_rec_uni[natureza]"),"taxa.extra",
INDIRECT("tb_rec_uni[empresa]"),S$6)</f>
        <v>0</v>
      </c>
      <c r="T39" s="111"/>
      <c r="U39" s="123">
        <f ca="1">SUMIFS(
  m.vb[valor],
  m.vb[nucleo],$N$1,
  m.vb[variavel],U$7,
  m.vb[mes],$A39
)</f>
        <v>0</v>
      </c>
      <c r="V39" s="123">
        <f ca="1">SUMIFS(
  m.vb[valor],
  m.vb[nucleo],$N$1,
  m.vb[variavel],V$7,
  m.vb[mes],$A39
)</f>
        <v>0</v>
      </c>
      <c r="W39" s="123">
        <f ca="1">SUMIFS(
  m.vb[valor],
  m.vb[nucleo],$N$1,
  m.vb[variavel],W$7,
  m.vb[mes],$A39
)</f>
        <v>0</v>
      </c>
      <c r="X39" s="123">
        <f ca="1">SUMIFS(
  m.vb[valor],
  m.vb[nucleo],$N$1,
  m.vb[variavel],X$7,
  m.vb[mes],$A39
)</f>
        <v>0</v>
      </c>
      <c r="Y39" s="124">
        <f ca="1">SUMIFS(
  m.vb[valor],
  m.vb[nucleo],$N$1,
  m.vb[variavel],Y$7,
  m.vb[mes],$A39
)</f>
        <v>0</v>
      </c>
      <c r="Z39" s="122">
        <f>COUNTIFS(
    tb_estq[empresa], Z$6,
    tb_estq[Data da venda / reserva], "&gt;=" &amp; $A39,
    tb_estq[Data da venda / reserva], "&lt;"  &amp; EOMONTH($A39,0) + 1
)</f>
        <v>0</v>
      </c>
      <c r="AA39" s="123">
        <f ca="1">SUMIFS(tb_rec_uni[2024-01-01],
INDIRECT("tb_rec_uni[natureza]"),"pro.soluto",
INDIRECT("tb_rec_uni[empresa]"),AA$6)</f>
        <v>0</v>
      </c>
      <c r="AB39" s="123">
        <f ca="1">SUMIFS(tb_rec_uni[2024-01-01],
INDIRECT("tb_rec_uni[natureza]"),"parcela.fin.total.ik",
INDIRECT("tb_rec_uni[empresa]"),AB$6)</f>
        <v>0</v>
      </c>
      <c r="AC39" s="123">
        <f ca="1">SUMIFS(tb_rec_uni[2024-01-01],
INDIRECT("tb_rec_uni[natureza]"),"taxa.extra",
INDIRECT("tb_rec_uni[empresa]"),AC$6)</f>
        <v>0</v>
      </c>
      <c r="AD39" s="111"/>
      <c r="AE39" s="123">
        <f ca="1">SUMIFS(
  m.vb[valor],
  m.vb[nucleo],$Z$1,
  m.vb[variavel],AE$7,
  m.vb[mes],$A39
)</f>
        <v>0</v>
      </c>
      <c r="AF39" s="123">
        <f ca="1">SUMIFS(
  m.vb[valor],
  m.vb[nucleo],$Z$1,
  m.vb[variavel],AF$7,
  m.vb[mes],$A39
)</f>
        <v>0</v>
      </c>
      <c r="AG39" s="123">
        <f ca="1">SUMIFS(
  m.vb[valor],
  m.vb[nucleo],$Z$1,
  m.vb[variavel],AG$7,
  m.vb[mes],$A39
)</f>
        <v>0</v>
      </c>
      <c r="AH39" s="123">
        <f ca="1">SUMIFS(
  m.vb[valor],
  m.vb[nucleo],$Z$1,
  m.vb[variavel],AH$7,
  m.vb[mes],$A39
)</f>
        <v>0</v>
      </c>
      <c r="AI39" s="124">
        <f ca="1">SUMIFS(
  m.vb[valor],
  m.vb[nucleo],$Z$1,
  m.vb[variavel],AI$7,
  m.vb[mes],$A39
)</f>
        <v>0</v>
      </c>
      <c r="AJ39" s="122">
        <f>COUNTIFS(
    tb_estq[empresa], AJ$6,
    tb_estq[Data da venda / reserva], "&gt;=" &amp; $A39,
    tb_estq[Data da venda / reserva], "&lt;"  &amp; EOMONTH($A39,0) + 1
)</f>
        <v>0</v>
      </c>
      <c r="AK39" s="123">
        <f ca="1">SUMIFS(tb_rec_uni[2024-01-01],
INDIRECT("tb_rec_uni[natureza]"),"pro.soluto",
INDIRECT("tb_rec_uni[empresa]"),AK$6)</f>
        <v>0</v>
      </c>
      <c r="AL39" s="123">
        <f ca="1">SUMIFS(tb_rec_uni[2024-01-01],
INDIRECT("tb_rec_uni[natureza]"),"repasse.cef.obra",
INDIRECT("tb_rec_uni[empresa]"),AL$6)</f>
        <v>0</v>
      </c>
      <c r="AM39" s="123">
        <f ca="1">SUMIFS(tb_rec_uni[2024-01-01],
INDIRECT("tb_rec_uni[natureza]"),"repasse.cef.terreno",
INDIRECT("tb_rec_uni[empresa]"),AM$6)</f>
        <v>0</v>
      </c>
      <c r="AN39" s="123">
        <v>0</v>
      </c>
      <c r="AO39" s="123">
        <f ca="1">SUMIFS(tb_rec_uni[2024-01-01],
INDIRECT("tb_rec_uni[natureza]"),"taxa.extra",
INDIRECT("tb_rec_uni[empresa]"),AO$6)</f>
        <v>0</v>
      </c>
      <c r="AP39" s="111"/>
      <c r="AQ39" s="123">
        <f ca="1">SUMIFS(
  m.vb[valor],
  m.vb[nucleo],$AJ$1,
  m.vb[variavel],AQ$7,
  m.vb[mes],$A39
)</f>
        <v>0</v>
      </c>
      <c r="AR39" s="123">
        <f ca="1">SUMIFS(
  m.vb[valor],
  m.vb[nucleo],$AJ$1,
  m.vb[variavel],AR$7,
  m.vb[mes],$A39
)</f>
        <v>0</v>
      </c>
      <c r="AS39" s="123">
        <f ca="1">SUMIFS(
  m.vb[valor],
  m.vb[nucleo],$AJ$1,
  m.vb[variavel],AS$7,
  m.vb[mes],$A39
)</f>
        <v>0</v>
      </c>
      <c r="AT39" s="123">
        <f ca="1">SUMIFS(
  m.vb[valor],
  m.vb[nucleo],$AJ$1,
  m.vb[variavel],AT$7,
  m.vb[mes],$A39
)</f>
        <v>0</v>
      </c>
      <c r="AU39" s="124">
        <f ca="1">SUMIFS(
  m.vb[valor],
  m.vb[nucleo],$AJ$1,
  m.vb[variavel],AU$7,
  m.vb[mes],$A39
)</f>
        <v>0</v>
      </c>
      <c r="AV39" s="122">
        <f>COUNTIFS(
    tb_estq[empresa], AV$6,
    tb_estq[Data da venda / reserva], "&gt;=" &amp; $A39,
    tb_estq[Data da venda / reserva], "&lt;"  &amp; EOMONTH($A39,0) + 1
)</f>
        <v>0</v>
      </c>
      <c r="AW39" s="123">
        <f ca="1">SUMIFS(tb_rec_uni[2024-01-01],
INDIRECT("tb_rec_uni[natureza]"),"pro.soluto",
INDIRECT("tb_rec_uni[empresa]"),AW$6)</f>
        <v>0</v>
      </c>
      <c r="AX39" s="123">
        <f ca="1">SUMIFS(tb_rec_uni[2024-01-01],
INDIRECT("tb_rec_uni[natureza]"),"repasse.cef.obra",
INDIRECT("tb_rec_uni[empresa]"),AX$6)</f>
        <v>0</v>
      </c>
      <c r="AY39" s="123">
        <f ca="1">SUMIFS(tb_rec_uni[2024-01-01],
INDIRECT("tb_rec_uni[natureza]"),"repasse.cef.terreno",
INDIRECT("tb_rec_uni[empresa]"),AY$6)</f>
        <v>0</v>
      </c>
      <c r="AZ39" s="123">
        <v>0</v>
      </c>
      <c r="BA39" s="123">
        <f ca="1">SUMIFS(tb_rec_uni[2024-01-01],
INDIRECT("tb_rec_uni[natureza]"),"taxa.extra",
INDIRECT("tb_rec_uni[empresa]"),BA$6)</f>
        <v>0</v>
      </c>
      <c r="BB39" s="111"/>
      <c r="BC39" s="123">
        <f ca="1">SUMIFS(
  m.vb[valor],
  m.vb[nucleo],$AV$1,
  m.vb[variavel],BC$7,
  m.vb[mes],$A39
)</f>
        <v>0</v>
      </c>
      <c r="BD39" s="123">
        <f ca="1">SUMIFS(
  m.vb[valor],
  m.vb[nucleo],$AV$1,
  m.vb[variavel],BD$7,
  m.vb[mes],$A39
)</f>
        <v>0</v>
      </c>
      <c r="BE39" s="123">
        <f ca="1">SUMIFS(
  m.vb[valor],
  m.vb[nucleo],$AV$1,
  m.vb[variavel],BE$7,
  m.vb[mes],$A39
)</f>
        <v>0</v>
      </c>
      <c r="BF39" s="123">
        <f ca="1">SUMIFS(
  m.vb[valor],
  m.vb[nucleo],$AV$1,
  m.vb[variavel],BF$7,
  m.vb[mes],$A39
)</f>
        <v>0</v>
      </c>
      <c r="BG39" s="124">
        <f ca="1">SUMIFS(
  m.vb[valor],
  m.vb[nucleo],$AV$1,
  m.vb[variavel],BG$7,
  m.vb[mes],$A39
)</f>
        <v>0</v>
      </c>
      <c r="BH39" s="122">
        <f>COUNTIFS(
    tb_estq[empresa], BH$6,
    tb_estq[Data da venda / reserva], "&gt;=" &amp; $A39,
    tb_estq[Data da venda / reserva], "&lt;"  &amp; EOMONTH($A39,0) + 1
)</f>
        <v>0</v>
      </c>
      <c r="BI39" s="123">
        <f ca="1">SUMIFS(tb_rec_uni[2024-01-01],
INDIRECT("tb_rec_uni[natureza]"),"pro.soluto",
INDIRECT("tb_rec_uni[empresa]"),BI$6)</f>
        <v>0</v>
      </c>
      <c r="BJ39" s="111">
        <v>0</v>
      </c>
      <c r="BK39" s="123">
        <f ca="1">SUMIFS(tb_rec_uni[2024-01-01],
INDIRECT("tb_rec_uni[natureza]"),"taxa.extra",
INDIRECT("tb_rec_uni[empresa]"),BK$6)</f>
        <v>0</v>
      </c>
      <c r="BL39" s="111"/>
      <c r="BM39" s="123">
        <f ca="1">SUMIFS(
  m.vb[valor],
  m.vb[nucleo],$BH$1,
  m.vb[variavel],BM$7,
  m.vb[mes],$A39
)</f>
        <v>0</v>
      </c>
      <c r="BN39" s="123">
        <f ca="1">SUMIFS(
  m.vb[valor],
  m.vb[nucleo],$BH$1,
  m.vb[variavel],BN$7,
  m.vb[mes],$A39
)</f>
        <v>0</v>
      </c>
      <c r="BO39" s="123">
        <f ca="1">SUMIFS(
  m.vb[valor],
  m.vb[nucleo],$BH$1,
  m.vb[variavel],BO$7,
  m.vb[mes],$A39
)</f>
        <v>0</v>
      </c>
      <c r="BP39" s="123">
        <f ca="1">SUMIFS(
  m.vb[valor],
  m.vb[nucleo],$BH$1,
  m.vb[variavel],BP$7,
  m.vb[mes],$A39
)</f>
        <v>0</v>
      </c>
      <c r="BQ39" s="124">
        <f ca="1">SUMIFS(
  m.vb[valor],
  m.vb[nucleo],$BH$1,
  m.vb[variavel],BQ$7,
  m.vb[mes],$A39
)</f>
        <v>0</v>
      </c>
      <c r="BR39" s="122">
        <f>COUNTIFS(
    tb_estq[empresa], BR$6,
    tb_estq[Data da venda / reserva], "&gt;=" &amp; $A39,
    tb_estq[Data da venda / reserva], "&lt;"  &amp; EOMONTH($A39,0) + 1
)</f>
        <v>0</v>
      </c>
      <c r="BS39" s="123">
        <f ca="1">SUMIFS(tb_rec_uni[2024-01-01],
INDIRECT("tb_rec_uni[natureza]"),"pro.soluto",
INDIRECT("tb_rec_uni[empresa]"),BS$6)</f>
        <v>0</v>
      </c>
      <c r="BT39" s="123">
        <f ca="1">SUMIFS(tb_rec_uni[2024-01-01],
INDIRECT("tb_rec_uni[natureza]"),"parcela.fin.total.ik",
INDIRECT("tb_rec_uni[empresa]"),BT$6)</f>
        <v>0</v>
      </c>
      <c r="BU39" s="123">
        <f ca="1">SUMIFS(tb_rec_uni[2024-01-01],
INDIRECT("tb_rec_uni[natureza]"),"taxa.extra",
INDIRECT("tb_rec_uni[empresa]"),BU$6)</f>
        <v>0</v>
      </c>
      <c r="BV39" s="111"/>
      <c r="BW39" s="123">
        <f ca="1">SUMIFS(
  m.vb[valor],
  m.vb[nucleo],$BR$1,
  m.vb[variavel],BW$7,
  m.vb[mes],$A39
)</f>
        <v>0</v>
      </c>
      <c r="BX39" s="123">
        <f ca="1">SUMIFS(
  m.vb[valor],
  m.vb[nucleo],$BR$1,
  m.vb[variavel],BX$7,
  m.vb[mes],$A39
)</f>
        <v>0</v>
      </c>
      <c r="BY39" s="123">
        <f ca="1">SUMIFS(
  m.vb[valor],
  m.vb[nucleo],$BR$1,
  m.vb[variavel],BY$7,
  m.vb[mes],$A39
)</f>
        <v>0</v>
      </c>
      <c r="BZ39" s="123">
        <f ca="1">SUMIFS(
  m.vb[valor],
  m.vb[nucleo],$BR$1,
  m.vb[variavel],BZ$7,
  m.vb[mes],$A39
)</f>
        <v>0</v>
      </c>
      <c r="CA39" s="124">
        <f ca="1">SUMIFS(
  m.vb[valor],
  m.vb[nucleo],$BR$1,
  m.vb[variavel],CA$7,
  m.vb[mes],$A39
)</f>
        <v>0</v>
      </c>
      <c r="CB39" s="122">
        <f>COUNTIFS(
    tb_estq[empresa], CB$6,
    tb_estq[Data da venda / reserva], "&gt;=" &amp; $A39,
    tb_estq[Data da venda / reserva], "&lt;"  &amp; EOMONTH($A39,0) + 1
)</f>
        <v>0</v>
      </c>
      <c r="CC39" s="123">
        <f ca="1">SUMIFS(tb_rec_uni[2024-01-01],
INDIRECT("tb_rec_uni[natureza]"),"pro.soluto",
INDIRECT("tb_rec_uni[empresa]"),CC$6)</f>
        <v>0</v>
      </c>
      <c r="CD39" s="123">
        <f ca="1">SUMIFS(tb_rec_uni[2024-01-01],
INDIRECT("tb_rec_uni[natureza]"),"repasse.cef.obra",
INDIRECT("tb_rec_uni[empresa]"),CD$6)</f>
        <v>0</v>
      </c>
      <c r="CE39" s="123">
        <f ca="1">SUMIFS(tb_rec_uni[2024-01-01],
INDIRECT("tb_rec_uni[natureza]"),"repasse.cef.terreno",
INDIRECT("tb_rec_uni[empresa]"),CE$6)</f>
        <v>0</v>
      </c>
      <c r="CF39" s="123">
        <v>0</v>
      </c>
      <c r="CG39" s="123">
        <f ca="1">SUMIFS(tb_rec_uni[2024-01-01],
INDIRECT("tb_rec_uni[natureza]"),"taxa.extra",
INDIRECT("tb_rec_uni[empresa]"),CG$6)</f>
        <v>0</v>
      </c>
      <c r="CH39" s="111"/>
      <c r="CI39" s="123">
        <f ca="1">SUMIFS(
  m.vb[valor],
  m.vb[nucleo],$CB$1,
  m.vb[variavel],CI$7,
  m.vb[mes],$A39
)</f>
        <v>0</v>
      </c>
      <c r="CJ39" s="123">
        <f ca="1">SUMIFS(
  m.vb[valor],
  m.vb[nucleo],$CB$1,
  m.vb[variavel],CJ$7,
  m.vb[mes],$A39
)</f>
        <v>0</v>
      </c>
      <c r="CK39" s="123">
        <f ca="1">SUMIFS(
  m.vb[valor],
  m.vb[nucleo],$CB$1,
  m.vb[variavel],CK$7,
  m.vb[mes],$A39
)</f>
        <v>0</v>
      </c>
      <c r="CL39" s="123">
        <f ca="1">SUMIFS(
  m.vb[valor],
  m.vb[nucleo],$CB$1,
  m.vb[variavel],CL$7,
  m.vb[mes],$A39
)</f>
        <v>0</v>
      </c>
      <c r="CM39" s="124">
        <f ca="1">SUMIFS(
  m.vb[valor],
  m.vb[nucleo],$CB$1,
  m.vb[variavel],CM$7,
  m.vb[mes],$A39
)</f>
        <v>0</v>
      </c>
      <c r="CN39" s="122">
        <f>COUNTIFS(
    tb_estq[empresa], CN$6,
    tb_estq[Data da venda / reserva], "&gt;=" &amp; $A39,
    tb_estq[Data da venda / reserva], "&lt;"  &amp; EOMONTH($A39,0) + 1
)</f>
        <v>0</v>
      </c>
      <c r="CO39" s="123">
        <f ca="1">SUMIFS(tb_rec_uni[2024-01-01],
INDIRECT("tb_rec_uni[natureza]"),"pro.soluto",
INDIRECT("tb_rec_uni[empresa]"),CO$6)</f>
        <v>0</v>
      </c>
      <c r="CP39" s="123">
        <f ca="1">SUMIFS(tb_rec_uni[2024-01-01],
INDIRECT("tb_rec_uni[natureza]"),"repasse.cef.obra",
INDIRECT("tb_rec_uni[empresa]"),CP$6)</f>
        <v>0</v>
      </c>
      <c r="CQ39" s="123">
        <f ca="1">SUMIFS(tb_rec_uni[2024-01-01],
INDIRECT("tb_rec_uni[natureza]"),"repasse.cef.terreno",
INDIRECT("tb_rec_uni[empresa]"),CQ$6)</f>
        <v>0</v>
      </c>
      <c r="CR39" s="123">
        <v>0</v>
      </c>
      <c r="CS39" s="123">
        <f ca="1">SUMIFS(tb_rec_uni[2024-01-01],
INDIRECT("tb_rec_uni[natureza]"),"taxa.extra",
INDIRECT("tb_rec_uni[empresa]"),CS$6)</f>
        <v>0</v>
      </c>
      <c r="CT39" s="111"/>
      <c r="CU39" s="123">
        <f ca="1">SUMIFS(
  m.vb[valor],
  m.vb[nucleo],$CN$1,
  m.vb[variavel],CU$7,
  m.vb[mes],$A39
)</f>
        <v>0</v>
      </c>
      <c r="CV39" s="123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3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3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5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21">
        <v>45323</v>
      </c>
      <c r="B40" s="122">
        <f>COUNTIFS(
    tb_estq[empresa], B$6,
    tb_estq[Data da venda / reserva], "&gt;=" &amp; $A40,
    tb_estq[Data da venda / reserva], "&lt;"  &amp; EOMONTH($A40,0) + 1
)</f>
        <v>0</v>
      </c>
      <c r="C40" s="123">
        <f ca="1">SUMIFS(tb_rec_uni[2024-02-01],
INDIRECT("tb_rec_uni[natureza]"),"pro.soluto",
INDIRECT("tb_rec_uni[empresa]"),C$6)</f>
        <v>0</v>
      </c>
      <c r="D40" s="123">
        <f ca="1">SUMIFS(tb_rec_uni[2024-02-01],
INDIRECT("tb_rec_uni[natureza]"),"repasse.cef.obra",
INDIRECT("tb_rec_uni[empresa]"),D$6)</f>
        <v>0</v>
      </c>
      <c r="E40" s="123">
        <f ca="1">SUMIFS(tb_rec_uni[2024-02-01],
INDIRECT("tb_rec_uni[natureza]"),"repasse.cef.terreno",
INDIRECT("tb_rec_uni[empresa]"),E$6)</f>
        <v>0</v>
      </c>
      <c r="F40" s="123">
        <v>0</v>
      </c>
      <c r="G40" s="123">
        <f ca="1">SUMIFS(tb_rec_uni[2024-02-01],
INDIRECT("tb_rec_uni[natureza]"),"taxa.extra",
INDIRECT("tb_rec_uni[empresa]"),G$6)</f>
        <v>0</v>
      </c>
      <c r="H40" s="111"/>
      <c r="I40" s="123">
        <f ca="1">SUMIFS(
  m.vb[valor],
  m.vb[nucleo],$B$1,
  m.vb[variavel],I$7,
  m.vb[mes],$A40
)</f>
        <v>0</v>
      </c>
      <c r="J40" s="123">
        <f ca="1">SUMIFS(
  m.vb[valor],
  m.vb[nucleo],$B$1,
  m.vb[variavel],J$7,
  m.vb[mes],$A40
)</f>
        <v>0</v>
      </c>
      <c r="K40" s="123">
        <f ca="1">SUMIFS(
  m.vb[valor],
  m.vb[nucleo],$B$1,
  m.vb[variavel],K$7,
  m.vb[mes],$A40
)</f>
        <v>0</v>
      </c>
      <c r="L40" s="123">
        <f ca="1">SUMIFS(
  m.vb[valor],
  m.vb[nucleo],$B$1,
  m.vb[variavel],L$7,
  m.vb[mes],$A40
)</f>
        <v>0</v>
      </c>
      <c r="M40" s="124">
        <f ca="1">SUMIFS(
  m.vb[valor],
  m.vb[nucleo],$B$1,
  m.vb[variavel],M$7,
  m.vb[mes],$A40
)</f>
        <v>0</v>
      </c>
      <c r="N40" s="122">
        <f>COUNTIFS(
    tb_estq[empresa], N$6,
    tb_estq[Data da venda / reserva], "&gt;=" &amp; $A40,
    tb_estq[Data da venda / reserva], "&lt;"  &amp; EOMONTH($A40,0) + 1
)</f>
        <v>0</v>
      </c>
      <c r="O40" s="123">
        <f ca="1">SUMIFS(tb_rec_uni[2024-02-01],
INDIRECT("tb_rec_uni[natureza]"),"pro.soluto",
INDIRECT("tb_rec_uni[empresa]"),O$6)</f>
        <v>0</v>
      </c>
      <c r="P40" s="123">
        <f ca="1">SUMIFS(tb_rec_uni[2024-02-01],
INDIRECT("tb_rec_uni[natureza]"),"repasse.cef.obra",
INDIRECT("tb_rec_uni[empresa]"),P$6)</f>
        <v>0</v>
      </c>
      <c r="Q40" s="123">
        <f ca="1">SUMIFS(tb_rec_uni[2024-02-01],
INDIRECT("tb_rec_uni[natureza]"),"repasse.cef.terreno",
INDIRECT("tb_rec_uni[empresa]"),Q$6)</f>
        <v>0</v>
      </c>
      <c r="R40" s="123">
        <v>641961.35</v>
      </c>
      <c r="S40" s="123">
        <f ca="1">SUMIFS(tb_rec_uni[2024-02-01],
INDIRECT("tb_rec_uni[natureza]"),"taxa.extra",
INDIRECT("tb_rec_uni[empresa]"),S$6)</f>
        <v>0</v>
      </c>
      <c r="T40" s="111"/>
      <c r="U40" s="123">
        <f ca="1">SUMIFS(
  m.vb[valor],
  m.vb[nucleo],$N$1,
  m.vb[variavel],U$7,
  m.vb[mes],$A40
)</f>
        <v>0</v>
      </c>
      <c r="V40" s="123">
        <f ca="1">SUMIFS(
  m.vb[valor],
  m.vb[nucleo],$N$1,
  m.vb[variavel],V$7,
  m.vb[mes],$A40
)</f>
        <v>0</v>
      </c>
      <c r="W40" s="123">
        <f ca="1">SUMIFS(
  m.vb[valor],
  m.vb[nucleo],$N$1,
  m.vb[variavel],W$7,
  m.vb[mes],$A40
)</f>
        <v>0</v>
      </c>
      <c r="X40" s="123">
        <f ca="1">SUMIFS(
  m.vb[valor],
  m.vb[nucleo],$N$1,
  m.vb[variavel],X$7,
  m.vb[mes],$A40
)</f>
        <v>0</v>
      </c>
      <c r="Y40" s="124">
        <f ca="1">SUMIFS(
  m.vb[valor],
  m.vb[nucleo],$N$1,
  m.vb[variavel],Y$7,
  m.vb[mes],$A40
)</f>
        <v>0</v>
      </c>
      <c r="Z40" s="122">
        <f>COUNTIFS(
    tb_estq[empresa], Z$6,
    tb_estq[Data da venda / reserva], "&gt;=" &amp; $A40,
    tb_estq[Data da venda / reserva], "&lt;"  &amp; EOMONTH($A40,0) + 1
)</f>
        <v>0</v>
      </c>
      <c r="AA40" s="123">
        <f ca="1">SUMIFS(tb_rec_uni[2024-02-01],
INDIRECT("tb_rec_uni[natureza]"),"pro.soluto",
INDIRECT("tb_rec_uni[empresa]"),AA$6)</f>
        <v>0</v>
      </c>
      <c r="AB40" s="123">
        <f ca="1">SUMIFS(tb_rec_uni[2024-02-01],
INDIRECT("tb_rec_uni[natureza]"),"parcela.fin.total.ik",
INDIRECT("tb_rec_uni[empresa]"),AB$6)</f>
        <v>0</v>
      </c>
      <c r="AC40" s="123">
        <f ca="1">SUMIFS(tb_rec_uni[2024-02-01],
INDIRECT("tb_rec_uni[natureza]"),"taxa.extra",
INDIRECT("tb_rec_uni[empresa]"),AC$6)</f>
        <v>0</v>
      </c>
      <c r="AD40" s="111"/>
      <c r="AE40" s="123">
        <f ca="1">SUMIFS(
  m.vb[valor],
  m.vb[nucleo],$Z$1,
  m.vb[variavel],AE$7,
  m.vb[mes],$A40
)</f>
        <v>0</v>
      </c>
      <c r="AF40" s="123">
        <f ca="1">SUMIFS(
  m.vb[valor],
  m.vb[nucleo],$Z$1,
  m.vb[variavel],AF$7,
  m.vb[mes],$A40
)</f>
        <v>0</v>
      </c>
      <c r="AG40" s="123">
        <f ca="1">SUMIFS(
  m.vb[valor],
  m.vb[nucleo],$Z$1,
  m.vb[variavel],AG$7,
  m.vb[mes],$A40
)</f>
        <v>0</v>
      </c>
      <c r="AH40" s="123">
        <f ca="1">SUMIFS(
  m.vb[valor],
  m.vb[nucleo],$Z$1,
  m.vb[variavel],AH$7,
  m.vb[mes],$A40
)</f>
        <v>0</v>
      </c>
      <c r="AI40" s="124">
        <f ca="1">SUMIFS(
  m.vb[valor],
  m.vb[nucleo],$Z$1,
  m.vb[variavel],AI$7,
  m.vb[mes],$A40
)</f>
        <v>0</v>
      </c>
      <c r="AJ40" s="122">
        <f>COUNTIFS(
    tb_estq[empresa], AJ$6,
    tb_estq[Data da venda / reserva], "&gt;=" &amp; $A40,
    tb_estq[Data da venda / reserva], "&lt;"  &amp; EOMONTH($A40,0) + 1
)</f>
        <v>0</v>
      </c>
      <c r="AK40" s="123">
        <f ca="1">SUMIFS(tb_rec_uni[2024-02-01],
INDIRECT("tb_rec_uni[natureza]"),"pro.soluto",
INDIRECT("tb_rec_uni[empresa]"),AK$6)</f>
        <v>0</v>
      </c>
      <c r="AL40" s="123">
        <f ca="1">SUMIFS(tb_rec_uni[2024-02-01],
INDIRECT("tb_rec_uni[natureza]"),"repasse.cef.obra",
INDIRECT("tb_rec_uni[empresa]"),AL$6)</f>
        <v>0</v>
      </c>
      <c r="AM40" s="123">
        <f ca="1">SUMIFS(tb_rec_uni[2024-02-01],
INDIRECT("tb_rec_uni[natureza]"),"repasse.cef.terreno",
INDIRECT("tb_rec_uni[empresa]"),AM$6)</f>
        <v>0</v>
      </c>
      <c r="AN40" s="123">
        <v>0</v>
      </c>
      <c r="AO40" s="123">
        <f ca="1">SUMIFS(tb_rec_uni[2024-02-01],
INDIRECT("tb_rec_uni[natureza]"),"taxa.extra",
INDIRECT("tb_rec_uni[empresa]"),AO$6)</f>
        <v>0</v>
      </c>
      <c r="AP40" s="111"/>
      <c r="AQ40" s="123">
        <f ca="1">SUMIFS(
  m.vb[valor],
  m.vb[nucleo],$AJ$1,
  m.vb[variavel],AQ$7,
  m.vb[mes],$A40
)</f>
        <v>0</v>
      </c>
      <c r="AR40" s="123">
        <f ca="1">SUMIFS(
  m.vb[valor],
  m.vb[nucleo],$AJ$1,
  m.vb[variavel],AR$7,
  m.vb[mes],$A40
)</f>
        <v>0</v>
      </c>
      <c r="AS40" s="123">
        <f ca="1">SUMIFS(
  m.vb[valor],
  m.vb[nucleo],$AJ$1,
  m.vb[variavel],AS$7,
  m.vb[mes],$A40
)</f>
        <v>0</v>
      </c>
      <c r="AT40" s="123">
        <f ca="1">SUMIFS(
  m.vb[valor],
  m.vb[nucleo],$AJ$1,
  m.vb[variavel],AT$7,
  m.vb[mes],$A40
)</f>
        <v>0</v>
      </c>
      <c r="AU40" s="124">
        <f ca="1">SUMIFS(
  m.vb[valor],
  m.vb[nucleo],$AJ$1,
  m.vb[variavel],AU$7,
  m.vb[mes],$A40
)</f>
        <v>0</v>
      </c>
      <c r="AV40" s="122">
        <f>COUNTIFS(
    tb_estq[empresa], AV$6,
    tb_estq[Data da venda / reserva], "&gt;=" &amp; $A40,
    tb_estq[Data da venda / reserva], "&lt;"  &amp; EOMONTH($A40,0) + 1
)</f>
        <v>0</v>
      </c>
      <c r="AW40" s="123">
        <f ca="1">SUMIFS(tb_rec_uni[2024-02-01],
INDIRECT("tb_rec_uni[natureza]"),"pro.soluto",
INDIRECT("tb_rec_uni[empresa]"),AW$6)</f>
        <v>0</v>
      </c>
      <c r="AX40" s="123">
        <f ca="1">SUMIFS(tb_rec_uni[2024-02-01],
INDIRECT("tb_rec_uni[natureza]"),"repasse.cef.obra",
INDIRECT("tb_rec_uni[empresa]"),AX$6)</f>
        <v>0</v>
      </c>
      <c r="AY40" s="123">
        <f ca="1">SUMIFS(tb_rec_uni[2024-02-01],
INDIRECT("tb_rec_uni[natureza]"),"repasse.cef.terreno",
INDIRECT("tb_rec_uni[empresa]"),AY$6)</f>
        <v>0</v>
      </c>
      <c r="AZ40" s="123">
        <v>0</v>
      </c>
      <c r="BA40" s="123">
        <f ca="1">SUMIFS(tb_rec_uni[2024-02-01],
INDIRECT("tb_rec_uni[natureza]"),"taxa.extra",
INDIRECT("tb_rec_uni[empresa]"),BA$6)</f>
        <v>0</v>
      </c>
      <c r="BB40" s="111"/>
      <c r="BC40" s="123">
        <f ca="1">SUMIFS(
  m.vb[valor],
  m.vb[nucleo],$AV$1,
  m.vb[variavel],BC$7,
  m.vb[mes],$A40
)</f>
        <v>0</v>
      </c>
      <c r="BD40" s="123">
        <f ca="1">SUMIFS(
  m.vb[valor],
  m.vb[nucleo],$AV$1,
  m.vb[variavel],BD$7,
  m.vb[mes],$A40
)</f>
        <v>0</v>
      </c>
      <c r="BE40" s="123">
        <f ca="1">SUMIFS(
  m.vb[valor],
  m.vb[nucleo],$AV$1,
  m.vb[variavel],BE$7,
  m.vb[mes],$A40
)</f>
        <v>0</v>
      </c>
      <c r="BF40" s="123">
        <f ca="1">SUMIFS(
  m.vb[valor],
  m.vb[nucleo],$AV$1,
  m.vb[variavel],BF$7,
  m.vb[mes],$A40
)</f>
        <v>0</v>
      </c>
      <c r="BG40" s="124">
        <f ca="1">SUMIFS(
  m.vb[valor],
  m.vb[nucleo],$AV$1,
  m.vb[variavel],BG$7,
  m.vb[mes],$A40
)</f>
        <v>0</v>
      </c>
      <c r="BH40" s="122">
        <f>COUNTIFS(
    tb_estq[empresa], BH$6,
    tb_estq[Data da venda / reserva], "&gt;=" &amp; $A40,
    tb_estq[Data da venda / reserva], "&lt;"  &amp; EOMONTH($A40,0) + 1
)</f>
        <v>0</v>
      </c>
      <c r="BI40" s="123">
        <f ca="1">SUMIFS(tb_rec_uni[2024-02-01],
INDIRECT("tb_rec_uni[natureza]"),"pro.soluto",
INDIRECT("tb_rec_uni[empresa]"),BI$6)</f>
        <v>0</v>
      </c>
      <c r="BJ40" s="111">
        <v>0</v>
      </c>
      <c r="BK40" s="123">
        <f ca="1">SUMIFS(tb_rec_uni[2024-02-01],
INDIRECT("tb_rec_uni[natureza]"),"taxa.extra",
INDIRECT("tb_rec_uni[empresa]"),BK$6)</f>
        <v>0</v>
      </c>
      <c r="BL40" s="111"/>
      <c r="BM40" s="123">
        <f ca="1">SUMIFS(
  m.vb[valor],
  m.vb[nucleo],$BH$1,
  m.vb[variavel],BM$7,
  m.vb[mes],$A40
)</f>
        <v>0</v>
      </c>
      <c r="BN40" s="123">
        <f ca="1">SUMIFS(
  m.vb[valor],
  m.vb[nucleo],$BH$1,
  m.vb[variavel],BN$7,
  m.vb[mes],$A40
)</f>
        <v>0</v>
      </c>
      <c r="BO40" s="123">
        <f ca="1">SUMIFS(
  m.vb[valor],
  m.vb[nucleo],$BH$1,
  m.vb[variavel],BO$7,
  m.vb[mes],$A40
)</f>
        <v>0</v>
      </c>
      <c r="BP40" s="123">
        <f ca="1">SUMIFS(
  m.vb[valor],
  m.vb[nucleo],$BH$1,
  m.vb[variavel],BP$7,
  m.vb[mes],$A40
)</f>
        <v>0</v>
      </c>
      <c r="BQ40" s="124">
        <f ca="1">SUMIFS(
  m.vb[valor],
  m.vb[nucleo],$BH$1,
  m.vb[variavel],BQ$7,
  m.vb[mes],$A40
)</f>
        <v>0</v>
      </c>
      <c r="BR40" s="122">
        <f>COUNTIFS(
    tb_estq[empresa], BR$6,
    tb_estq[Data da venda / reserva], "&gt;=" &amp; $A40,
    tb_estq[Data da venda / reserva], "&lt;"  &amp; EOMONTH($A40,0) + 1
)</f>
        <v>0</v>
      </c>
      <c r="BS40" s="123">
        <f ca="1">SUMIFS(tb_rec_uni[2024-02-01],
INDIRECT("tb_rec_uni[natureza]"),"pro.soluto",
INDIRECT("tb_rec_uni[empresa]"),BS$6)</f>
        <v>0</v>
      </c>
      <c r="BT40" s="123">
        <f ca="1">SUMIFS(tb_rec_uni[2024-02-01],
INDIRECT("tb_rec_uni[natureza]"),"parcela.fin.total.ik",
INDIRECT("tb_rec_uni[empresa]"),BT$6)</f>
        <v>0</v>
      </c>
      <c r="BU40" s="123">
        <f ca="1">SUMIFS(tb_rec_uni[2024-02-01],
INDIRECT("tb_rec_uni[natureza]"),"taxa.extra",
INDIRECT("tb_rec_uni[empresa]"),BU$6)</f>
        <v>0</v>
      </c>
      <c r="BV40" s="111"/>
      <c r="BW40" s="123">
        <f ca="1">SUMIFS(
  m.vb[valor],
  m.vb[nucleo],$BR$1,
  m.vb[variavel],BW$7,
  m.vb[mes],$A40
)</f>
        <v>0</v>
      </c>
      <c r="BX40" s="123">
        <f ca="1">SUMIFS(
  m.vb[valor],
  m.vb[nucleo],$BR$1,
  m.vb[variavel],BX$7,
  m.vb[mes],$A40
)</f>
        <v>0</v>
      </c>
      <c r="BY40" s="123">
        <f ca="1">SUMIFS(
  m.vb[valor],
  m.vb[nucleo],$BR$1,
  m.vb[variavel],BY$7,
  m.vb[mes],$A40
)</f>
        <v>0</v>
      </c>
      <c r="BZ40" s="123">
        <f ca="1">SUMIFS(
  m.vb[valor],
  m.vb[nucleo],$BR$1,
  m.vb[variavel],BZ$7,
  m.vb[mes],$A40
)</f>
        <v>0</v>
      </c>
      <c r="CA40" s="124">
        <f ca="1">SUMIFS(
  m.vb[valor],
  m.vb[nucleo],$BR$1,
  m.vb[variavel],CA$7,
  m.vb[mes],$A40
)</f>
        <v>0</v>
      </c>
      <c r="CB40" s="122">
        <f>COUNTIFS(
    tb_estq[empresa], CB$6,
    tb_estq[Data da venda / reserva], "&gt;=" &amp; $A40,
    tb_estq[Data da venda / reserva], "&lt;"  &amp; EOMONTH($A40,0) + 1
)</f>
        <v>0</v>
      </c>
      <c r="CC40" s="123">
        <f ca="1">SUMIFS(tb_rec_uni[2024-02-01],
INDIRECT("tb_rec_uni[natureza]"),"pro.soluto",
INDIRECT("tb_rec_uni[empresa]"),CC$6)</f>
        <v>0</v>
      </c>
      <c r="CD40" s="123">
        <f ca="1">SUMIFS(tb_rec_uni[2024-02-01],
INDIRECT("tb_rec_uni[natureza]"),"repasse.cef.obra",
INDIRECT("tb_rec_uni[empresa]"),CD$6)</f>
        <v>0</v>
      </c>
      <c r="CE40" s="123">
        <f ca="1">SUMIFS(tb_rec_uni[2024-02-01],
INDIRECT("tb_rec_uni[natureza]"),"repasse.cef.terreno",
INDIRECT("tb_rec_uni[empresa]"),CE$6)</f>
        <v>0</v>
      </c>
      <c r="CF40" s="123">
        <v>0</v>
      </c>
      <c r="CG40" s="123">
        <f ca="1">SUMIFS(tb_rec_uni[2024-02-01],
INDIRECT("tb_rec_uni[natureza]"),"taxa.extra",
INDIRECT("tb_rec_uni[empresa]"),CG$6)</f>
        <v>0</v>
      </c>
      <c r="CH40" s="111"/>
      <c r="CI40" s="123">
        <f ca="1">SUMIFS(
  m.vb[valor],
  m.vb[nucleo],$CB$1,
  m.vb[variavel],CI$7,
  m.vb[mes],$A40
)</f>
        <v>0</v>
      </c>
      <c r="CJ40" s="123">
        <f ca="1">SUMIFS(
  m.vb[valor],
  m.vb[nucleo],$CB$1,
  m.vb[variavel],CJ$7,
  m.vb[mes],$A40
)</f>
        <v>0</v>
      </c>
      <c r="CK40" s="123">
        <f ca="1">SUMIFS(
  m.vb[valor],
  m.vb[nucleo],$CB$1,
  m.vb[variavel],CK$7,
  m.vb[mes],$A40
)</f>
        <v>0</v>
      </c>
      <c r="CL40" s="123">
        <f ca="1">SUMIFS(
  m.vb[valor],
  m.vb[nucleo],$CB$1,
  m.vb[variavel],CL$7,
  m.vb[mes],$A40
)</f>
        <v>0</v>
      </c>
      <c r="CM40" s="124">
        <f ca="1">SUMIFS(
  m.vb[valor],
  m.vb[nucleo],$CB$1,
  m.vb[variavel],CM$7,
  m.vb[mes],$A40
)</f>
        <v>0</v>
      </c>
      <c r="CN40" s="122">
        <f>COUNTIFS(
    tb_estq[empresa], CN$6,
    tb_estq[Data da venda / reserva], "&gt;=" &amp; $A40,
    tb_estq[Data da venda / reserva], "&lt;"  &amp; EOMONTH($A40,0) + 1
)</f>
        <v>0</v>
      </c>
      <c r="CO40" s="123">
        <f ca="1">SUMIFS(tb_rec_uni[2024-02-01],
INDIRECT("tb_rec_uni[natureza]"),"pro.soluto",
INDIRECT("tb_rec_uni[empresa]"),CO$6)</f>
        <v>0</v>
      </c>
      <c r="CP40" s="123">
        <f ca="1">SUMIFS(tb_rec_uni[2024-02-01],
INDIRECT("tb_rec_uni[natureza]"),"repasse.cef.obra",
INDIRECT("tb_rec_uni[empresa]"),CP$6)</f>
        <v>0</v>
      </c>
      <c r="CQ40" s="123">
        <f ca="1">SUMIFS(tb_rec_uni[2024-02-01],
INDIRECT("tb_rec_uni[natureza]"),"repasse.cef.terreno",
INDIRECT("tb_rec_uni[empresa]"),CQ$6)</f>
        <v>0</v>
      </c>
      <c r="CR40" s="123">
        <v>0</v>
      </c>
      <c r="CS40" s="123">
        <f ca="1">SUMIFS(tb_rec_uni[2024-02-01],
INDIRECT("tb_rec_uni[natureza]"),"taxa.extra",
INDIRECT("tb_rec_uni[empresa]"),CS$6)</f>
        <v>0</v>
      </c>
      <c r="CT40" s="111"/>
      <c r="CU40" s="123">
        <f ca="1">SUMIFS(
  m.vb[valor],
  m.vb[nucleo],$CN$1,
  m.vb[variavel],CU$7,
  m.vb[mes],$A40
)</f>
        <v>0</v>
      </c>
      <c r="CV40" s="123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3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3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5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21">
        <v>45352</v>
      </c>
      <c r="B41" s="122">
        <f>COUNTIFS(
    tb_estq[empresa], B$6,
    tb_estq[Data da venda / reserva], "&gt;=" &amp; $A41,
    tb_estq[Data da venda / reserva], "&lt;"  &amp; EOMONTH($A41,0) + 1
)</f>
        <v>0</v>
      </c>
      <c r="C41" s="123">
        <f ca="1">SUMIFS(tb_rec_uni[2024-03-01],
INDIRECT("tb_rec_uni[natureza]"),"pro.soluto",
INDIRECT("tb_rec_uni[empresa]"),C$6)</f>
        <v>0</v>
      </c>
      <c r="D41" s="123">
        <f ca="1">SUMIFS(tb_rec_uni[2024-03-01],
INDIRECT("tb_rec_uni[natureza]"),"repasse.cef.obra",
INDIRECT("tb_rec_uni[empresa]"),D$6)</f>
        <v>0</v>
      </c>
      <c r="E41" s="123">
        <f ca="1">SUMIFS(tb_rec_uni[2024-03-01],
INDIRECT("tb_rec_uni[natureza]"),"repasse.cef.terreno",
INDIRECT("tb_rec_uni[empresa]"),E$6)</f>
        <v>0</v>
      </c>
      <c r="F41" s="123">
        <v>403051.79</v>
      </c>
      <c r="G41" s="123">
        <f ca="1">SUMIFS(tb_rec_uni[2024-03-01],
INDIRECT("tb_rec_uni[natureza]"),"taxa.extra",
INDIRECT("tb_rec_uni[empresa]"),G$6)</f>
        <v>0</v>
      </c>
      <c r="H41" s="111"/>
      <c r="I41" s="123">
        <f ca="1">SUMIFS(
  m.vb[valor],
  m.vb[nucleo],$B$1,
  m.vb[variavel],I$7,
  m.vb[mes],$A41
)</f>
        <v>0</v>
      </c>
      <c r="J41" s="123">
        <f ca="1">SUMIFS(
  m.vb[valor],
  m.vb[nucleo],$B$1,
  m.vb[variavel],J$7,
  m.vb[mes],$A41
)</f>
        <v>0</v>
      </c>
      <c r="K41" s="123">
        <f ca="1">SUMIFS(
  m.vb[valor],
  m.vb[nucleo],$B$1,
  m.vb[variavel],K$7,
  m.vb[mes],$A41
)</f>
        <v>0</v>
      </c>
      <c r="L41" s="123">
        <f ca="1">SUMIFS(
  m.vb[valor],
  m.vb[nucleo],$B$1,
  m.vb[variavel],L$7,
  m.vb[mes],$A41
)</f>
        <v>0</v>
      </c>
      <c r="M41" s="124">
        <f ca="1">SUMIFS(
  m.vb[valor],
  m.vb[nucleo],$B$1,
  m.vb[variavel],M$7,
  m.vb[mes],$A41
)</f>
        <v>0</v>
      </c>
      <c r="N41" s="122">
        <f>COUNTIFS(
    tb_estq[empresa], N$6,
    tb_estq[Data da venda / reserva], "&gt;=" &amp; $A41,
    tb_estq[Data da venda / reserva], "&lt;"  &amp; EOMONTH($A41,0) + 1
)</f>
        <v>0</v>
      </c>
      <c r="O41" s="123">
        <f ca="1">SUMIFS(tb_rec_uni[2024-03-01],
INDIRECT("tb_rec_uni[natureza]"),"pro.soluto",
INDIRECT("tb_rec_uni[empresa]"),O$6)</f>
        <v>0</v>
      </c>
      <c r="P41" s="123">
        <f ca="1">SUMIFS(tb_rec_uni[2024-03-01],
INDIRECT("tb_rec_uni[natureza]"),"repasse.cef.obra",
INDIRECT("tb_rec_uni[empresa]"),P$6)</f>
        <v>0</v>
      </c>
      <c r="Q41" s="123">
        <f ca="1">SUMIFS(tb_rec_uni[2024-03-01],
INDIRECT("tb_rec_uni[natureza]"),"repasse.cef.terreno",
INDIRECT("tb_rec_uni[empresa]"),Q$6)</f>
        <v>0</v>
      </c>
      <c r="R41" s="123">
        <v>412689.22</v>
      </c>
      <c r="S41" s="123">
        <f ca="1">SUMIFS(tb_rec_uni[2024-03-01],
INDIRECT("tb_rec_uni[natureza]"),"taxa.extra",
INDIRECT("tb_rec_uni[empresa]"),S$6)</f>
        <v>0</v>
      </c>
      <c r="T41" s="111"/>
      <c r="U41" s="123">
        <f ca="1">SUMIFS(
  m.vb[valor],
  m.vb[nucleo],$N$1,
  m.vb[variavel],U$7,
  m.vb[mes],$A41
)</f>
        <v>0</v>
      </c>
      <c r="V41" s="123">
        <f ca="1">SUMIFS(
  m.vb[valor],
  m.vb[nucleo],$N$1,
  m.vb[variavel],V$7,
  m.vb[mes],$A41
)</f>
        <v>0</v>
      </c>
      <c r="W41" s="123">
        <f ca="1">SUMIFS(
  m.vb[valor],
  m.vb[nucleo],$N$1,
  m.vb[variavel],W$7,
  m.vb[mes],$A41
)</f>
        <v>0</v>
      </c>
      <c r="X41" s="123">
        <f ca="1">SUMIFS(
  m.vb[valor],
  m.vb[nucleo],$N$1,
  m.vb[variavel],X$7,
  m.vb[mes],$A41
)</f>
        <v>0</v>
      </c>
      <c r="Y41" s="124">
        <f ca="1">SUMIFS(
  m.vb[valor],
  m.vb[nucleo],$N$1,
  m.vb[variavel],Y$7,
  m.vb[mes],$A41
)</f>
        <v>0</v>
      </c>
      <c r="Z41" s="122">
        <f>COUNTIFS(
    tb_estq[empresa], Z$6,
    tb_estq[Data da venda / reserva], "&gt;=" &amp; $A41,
    tb_estq[Data da venda / reserva], "&lt;"  &amp; EOMONTH($A41,0) + 1
)</f>
        <v>0</v>
      </c>
      <c r="AA41" s="123">
        <f ca="1">SUMIFS(tb_rec_uni[2024-03-01],
INDIRECT("tb_rec_uni[natureza]"),"pro.soluto",
INDIRECT("tb_rec_uni[empresa]"),AA$6)</f>
        <v>0</v>
      </c>
      <c r="AB41" s="123">
        <f ca="1">SUMIFS(tb_rec_uni[2024-03-01],
INDIRECT("tb_rec_uni[natureza]"),"parcela.fin.total.ik",
INDIRECT("tb_rec_uni[empresa]"),AB$6)</f>
        <v>0</v>
      </c>
      <c r="AC41" s="123">
        <f ca="1">SUMIFS(tb_rec_uni[2024-03-01],
INDIRECT("tb_rec_uni[natureza]"),"taxa.extra",
INDIRECT("tb_rec_uni[empresa]"),AC$6)</f>
        <v>0</v>
      </c>
      <c r="AD41" s="111"/>
      <c r="AE41" s="123">
        <f ca="1">SUMIFS(
  m.vb[valor],
  m.vb[nucleo],$Z$1,
  m.vb[variavel],AE$7,
  m.vb[mes],$A41
)</f>
        <v>0</v>
      </c>
      <c r="AF41" s="123">
        <f ca="1">SUMIFS(
  m.vb[valor],
  m.vb[nucleo],$Z$1,
  m.vb[variavel],AF$7,
  m.vb[mes],$A41
)</f>
        <v>0</v>
      </c>
      <c r="AG41" s="123">
        <f ca="1">SUMIFS(
  m.vb[valor],
  m.vb[nucleo],$Z$1,
  m.vb[variavel],AG$7,
  m.vb[mes],$A41
)</f>
        <v>0</v>
      </c>
      <c r="AH41" s="123">
        <f ca="1">SUMIFS(
  m.vb[valor],
  m.vb[nucleo],$Z$1,
  m.vb[variavel],AH$7,
  m.vb[mes],$A41
)</f>
        <v>0</v>
      </c>
      <c r="AI41" s="124">
        <f ca="1">SUMIFS(
  m.vb[valor],
  m.vb[nucleo],$Z$1,
  m.vb[variavel],AI$7,
  m.vb[mes],$A41
)</f>
        <v>0</v>
      </c>
      <c r="AJ41" s="122">
        <f>COUNTIFS(
    tb_estq[empresa], AJ$6,
    tb_estq[Data da venda / reserva], "&gt;=" &amp; $A41,
    tb_estq[Data da venda / reserva], "&lt;"  &amp; EOMONTH($A41,0) + 1
)</f>
        <v>0</v>
      </c>
      <c r="AK41" s="123">
        <f ca="1">SUMIFS(tb_rec_uni[2024-03-01],
INDIRECT("tb_rec_uni[natureza]"),"pro.soluto",
INDIRECT("tb_rec_uni[empresa]"),AK$6)</f>
        <v>0</v>
      </c>
      <c r="AL41" s="123">
        <f ca="1">SUMIFS(tb_rec_uni[2024-03-01],
INDIRECT("tb_rec_uni[natureza]"),"repasse.cef.obra",
INDIRECT("tb_rec_uni[empresa]"),AL$6)</f>
        <v>0</v>
      </c>
      <c r="AM41" s="123">
        <f ca="1">SUMIFS(tb_rec_uni[2024-03-01],
INDIRECT("tb_rec_uni[natureza]"),"repasse.cef.terreno",
INDIRECT("tb_rec_uni[empresa]"),AM$6)</f>
        <v>0</v>
      </c>
      <c r="AN41" s="123">
        <v>0</v>
      </c>
      <c r="AO41" s="123">
        <f ca="1">SUMIFS(tb_rec_uni[2024-03-01],
INDIRECT("tb_rec_uni[natureza]"),"taxa.extra",
INDIRECT("tb_rec_uni[empresa]"),AO$6)</f>
        <v>0</v>
      </c>
      <c r="AP41" s="111"/>
      <c r="AQ41" s="123">
        <f ca="1">SUMIFS(
  m.vb[valor],
  m.vb[nucleo],$AJ$1,
  m.vb[variavel],AQ$7,
  m.vb[mes],$A41
)</f>
        <v>0</v>
      </c>
      <c r="AR41" s="123">
        <f ca="1">SUMIFS(
  m.vb[valor],
  m.vb[nucleo],$AJ$1,
  m.vb[variavel],AR$7,
  m.vb[mes],$A41
)</f>
        <v>0</v>
      </c>
      <c r="AS41" s="123">
        <f ca="1">SUMIFS(
  m.vb[valor],
  m.vb[nucleo],$AJ$1,
  m.vb[variavel],AS$7,
  m.vb[mes],$A41
)</f>
        <v>0</v>
      </c>
      <c r="AT41" s="123">
        <f ca="1">SUMIFS(
  m.vb[valor],
  m.vb[nucleo],$AJ$1,
  m.vb[variavel],AT$7,
  m.vb[mes],$A41
)</f>
        <v>0</v>
      </c>
      <c r="AU41" s="124">
        <f ca="1">SUMIFS(
  m.vb[valor],
  m.vb[nucleo],$AJ$1,
  m.vb[variavel],AU$7,
  m.vb[mes],$A41
)</f>
        <v>0</v>
      </c>
      <c r="AV41" s="122">
        <f>COUNTIFS(
    tb_estq[empresa], AV$6,
    tb_estq[Data da venda / reserva], "&gt;=" &amp; $A41,
    tb_estq[Data da venda / reserva], "&lt;"  &amp; EOMONTH($A41,0) + 1
)</f>
        <v>0</v>
      </c>
      <c r="AW41" s="123">
        <f ca="1">SUMIFS(tb_rec_uni[2024-03-01],
INDIRECT("tb_rec_uni[natureza]"),"pro.soluto",
INDIRECT("tb_rec_uni[empresa]"),AW$6)</f>
        <v>0</v>
      </c>
      <c r="AX41" s="123">
        <f ca="1">SUMIFS(tb_rec_uni[2024-03-01],
INDIRECT("tb_rec_uni[natureza]"),"repasse.cef.obra",
INDIRECT("tb_rec_uni[empresa]"),AX$6)</f>
        <v>0</v>
      </c>
      <c r="AY41" s="123">
        <f ca="1">SUMIFS(tb_rec_uni[2024-03-01],
INDIRECT("tb_rec_uni[natureza]"),"repasse.cef.terreno",
INDIRECT("tb_rec_uni[empresa]"),AY$6)</f>
        <v>0</v>
      </c>
      <c r="AZ41" s="123">
        <v>0</v>
      </c>
      <c r="BA41" s="123">
        <f ca="1">SUMIFS(tb_rec_uni[2024-03-01],
INDIRECT("tb_rec_uni[natureza]"),"taxa.extra",
INDIRECT("tb_rec_uni[empresa]"),BA$6)</f>
        <v>0</v>
      </c>
      <c r="BB41" s="111"/>
      <c r="BC41" s="123">
        <f ca="1">SUMIFS(
  m.vb[valor],
  m.vb[nucleo],$AV$1,
  m.vb[variavel],BC$7,
  m.vb[mes],$A41
)</f>
        <v>0</v>
      </c>
      <c r="BD41" s="123">
        <f ca="1">SUMIFS(
  m.vb[valor],
  m.vb[nucleo],$AV$1,
  m.vb[variavel],BD$7,
  m.vb[mes],$A41
)</f>
        <v>0</v>
      </c>
      <c r="BE41" s="123">
        <f ca="1">SUMIFS(
  m.vb[valor],
  m.vb[nucleo],$AV$1,
  m.vb[variavel],BE$7,
  m.vb[mes],$A41
)</f>
        <v>0</v>
      </c>
      <c r="BF41" s="123">
        <f ca="1">SUMIFS(
  m.vb[valor],
  m.vb[nucleo],$AV$1,
  m.vb[variavel],BF$7,
  m.vb[mes],$A41
)</f>
        <v>0</v>
      </c>
      <c r="BG41" s="124">
        <f ca="1">SUMIFS(
  m.vb[valor],
  m.vb[nucleo],$AV$1,
  m.vb[variavel],BG$7,
  m.vb[mes],$A41
)</f>
        <v>0</v>
      </c>
      <c r="BH41" s="122">
        <f>COUNTIFS(
    tb_estq[empresa], BH$6,
    tb_estq[Data da venda / reserva], "&gt;=" &amp; $A41,
    tb_estq[Data da venda / reserva], "&lt;"  &amp; EOMONTH($A41,0) + 1
)</f>
        <v>0</v>
      </c>
      <c r="BI41" s="123">
        <f ca="1">SUMIFS(tb_rec_uni[2024-03-01],
INDIRECT("tb_rec_uni[natureza]"),"pro.soluto",
INDIRECT("tb_rec_uni[empresa]"),BI$6)</f>
        <v>0</v>
      </c>
      <c r="BJ41" s="111">
        <v>0</v>
      </c>
      <c r="BK41" s="123">
        <f ca="1">SUMIFS(tb_rec_uni[2024-03-01],
INDIRECT("tb_rec_uni[natureza]"),"taxa.extra",
INDIRECT("tb_rec_uni[empresa]"),BK$6)</f>
        <v>0</v>
      </c>
      <c r="BL41" s="111"/>
      <c r="BM41" s="123">
        <f ca="1">SUMIFS(
  m.vb[valor],
  m.vb[nucleo],$BH$1,
  m.vb[variavel],BM$7,
  m.vb[mes],$A41
)</f>
        <v>0</v>
      </c>
      <c r="BN41" s="123">
        <f ca="1">SUMIFS(
  m.vb[valor],
  m.vb[nucleo],$BH$1,
  m.vb[variavel],BN$7,
  m.vb[mes],$A41
)</f>
        <v>0</v>
      </c>
      <c r="BO41" s="123">
        <f ca="1">SUMIFS(
  m.vb[valor],
  m.vb[nucleo],$BH$1,
  m.vb[variavel],BO$7,
  m.vb[mes],$A41
)</f>
        <v>0</v>
      </c>
      <c r="BP41" s="123">
        <f ca="1">SUMIFS(
  m.vb[valor],
  m.vb[nucleo],$BH$1,
  m.vb[variavel],BP$7,
  m.vb[mes],$A41
)</f>
        <v>0</v>
      </c>
      <c r="BQ41" s="124">
        <f ca="1">SUMIFS(
  m.vb[valor],
  m.vb[nucleo],$BH$1,
  m.vb[variavel],BQ$7,
  m.vb[mes],$A41
)</f>
        <v>0</v>
      </c>
      <c r="BR41" s="122">
        <f>COUNTIFS(
    tb_estq[empresa], BR$6,
    tb_estq[Data da venda / reserva], "&gt;=" &amp; $A41,
    tb_estq[Data da venda / reserva], "&lt;"  &amp; EOMONTH($A41,0) + 1
)</f>
        <v>0</v>
      </c>
      <c r="BS41" s="123">
        <f ca="1">SUMIFS(tb_rec_uni[2024-03-01],
INDIRECT("tb_rec_uni[natureza]"),"pro.soluto",
INDIRECT("tb_rec_uni[empresa]"),BS$6)</f>
        <v>0</v>
      </c>
      <c r="BT41" s="123">
        <f ca="1">SUMIFS(tb_rec_uni[2024-03-01],
INDIRECT("tb_rec_uni[natureza]"),"parcela.fin.total.ik",
INDIRECT("tb_rec_uni[empresa]"),BT$6)</f>
        <v>0</v>
      </c>
      <c r="BU41" s="123">
        <f ca="1">SUMIFS(tb_rec_uni[2024-03-01],
INDIRECT("tb_rec_uni[natureza]"),"taxa.extra",
INDIRECT("tb_rec_uni[empresa]"),BU$6)</f>
        <v>0</v>
      </c>
      <c r="BV41" s="111"/>
      <c r="BW41" s="123">
        <f ca="1">SUMIFS(
  m.vb[valor],
  m.vb[nucleo],$BR$1,
  m.vb[variavel],BW$7,
  m.vb[mes],$A41
)</f>
        <v>0</v>
      </c>
      <c r="BX41" s="123">
        <f ca="1">SUMIFS(
  m.vb[valor],
  m.vb[nucleo],$BR$1,
  m.vb[variavel],BX$7,
  m.vb[mes],$A41
)</f>
        <v>0</v>
      </c>
      <c r="BY41" s="123">
        <f ca="1">SUMIFS(
  m.vb[valor],
  m.vb[nucleo],$BR$1,
  m.vb[variavel],BY$7,
  m.vb[mes],$A41
)</f>
        <v>0</v>
      </c>
      <c r="BZ41" s="123">
        <f ca="1">SUMIFS(
  m.vb[valor],
  m.vb[nucleo],$BR$1,
  m.vb[variavel],BZ$7,
  m.vb[mes],$A41
)</f>
        <v>0</v>
      </c>
      <c r="CA41" s="124">
        <f ca="1">SUMIFS(
  m.vb[valor],
  m.vb[nucleo],$BR$1,
  m.vb[variavel],CA$7,
  m.vb[mes],$A41
)</f>
        <v>0</v>
      </c>
      <c r="CB41" s="122">
        <f>COUNTIFS(
    tb_estq[empresa], CB$6,
    tb_estq[Data da venda / reserva], "&gt;=" &amp; $A41,
    tb_estq[Data da venda / reserva], "&lt;"  &amp; EOMONTH($A41,0) + 1
)</f>
        <v>0</v>
      </c>
      <c r="CC41" s="123">
        <f ca="1">SUMIFS(tb_rec_uni[2024-03-01],
INDIRECT("tb_rec_uni[natureza]"),"pro.soluto",
INDIRECT("tb_rec_uni[empresa]"),CC$6)</f>
        <v>0</v>
      </c>
      <c r="CD41" s="123">
        <f ca="1">SUMIFS(tb_rec_uni[2024-03-01],
INDIRECT("tb_rec_uni[natureza]"),"repasse.cef.obra",
INDIRECT("tb_rec_uni[empresa]"),CD$6)</f>
        <v>0</v>
      </c>
      <c r="CE41" s="123">
        <f ca="1">SUMIFS(tb_rec_uni[2024-03-01],
INDIRECT("tb_rec_uni[natureza]"),"repasse.cef.terreno",
INDIRECT("tb_rec_uni[empresa]"),CE$6)</f>
        <v>0</v>
      </c>
      <c r="CF41" s="123">
        <v>0</v>
      </c>
      <c r="CG41" s="123">
        <f ca="1">SUMIFS(tb_rec_uni[2024-03-01],
INDIRECT("tb_rec_uni[natureza]"),"taxa.extra",
INDIRECT("tb_rec_uni[empresa]"),CG$6)</f>
        <v>0</v>
      </c>
      <c r="CH41" s="111"/>
      <c r="CI41" s="123">
        <f ca="1">SUMIFS(
  m.vb[valor],
  m.vb[nucleo],$CB$1,
  m.vb[variavel],CI$7,
  m.vb[mes],$A41
)</f>
        <v>0</v>
      </c>
      <c r="CJ41" s="123">
        <f ca="1">SUMIFS(
  m.vb[valor],
  m.vb[nucleo],$CB$1,
  m.vb[variavel],CJ$7,
  m.vb[mes],$A41
)</f>
        <v>0</v>
      </c>
      <c r="CK41" s="123">
        <f ca="1">SUMIFS(
  m.vb[valor],
  m.vb[nucleo],$CB$1,
  m.vb[variavel],CK$7,
  m.vb[mes],$A41
)</f>
        <v>0</v>
      </c>
      <c r="CL41" s="123">
        <f ca="1">SUMIFS(
  m.vb[valor],
  m.vb[nucleo],$CB$1,
  m.vb[variavel],CL$7,
  m.vb[mes],$A41
)</f>
        <v>0</v>
      </c>
      <c r="CM41" s="124">
        <f ca="1">SUMIFS(
  m.vb[valor],
  m.vb[nucleo],$CB$1,
  m.vb[variavel],CM$7,
  m.vb[mes],$A41
)</f>
        <v>0</v>
      </c>
      <c r="CN41" s="122">
        <f>COUNTIFS(
    tb_estq[empresa], CN$6,
    tb_estq[Data da venda / reserva], "&gt;=" &amp; $A41,
    tb_estq[Data da venda / reserva], "&lt;"  &amp; EOMONTH($A41,0) + 1
)</f>
        <v>0</v>
      </c>
      <c r="CO41" s="123">
        <f ca="1">SUMIFS(tb_rec_uni[2024-03-01],
INDIRECT("tb_rec_uni[natureza]"),"pro.soluto",
INDIRECT("tb_rec_uni[empresa]"),CO$6)</f>
        <v>0</v>
      </c>
      <c r="CP41" s="123">
        <f ca="1">SUMIFS(tb_rec_uni[2024-03-01],
INDIRECT("tb_rec_uni[natureza]"),"repasse.cef.obra",
INDIRECT("tb_rec_uni[empresa]"),CP$6)</f>
        <v>0</v>
      </c>
      <c r="CQ41" s="123">
        <f ca="1">SUMIFS(tb_rec_uni[2024-03-01],
INDIRECT("tb_rec_uni[natureza]"),"repasse.cef.terreno",
INDIRECT("tb_rec_uni[empresa]"),CQ$6)</f>
        <v>0</v>
      </c>
      <c r="CR41" s="123">
        <v>0</v>
      </c>
      <c r="CS41" s="123">
        <f ca="1">SUMIFS(tb_rec_uni[2024-03-01],
INDIRECT("tb_rec_uni[natureza]"),"taxa.extra",
INDIRECT("tb_rec_uni[empresa]"),CS$6)</f>
        <v>0</v>
      </c>
      <c r="CT41" s="111"/>
      <c r="CU41" s="123">
        <f ca="1">SUMIFS(
  m.vb[valor],
  m.vb[nucleo],$CN$1,
  m.vb[variavel],CU$7,
  m.vb[mes],$A41
)</f>
        <v>0</v>
      </c>
      <c r="CV41" s="123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3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3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5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21">
        <v>45383</v>
      </c>
      <c r="B42" s="122">
        <f>COUNTIFS(
    tb_estq[empresa], B$6,
    tb_estq[Data da venda / reserva], "&gt;=" &amp; $A42,
    tb_estq[Data da venda / reserva], "&lt;"  &amp; EOMONTH($A42,0) + 1
)</f>
        <v>0</v>
      </c>
      <c r="C42" s="123">
        <f ca="1">SUMIFS(tb_rec_uni[2024-04-01],
INDIRECT("tb_rec_uni[natureza]"),"pro.soluto",
INDIRECT("tb_rec_uni[empresa]"),C$6)</f>
        <v>0</v>
      </c>
      <c r="D42" s="123">
        <f ca="1">SUMIFS(tb_rec_uni[2024-04-01],
INDIRECT("tb_rec_uni[natureza]"),"repasse.cef.obra",
INDIRECT("tb_rec_uni[empresa]"),D$6)</f>
        <v>0</v>
      </c>
      <c r="E42" s="123">
        <f ca="1">SUMIFS(tb_rec_uni[2024-04-01],
INDIRECT("tb_rec_uni[natureza]"),"repasse.cef.terreno",
INDIRECT("tb_rec_uni[empresa]"),E$6)</f>
        <v>0</v>
      </c>
      <c r="F42" s="123">
        <v>516683.36</v>
      </c>
      <c r="G42" s="123">
        <f ca="1">SUMIFS(tb_rec_uni[2024-04-01],
INDIRECT("tb_rec_uni[natureza]"),"taxa.extra",
INDIRECT("tb_rec_uni[empresa]"),G$6)</f>
        <v>0</v>
      </c>
      <c r="H42" s="111"/>
      <c r="I42" s="123">
        <f ca="1">SUMIFS(
  m.vb[valor],
  m.vb[nucleo],$B$1,
  m.vb[variavel],I$7,
  m.vb[mes],$A42
)</f>
        <v>0</v>
      </c>
      <c r="J42" s="123">
        <f ca="1">SUMIFS(
  m.vb[valor],
  m.vb[nucleo],$B$1,
  m.vb[variavel],J$7,
  m.vb[mes],$A42
)</f>
        <v>0</v>
      </c>
      <c r="K42" s="123">
        <f ca="1">SUMIFS(
  m.vb[valor],
  m.vb[nucleo],$B$1,
  m.vb[variavel],K$7,
  m.vb[mes],$A42
)</f>
        <v>0</v>
      </c>
      <c r="L42" s="123">
        <f ca="1">SUMIFS(
  m.vb[valor],
  m.vb[nucleo],$B$1,
  m.vb[variavel],L$7,
  m.vb[mes],$A42
)</f>
        <v>0</v>
      </c>
      <c r="M42" s="124">
        <f ca="1">SUMIFS(
  m.vb[valor],
  m.vb[nucleo],$B$1,
  m.vb[variavel],M$7,
  m.vb[mes],$A42
)</f>
        <v>0</v>
      </c>
      <c r="N42" s="122">
        <f>COUNTIFS(
    tb_estq[empresa], N$6,
    tb_estq[Data da venda / reserva], "&gt;=" &amp; $A42,
    tb_estq[Data da venda / reserva], "&lt;"  &amp; EOMONTH($A42,0) + 1
)</f>
        <v>0</v>
      </c>
      <c r="O42" s="123">
        <f ca="1">SUMIFS(tb_rec_uni[2024-04-01],
INDIRECT("tb_rec_uni[natureza]"),"pro.soluto",
INDIRECT("tb_rec_uni[empresa]"),O$6)</f>
        <v>0</v>
      </c>
      <c r="P42" s="123">
        <f ca="1">SUMIFS(tb_rec_uni[2024-04-01],
INDIRECT("tb_rec_uni[natureza]"),"repasse.cef.obra",
INDIRECT("tb_rec_uni[empresa]"),P$6)</f>
        <v>0</v>
      </c>
      <c r="Q42" s="123">
        <f ca="1">SUMIFS(tb_rec_uni[2024-04-01],
INDIRECT("tb_rec_uni[natureza]"),"repasse.cef.terreno",
INDIRECT("tb_rec_uni[empresa]"),Q$6)</f>
        <v>0</v>
      </c>
      <c r="R42" s="123">
        <v>556963.03</v>
      </c>
      <c r="S42" s="123">
        <f ca="1">SUMIFS(tb_rec_uni[2024-04-01],
INDIRECT("tb_rec_uni[natureza]"),"taxa.extra",
INDIRECT("tb_rec_uni[empresa]"),S$6)</f>
        <v>0</v>
      </c>
      <c r="T42" s="111"/>
      <c r="U42" s="123">
        <f ca="1">SUMIFS(
  m.vb[valor],
  m.vb[nucleo],$N$1,
  m.vb[variavel],U$7,
  m.vb[mes],$A42
)</f>
        <v>0</v>
      </c>
      <c r="V42" s="123">
        <f ca="1">SUMIFS(
  m.vb[valor],
  m.vb[nucleo],$N$1,
  m.vb[variavel],V$7,
  m.vb[mes],$A42
)</f>
        <v>0</v>
      </c>
      <c r="W42" s="123">
        <f ca="1">SUMIFS(
  m.vb[valor],
  m.vb[nucleo],$N$1,
  m.vb[variavel],W$7,
  m.vb[mes],$A42
)</f>
        <v>0</v>
      </c>
      <c r="X42" s="123">
        <f ca="1">SUMIFS(
  m.vb[valor],
  m.vb[nucleo],$N$1,
  m.vb[variavel],X$7,
  m.vb[mes],$A42
)</f>
        <v>0</v>
      </c>
      <c r="Y42" s="124">
        <f ca="1">SUMIFS(
  m.vb[valor],
  m.vb[nucleo],$N$1,
  m.vb[variavel],Y$7,
  m.vb[mes],$A42
)</f>
        <v>0</v>
      </c>
      <c r="Z42" s="122">
        <f>COUNTIFS(
    tb_estq[empresa], Z$6,
    tb_estq[Data da venda / reserva], "&gt;=" &amp; $A42,
    tb_estq[Data da venda / reserva], "&lt;"  &amp; EOMONTH($A42,0) + 1
)</f>
        <v>0</v>
      </c>
      <c r="AA42" s="123">
        <f ca="1">SUMIFS(tb_rec_uni[2024-04-01],
INDIRECT("tb_rec_uni[natureza]"),"pro.soluto",
INDIRECT("tb_rec_uni[empresa]"),AA$6)</f>
        <v>0</v>
      </c>
      <c r="AB42" s="123">
        <f ca="1">SUMIFS(tb_rec_uni[2024-04-01],
INDIRECT("tb_rec_uni[natureza]"),"parcela.fin.total.ik",
INDIRECT("tb_rec_uni[empresa]"),AB$6)</f>
        <v>0</v>
      </c>
      <c r="AC42" s="123">
        <f ca="1">SUMIFS(tb_rec_uni[2024-04-01],
INDIRECT("tb_rec_uni[natureza]"),"taxa.extra",
INDIRECT("tb_rec_uni[empresa]"),AC$6)</f>
        <v>0</v>
      </c>
      <c r="AD42" s="111"/>
      <c r="AE42" s="123">
        <f ca="1">SUMIFS(
  m.vb[valor],
  m.vb[nucleo],$Z$1,
  m.vb[variavel],AE$7,
  m.vb[mes],$A42
)</f>
        <v>0</v>
      </c>
      <c r="AF42" s="123">
        <f ca="1">SUMIFS(
  m.vb[valor],
  m.vb[nucleo],$Z$1,
  m.vb[variavel],AF$7,
  m.vb[mes],$A42
)</f>
        <v>0</v>
      </c>
      <c r="AG42" s="123">
        <f ca="1">SUMIFS(
  m.vb[valor],
  m.vb[nucleo],$Z$1,
  m.vb[variavel],AG$7,
  m.vb[mes],$A42
)</f>
        <v>0</v>
      </c>
      <c r="AH42" s="123">
        <f ca="1">SUMIFS(
  m.vb[valor],
  m.vb[nucleo],$Z$1,
  m.vb[variavel],AH$7,
  m.vb[mes],$A42
)</f>
        <v>0</v>
      </c>
      <c r="AI42" s="124">
        <f ca="1">SUMIFS(
  m.vb[valor],
  m.vb[nucleo],$Z$1,
  m.vb[variavel],AI$7,
  m.vb[mes],$A42
)</f>
        <v>0</v>
      </c>
      <c r="AJ42" s="122">
        <f>COUNTIFS(
    tb_estq[empresa], AJ$6,
    tb_estq[Data da venda / reserva], "&gt;=" &amp; $A42,
    tb_estq[Data da venda / reserva], "&lt;"  &amp; EOMONTH($A42,0) + 1
)</f>
        <v>0</v>
      </c>
      <c r="AK42" s="123">
        <f ca="1">SUMIFS(tb_rec_uni[2024-04-01],
INDIRECT("tb_rec_uni[natureza]"),"pro.soluto",
INDIRECT("tb_rec_uni[empresa]"),AK$6)</f>
        <v>0</v>
      </c>
      <c r="AL42" s="123">
        <f ca="1">SUMIFS(tb_rec_uni[2024-04-01],
INDIRECT("tb_rec_uni[natureza]"),"repasse.cef.obra",
INDIRECT("tb_rec_uni[empresa]"),AL$6)</f>
        <v>0</v>
      </c>
      <c r="AM42" s="123">
        <f ca="1">SUMIFS(tb_rec_uni[2024-04-01],
INDIRECT("tb_rec_uni[natureza]"),"repasse.cef.terreno",
INDIRECT("tb_rec_uni[empresa]"),AM$6)</f>
        <v>0</v>
      </c>
      <c r="AN42" s="123">
        <v>0</v>
      </c>
      <c r="AO42" s="123">
        <f ca="1">SUMIFS(tb_rec_uni[2024-04-01],
INDIRECT("tb_rec_uni[natureza]"),"taxa.extra",
INDIRECT("tb_rec_uni[empresa]"),AO$6)</f>
        <v>0</v>
      </c>
      <c r="AP42" s="111"/>
      <c r="AQ42" s="123">
        <f ca="1">SUMIFS(
  m.vb[valor],
  m.vb[nucleo],$AJ$1,
  m.vb[variavel],AQ$7,
  m.vb[mes],$A42
)</f>
        <v>0</v>
      </c>
      <c r="AR42" s="123">
        <f ca="1">SUMIFS(
  m.vb[valor],
  m.vb[nucleo],$AJ$1,
  m.vb[variavel],AR$7,
  m.vb[mes],$A42
)</f>
        <v>0</v>
      </c>
      <c r="AS42" s="123">
        <f ca="1">SUMIFS(
  m.vb[valor],
  m.vb[nucleo],$AJ$1,
  m.vb[variavel],AS$7,
  m.vb[mes],$A42
)</f>
        <v>0</v>
      </c>
      <c r="AT42" s="123">
        <f ca="1">SUMIFS(
  m.vb[valor],
  m.vb[nucleo],$AJ$1,
  m.vb[variavel],AT$7,
  m.vb[mes],$A42
)</f>
        <v>0</v>
      </c>
      <c r="AU42" s="124">
        <f ca="1">SUMIFS(
  m.vb[valor],
  m.vb[nucleo],$AJ$1,
  m.vb[variavel],AU$7,
  m.vb[mes],$A42
)</f>
        <v>0</v>
      </c>
      <c r="AV42" s="122">
        <f>COUNTIFS(
    tb_estq[empresa], AV$6,
    tb_estq[Data da venda / reserva], "&gt;=" &amp; $A42,
    tb_estq[Data da venda / reserva], "&lt;"  &amp; EOMONTH($A42,0) + 1
)</f>
        <v>0</v>
      </c>
      <c r="AW42" s="123">
        <f ca="1">SUMIFS(tb_rec_uni[2024-04-01],
INDIRECT("tb_rec_uni[natureza]"),"pro.soluto",
INDIRECT("tb_rec_uni[empresa]"),AW$6)</f>
        <v>0</v>
      </c>
      <c r="AX42" s="123">
        <f ca="1">SUMIFS(tb_rec_uni[2024-04-01],
INDIRECT("tb_rec_uni[natureza]"),"repasse.cef.obra",
INDIRECT("tb_rec_uni[empresa]"),AX$6)</f>
        <v>0</v>
      </c>
      <c r="AY42" s="123">
        <f ca="1">SUMIFS(tb_rec_uni[2024-04-01],
INDIRECT("tb_rec_uni[natureza]"),"repasse.cef.terreno",
INDIRECT("tb_rec_uni[empresa]"),AY$6)</f>
        <v>0</v>
      </c>
      <c r="AZ42" s="123">
        <v>0</v>
      </c>
      <c r="BA42" s="123">
        <f ca="1">SUMIFS(tb_rec_uni[2024-04-01],
INDIRECT("tb_rec_uni[natureza]"),"taxa.extra",
INDIRECT("tb_rec_uni[empresa]"),BA$6)</f>
        <v>0</v>
      </c>
      <c r="BB42" s="111"/>
      <c r="BC42" s="123">
        <f ca="1">SUMIFS(
  m.vb[valor],
  m.vb[nucleo],$AV$1,
  m.vb[variavel],BC$7,
  m.vb[mes],$A42
)</f>
        <v>0</v>
      </c>
      <c r="BD42" s="123">
        <f ca="1">SUMIFS(
  m.vb[valor],
  m.vb[nucleo],$AV$1,
  m.vb[variavel],BD$7,
  m.vb[mes],$A42
)</f>
        <v>0</v>
      </c>
      <c r="BE42" s="123">
        <f ca="1">SUMIFS(
  m.vb[valor],
  m.vb[nucleo],$AV$1,
  m.vb[variavel],BE$7,
  m.vb[mes],$A42
)</f>
        <v>0</v>
      </c>
      <c r="BF42" s="123">
        <f ca="1">SUMIFS(
  m.vb[valor],
  m.vb[nucleo],$AV$1,
  m.vb[variavel],BF$7,
  m.vb[mes],$A42
)</f>
        <v>0</v>
      </c>
      <c r="BG42" s="124">
        <f ca="1">SUMIFS(
  m.vb[valor],
  m.vb[nucleo],$AV$1,
  m.vb[variavel],BG$7,
  m.vb[mes],$A42
)</f>
        <v>0</v>
      </c>
      <c r="BH42" s="122">
        <f>COUNTIFS(
    tb_estq[empresa], BH$6,
    tb_estq[Data da venda / reserva], "&gt;=" &amp; $A42,
    tb_estq[Data da venda / reserva], "&lt;"  &amp; EOMONTH($A42,0) + 1
)</f>
        <v>0</v>
      </c>
      <c r="BI42" s="123">
        <f ca="1">SUMIFS(tb_rec_uni[2024-04-01],
INDIRECT("tb_rec_uni[natureza]"),"pro.soluto",
INDIRECT("tb_rec_uni[empresa]"),BI$6)</f>
        <v>0</v>
      </c>
      <c r="BJ42" s="111">
        <v>0</v>
      </c>
      <c r="BK42" s="123">
        <f ca="1">SUMIFS(tb_rec_uni[2024-04-01],
INDIRECT("tb_rec_uni[natureza]"),"taxa.extra",
INDIRECT("tb_rec_uni[empresa]"),BK$6)</f>
        <v>0</v>
      </c>
      <c r="BL42" s="111"/>
      <c r="BM42" s="123">
        <f ca="1">SUMIFS(
  m.vb[valor],
  m.vb[nucleo],$BH$1,
  m.vb[variavel],BM$7,
  m.vb[mes],$A42
)</f>
        <v>0</v>
      </c>
      <c r="BN42" s="123">
        <f ca="1">SUMIFS(
  m.vb[valor],
  m.vb[nucleo],$BH$1,
  m.vb[variavel],BN$7,
  m.vb[mes],$A42
)</f>
        <v>0</v>
      </c>
      <c r="BO42" s="123">
        <f ca="1">SUMIFS(
  m.vb[valor],
  m.vb[nucleo],$BH$1,
  m.vb[variavel],BO$7,
  m.vb[mes],$A42
)</f>
        <v>0</v>
      </c>
      <c r="BP42" s="123">
        <f ca="1">SUMIFS(
  m.vb[valor],
  m.vb[nucleo],$BH$1,
  m.vb[variavel],BP$7,
  m.vb[mes],$A42
)</f>
        <v>0</v>
      </c>
      <c r="BQ42" s="124">
        <f ca="1">SUMIFS(
  m.vb[valor],
  m.vb[nucleo],$BH$1,
  m.vb[variavel],BQ$7,
  m.vb[mes],$A42
)</f>
        <v>0</v>
      </c>
      <c r="BR42" s="122">
        <f>COUNTIFS(
    tb_estq[empresa], BR$6,
    tb_estq[Data da venda / reserva], "&gt;=" &amp; $A42,
    tb_estq[Data da venda / reserva], "&lt;"  &amp; EOMONTH($A42,0) + 1
)</f>
        <v>0</v>
      </c>
      <c r="BS42" s="123">
        <f ca="1">SUMIFS(tb_rec_uni[2024-04-01],
INDIRECT("tb_rec_uni[natureza]"),"pro.soluto",
INDIRECT("tb_rec_uni[empresa]"),BS$6)</f>
        <v>0</v>
      </c>
      <c r="BT42" s="123">
        <f ca="1">SUMIFS(tb_rec_uni[2024-04-01],
INDIRECT("tb_rec_uni[natureza]"),"parcela.fin.total.ik",
INDIRECT("tb_rec_uni[empresa]"),BT$6)</f>
        <v>0</v>
      </c>
      <c r="BU42" s="123">
        <f ca="1">SUMIFS(tb_rec_uni[2024-04-01],
INDIRECT("tb_rec_uni[natureza]"),"taxa.extra",
INDIRECT("tb_rec_uni[empresa]"),BU$6)</f>
        <v>0</v>
      </c>
      <c r="BV42" s="111"/>
      <c r="BW42" s="123">
        <f ca="1">SUMIFS(
  m.vb[valor],
  m.vb[nucleo],$BR$1,
  m.vb[variavel],BW$7,
  m.vb[mes],$A42
)</f>
        <v>0</v>
      </c>
      <c r="BX42" s="123">
        <f ca="1">SUMIFS(
  m.vb[valor],
  m.vb[nucleo],$BR$1,
  m.vb[variavel],BX$7,
  m.vb[mes],$A42
)</f>
        <v>0</v>
      </c>
      <c r="BY42" s="123">
        <f ca="1">SUMIFS(
  m.vb[valor],
  m.vb[nucleo],$BR$1,
  m.vb[variavel],BY$7,
  m.vb[mes],$A42
)</f>
        <v>0</v>
      </c>
      <c r="BZ42" s="123">
        <f ca="1">SUMIFS(
  m.vb[valor],
  m.vb[nucleo],$BR$1,
  m.vb[variavel],BZ$7,
  m.vb[mes],$A42
)</f>
        <v>0</v>
      </c>
      <c r="CA42" s="124">
        <f ca="1">SUMIFS(
  m.vb[valor],
  m.vb[nucleo],$BR$1,
  m.vb[variavel],CA$7,
  m.vb[mes],$A42
)</f>
        <v>0</v>
      </c>
      <c r="CB42" s="122">
        <f>COUNTIFS(
    tb_estq[empresa], CB$6,
    tb_estq[Data da venda / reserva], "&gt;=" &amp; $A42,
    tb_estq[Data da venda / reserva], "&lt;"  &amp; EOMONTH($A42,0) + 1
)</f>
        <v>0</v>
      </c>
      <c r="CC42" s="123">
        <f ca="1">SUMIFS(tb_rec_uni[2024-04-01],
INDIRECT("tb_rec_uni[natureza]"),"pro.soluto",
INDIRECT("tb_rec_uni[empresa]"),CC$6)</f>
        <v>0</v>
      </c>
      <c r="CD42" s="123">
        <f ca="1">SUMIFS(tb_rec_uni[2024-04-01],
INDIRECT("tb_rec_uni[natureza]"),"repasse.cef.obra",
INDIRECT("tb_rec_uni[empresa]"),CD$6)</f>
        <v>0</v>
      </c>
      <c r="CE42" s="123">
        <f ca="1">SUMIFS(tb_rec_uni[2024-04-01],
INDIRECT("tb_rec_uni[natureza]"),"repasse.cef.terreno",
INDIRECT("tb_rec_uni[empresa]"),CE$6)</f>
        <v>0</v>
      </c>
      <c r="CF42" s="123">
        <v>0</v>
      </c>
      <c r="CG42" s="123">
        <f ca="1">SUMIFS(tb_rec_uni[2024-04-01],
INDIRECT("tb_rec_uni[natureza]"),"taxa.extra",
INDIRECT("tb_rec_uni[empresa]"),CG$6)</f>
        <v>0</v>
      </c>
      <c r="CH42" s="111"/>
      <c r="CI42" s="123">
        <f ca="1">SUMIFS(
  m.vb[valor],
  m.vb[nucleo],$CB$1,
  m.vb[variavel],CI$7,
  m.vb[mes],$A42
)</f>
        <v>0</v>
      </c>
      <c r="CJ42" s="123">
        <f ca="1">SUMIFS(
  m.vb[valor],
  m.vb[nucleo],$CB$1,
  m.vb[variavel],CJ$7,
  m.vb[mes],$A42
)</f>
        <v>0</v>
      </c>
      <c r="CK42" s="123">
        <f ca="1">SUMIFS(
  m.vb[valor],
  m.vb[nucleo],$CB$1,
  m.vb[variavel],CK$7,
  m.vb[mes],$A42
)</f>
        <v>0</v>
      </c>
      <c r="CL42" s="123">
        <f ca="1">SUMIFS(
  m.vb[valor],
  m.vb[nucleo],$CB$1,
  m.vb[variavel],CL$7,
  m.vb[mes],$A42
)</f>
        <v>0</v>
      </c>
      <c r="CM42" s="124">
        <f ca="1">SUMIFS(
  m.vb[valor],
  m.vb[nucleo],$CB$1,
  m.vb[variavel],CM$7,
  m.vb[mes],$A42
)</f>
        <v>0</v>
      </c>
      <c r="CN42" s="122">
        <f>COUNTIFS(
    tb_estq[empresa], CN$6,
    tb_estq[Data da venda / reserva], "&gt;=" &amp; $A42,
    tb_estq[Data da venda / reserva], "&lt;"  &amp; EOMONTH($A42,0) + 1
)</f>
        <v>0</v>
      </c>
      <c r="CO42" s="123">
        <f ca="1">SUMIFS(tb_rec_uni[2024-04-01],
INDIRECT("tb_rec_uni[natureza]"),"pro.soluto",
INDIRECT("tb_rec_uni[empresa]"),CO$6)</f>
        <v>0</v>
      </c>
      <c r="CP42" s="123">
        <f ca="1">SUMIFS(tb_rec_uni[2024-04-01],
INDIRECT("tb_rec_uni[natureza]"),"repasse.cef.obra",
INDIRECT("tb_rec_uni[empresa]"),CP$6)</f>
        <v>0</v>
      </c>
      <c r="CQ42" s="123">
        <f ca="1">SUMIFS(tb_rec_uni[2024-04-01],
INDIRECT("tb_rec_uni[natureza]"),"repasse.cef.terreno",
INDIRECT("tb_rec_uni[empresa]"),CQ$6)</f>
        <v>0</v>
      </c>
      <c r="CR42" s="123">
        <v>0</v>
      </c>
      <c r="CS42" s="123">
        <f ca="1">SUMIFS(tb_rec_uni[2024-04-01],
INDIRECT("tb_rec_uni[natureza]"),"taxa.extra",
INDIRECT("tb_rec_uni[empresa]"),CS$6)</f>
        <v>0</v>
      </c>
      <c r="CT42" s="111"/>
      <c r="CU42" s="123">
        <f ca="1">SUMIFS(
  m.vb[valor],
  m.vb[nucleo],$CN$1,
  m.vb[variavel],CU$7,
  m.vb[mes],$A42
)</f>
        <v>0</v>
      </c>
      <c r="CV42" s="123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3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3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5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21">
        <v>45413</v>
      </c>
      <c r="B43" s="122">
        <f>COUNTIFS(
    tb_estq[empresa], B$6,
    tb_estq[Data da venda / reserva], "&gt;=" &amp; $A43,
    tb_estq[Data da venda / reserva], "&lt;"  &amp; EOMONTH($A43,0) + 1
)</f>
        <v>0</v>
      </c>
      <c r="C43" s="123">
        <f ca="1">SUMIFS(tb_rec_uni[2024-05-01],
INDIRECT("tb_rec_uni[natureza]"),"pro.soluto",
INDIRECT("tb_rec_uni[empresa]"),C$6)</f>
        <v>0</v>
      </c>
      <c r="D43" s="123">
        <f ca="1">SUMIFS(tb_rec_uni[2024-05-01],
INDIRECT("tb_rec_uni[natureza]"),"repasse.cef.obra",
INDIRECT("tb_rec_uni[empresa]"),D$6)</f>
        <v>0</v>
      </c>
      <c r="E43" s="123">
        <f ca="1">SUMIFS(tb_rec_uni[2024-05-01],
INDIRECT("tb_rec_uni[natureza]"),"repasse.cef.terreno",
INDIRECT("tb_rec_uni[empresa]"),E$6)</f>
        <v>0</v>
      </c>
      <c r="F43" s="123">
        <v>0</v>
      </c>
      <c r="G43" s="123">
        <f ca="1">SUMIFS(tb_rec_uni[2024-05-01],
INDIRECT("tb_rec_uni[natureza]"),"taxa.extra",
INDIRECT("tb_rec_uni[empresa]"),G$6)</f>
        <v>0</v>
      </c>
      <c r="H43" s="111"/>
      <c r="I43" s="123">
        <f ca="1">SUMIFS(
  m.vb[valor],
  m.vb[nucleo],$B$1,
  m.vb[variavel],I$7,
  m.vb[mes],$A43
)</f>
        <v>0</v>
      </c>
      <c r="J43" s="123">
        <f ca="1">SUMIFS(
  m.vb[valor],
  m.vb[nucleo],$B$1,
  m.vb[variavel],J$7,
  m.vb[mes],$A43
)</f>
        <v>0</v>
      </c>
      <c r="K43" s="123">
        <f ca="1">SUMIFS(
  m.vb[valor],
  m.vb[nucleo],$B$1,
  m.vb[variavel],K$7,
  m.vb[mes],$A43
)</f>
        <v>0</v>
      </c>
      <c r="L43" s="123">
        <f ca="1">SUMIFS(
  m.vb[valor],
  m.vb[nucleo],$B$1,
  m.vb[variavel],L$7,
  m.vb[mes],$A43
)</f>
        <v>0</v>
      </c>
      <c r="M43" s="124">
        <f ca="1">SUMIFS(
  m.vb[valor],
  m.vb[nucleo],$B$1,
  m.vb[variavel],M$7,
  m.vb[mes],$A43
)</f>
        <v>0</v>
      </c>
      <c r="N43" s="122">
        <f>COUNTIFS(
    tb_estq[empresa], N$6,
    tb_estq[Data da venda / reserva], "&gt;=" &amp; $A43,
    tb_estq[Data da venda / reserva], "&lt;"  &amp; EOMONTH($A43,0) + 1
)</f>
        <v>0</v>
      </c>
      <c r="O43" s="123">
        <f ca="1">SUMIFS(tb_rec_uni[2024-05-01],
INDIRECT("tb_rec_uni[natureza]"),"pro.soluto",
INDIRECT("tb_rec_uni[empresa]"),O$6)</f>
        <v>0</v>
      </c>
      <c r="P43" s="123">
        <f ca="1">SUMIFS(tb_rec_uni[2024-05-01],
INDIRECT("tb_rec_uni[natureza]"),"repasse.cef.obra",
INDIRECT("tb_rec_uni[empresa]"),P$6)</f>
        <v>0</v>
      </c>
      <c r="Q43" s="123">
        <f ca="1">SUMIFS(tb_rec_uni[2024-05-01],
INDIRECT("tb_rec_uni[natureza]"),"repasse.cef.terreno",
INDIRECT("tb_rec_uni[empresa]"),Q$6)</f>
        <v>0</v>
      </c>
      <c r="R43" s="123">
        <v>0</v>
      </c>
      <c r="S43" s="123">
        <f ca="1">SUMIFS(tb_rec_uni[2024-05-01],
INDIRECT("tb_rec_uni[natureza]"),"taxa.extra",
INDIRECT("tb_rec_uni[empresa]"),S$6)</f>
        <v>0</v>
      </c>
      <c r="T43" s="111"/>
      <c r="U43" s="123">
        <f ca="1">SUMIFS(
  m.vb[valor],
  m.vb[nucleo],$N$1,
  m.vb[variavel],U$7,
  m.vb[mes],$A43
)</f>
        <v>0</v>
      </c>
      <c r="V43" s="123">
        <f ca="1">SUMIFS(
  m.vb[valor],
  m.vb[nucleo],$N$1,
  m.vb[variavel],V$7,
  m.vb[mes],$A43
)</f>
        <v>0</v>
      </c>
      <c r="W43" s="123">
        <f ca="1">SUMIFS(
  m.vb[valor],
  m.vb[nucleo],$N$1,
  m.vb[variavel],W$7,
  m.vb[mes],$A43
)</f>
        <v>0</v>
      </c>
      <c r="X43" s="123">
        <f ca="1">SUMIFS(
  m.vb[valor],
  m.vb[nucleo],$N$1,
  m.vb[variavel],X$7,
  m.vb[mes],$A43
)</f>
        <v>0</v>
      </c>
      <c r="Y43" s="124">
        <f ca="1">SUMIFS(
  m.vb[valor],
  m.vb[nucleo],$N$1,
  m.vb[variavel],Y$7,
  m.vb[mes],$A43
)</f>
        <v>0</v>
      </c>
      <c r="Z43" s="122">
        <f>COUNTIFS(
    tb_estq[empresa], Z$6,
    tb_estq[Data da venda / reserva], "&gt;=" &amp; $A43,
    tb_estq[Data da venda / reserva], "&lt;"  &amp; EOMONTH($A43,0) + 1
)</f>
        <v>0</v>
      </c>
      <c r="AA43" s="123">
        <f ca="1">SUMIFS(tb_rec_uni[2024-05-01],
INDIRECT("tb_rec_uni[natureza]"),"pro.soluto",
INDIRECT("tb_rec_uni[empresa]"),AA$6)</f>
        <v>0</v>
      </c>
      <c r="AB43" s="123">
        <f ca="1">SUMIFS(tb_rec_uni[2024-05-01],
INDIRECT("tb_rec_uni[natureza]"),"parcela.fin.total.ik",
INDIRECT("tb_rec_uni[empresa]"),AB$6)</f>
        <v>0</v>
      </c>
      <c r="AC43" s="123">
        <f ca="1">SUMIFS(tb_rec_uni[2024-05-01],
INDIRECT("tb_rec_uni[natureza]"),"taxa.extra",
INDIRECT("tb_rec_uni[empresa]"),AC$6)</f>
        <v>0</v>
      </c>
      <c r="AD43" s="111"/>
      <c r="AE43" s="123">
        <f ca="1">SUMIFS(
  m.vb[valor],
  m.vb[nucleo],$Z$1,
  m.vb[variavel],AE$7,
  m.vb[mes],$A43
)</f>
        <v>0</v>
      </c>
      <c r="AF43" s="123">
        <f ca="1">SUMIFS(
  m.vb[valor],
  m.vb[nucleo],$Z$1,
  m.vb[variavel],AF$7,
  m.vb[mes],$A43
)</f>
        <v>0</v>
      </c>
      <c r="AG43" s="123">
        <f ca="1">SUMIFS(
  m.vb[valor],
  m.vb[nucleo],$Z$1,
  m.vb[variavel],AG$7,
  m.vb[mes],$A43
)</f>
        <v>0</v>
      </c>
      <c r="AH43" s="123">
        <f ca="1">SUMIFS(
  m.vb[valor],
  m.vb[nucleo],$Z$1,
  m.vb[variavel],AH$7,
  m.vb[mes],$A43
)</f>
        <v>0</v>
      </c>
      <c r="AI43" s="124">
        <f ca="1">SUMIFS(
  m.vb[valor],
  m.vb[nucleo],$Z$1,
  m.vb[variavel],AI$7,
  m.vb[mes],$A43
)</f>
        <v>0</v>
      </c>
      <c r="AJ43" s="122">
        <f>COUNTIFS(
    tb_estq[empresa], AJ$6,
    tb_estq[Data da venda / reserva], "&gt;=" &amp; $A43,
    tb_estq[Data da venda / reserva], "&lt;"  &amp; EOMONTH($A43,0) + 1
)</f>
        <v>0</v>
      </c>
      <c r="AK43" s="123">
        <f ca="1">SUMIFS(tb_rec_uni[2024-05-01],
INDIRECT("tb_rec_uni[natureza]"),"pro.soluto",
INDIRECT("tb_rec_uni[empresa]"),AK$6)</f>
        <v>0</v>
      </c>
      <c r="AL43" s="123">
        <f ca="1">SUMIFS(tb_rec_uni[2024-05-01],
INDIRECT("tb_rec_uni[natureza]"),"repasse.cef.obra",
INDIRECT("tb_rec_uni[empresa]"),AL$6)</f>
        <v>0</v>
      </c>
      <c r="AM43" s="123">
        <f ca="1">SUMIFS(tb_rec_uni[2024-05-01],
INDIRECT("tb_rec_uni[natureza]"),"repasse.cef.terreno",
INDIRECT("tb_rec_uni[empresa]"),AM$6)</f>
        <v>0</v>
      </c>
      <c r="AN43" s="123">
        <v>0</v>
      </c>
      <c r="AO43" s="123">
        <f ca="1">SUMIFS(tb_rec_uni[2024-05-01],
INDIRECT("tb_rec_uni[natureza]"),"taxa.extra",
INDIRECT("tb_rec_uni[empresa]"),AO$6)</f>
        <v>0</v>
      </c>
      <c r="AP43" s="111"/>
      <c r="AQ43" s="123">
        <f ca="1">SUMIFS(
  m.vb[valor],
  m.vb[nucleo],$AJ$1,
  m.vb[variavel],AQ$7,
  m.vb[mes],$A43
)</f>
        <v>0</v>
      </c>
      <c r="AR43" s="123">
        <f ca="1">SUMIFS(
  m.vb[valor],
  m.vb[nucleo],$AJ$1,
  m.vb[variavel],AR$7,
  m.vb[mes],$A43
)</f>
        <v>0</v>
      </c>
      <c r="AS43" s="123">
        <f ca="1">SUMIFS(
  m.vb[valor],
  m.vb[nucleo],$AJ$1,
  m.vb[variavel],AS$7,
  m.vb[mes],$A43
)</f>
        <v>0</v>
      </c>
      <c r="AT43" s="123">
        <f ca="1">SUMIFS(
  m.vb[valor],
  m.vb[nucleo],$AJ$1,
  m.vb[variavel],AT$7,
  m.vb[mes],$A43
)</f>
        <v>0</v>
      </c>
      <c r="AU43" s="124">
        <f ca="1">SUMIFS(
  m.vb[valor],
  m.vb[nucleo],$AJ$1,
  m.vb[variavel],AU$7,
  m.vb[mes],$A43
)</f>
        <v>0</v>
      </c>
      <c r="AV43" s="122">
        <f>COUNTIFS(
    tb_estq[empresa], AV$6,
    tb_estq[Data da venda / reserva], "&gt;=" &amp; $A43,
    tb_estq[Data da venda / reserva], "&lt;"  &amp; EOMONTH($A43,0) + 1
)</f>
        <v>0</v>
      </c>
      <c r="AW43" s="123">
        <f ca="1">SUMIFS(tb_rec_uni[2024-05-01],
INDIRECT("tb_rec_uni[natureza]"),"pro.soluto",
INDIRECT("tb_rec_uni[empresa]"),AW$6)</f>
        <v>0</v>
      </c>
      <c r="AX43" s="123">
        <f ca="1">SUMIFS(tb_rec_uni[2024-05-01],
INDIRECT("tb_rec_uni[natureza]"),"repasse.cef.obra",
INDIRECT("tb_rec_uni[empresa]"),AX$6)</f>
        <v>0</v>
      </c>
      <c r="AY43" s="123">
        <f ca="1">SUMIFS(tb_rec_uni[2024-05-01],
INDIRECT("tb_rec_uni[natureza]"),"repasse.cef.terreno",
INDIRECT("tb_rec_uni[empresa]"),AY$6)</f>
        <v>0</v>
      </c>
      <c r="AZ43" s="123">
        <v>0</v>
      </c>
      <c r="BA43" s="123">
        <f ca="1">SUMIFS(tb_rec_uni[2024-05-01],
INDIRECT("tb_rec_uni[natureza]"),"taxa.extra",
INDIRECT("tb_rec_uni[empresa]"),BA$6)</f>
        <v>0</v>
      </c>
      <c r="BB43" s="111"/>
      <c r="BC43" s="123">
        <f ca="1">SUMIFS(
  m.vb[valor],
  m.vb[nucleo],$AV$1,
  m.vb[variavel],BC$7,
  m.vb[mes],$A43
)</f>
        <v>0</v>
      </c>
      <c r="BD43" s="123">
        <f ca="1">SUMIFS(
  m.vb[valor],
  m.vb[nucleo],$AV$1,
  m.vb[variavel],BD$7,
  m.vb[mes],$A43
)</f>
        <v>0</v>
      </c>
      <c r="BE43" s="123">
        <f ca="1">SUMIFS(
  m.vb[valor],
  m.vb[nucleo],$AV$1,
  m.vb[variavel],BE$7,
  m.vb[mes],$A43
)</f>
        <v>0</v>
      </c>
      <c r="BF43" s="123">
        <f ca="1">SUMIFS(
  m.vb[valor],
  m.vb[nucleo],$AV$1,
  m.vb[variavel],BF$7,
  m.vb[mes],$A43
)</f>
        <v>0</v>
      </c>
      <c r="BG43" s="124">
        <f ca="1">SUMIFS(
  m.vb[valor],
  m.vb[nucleo],$AV$1,
  m.vb[variavel],BG$7,
  m.vb[mes],$A43
)</f>
        <v>0</v>
      </c>
      <c r="BH43" s="122">
        <f>COUNTIFS(
    tb_estq[empresa], BH$6,
    tb_estq[Data da venda / reserva], "&gt;=" &amp; $A43,
    tb_estq[Data da venda / reserva], "&lt;"  &amp; EOMONTH($A43,0) + 1
)</f>
        <v>0</v>
      </c>
      <c r="BI43" s="123">
        <f ca="1">SUMIFS(tb_rec_uni[2024-05-01],
INDIRECT("tb_rec_uni[natureza]"),"pro.soluto",
INDIRECT("tb_rec_uni[empresa]"),BI$6)</f>
        <v>0</v>
      </c>
      <c r="BJ43" s="111">
        <v>0</v>
      </c>
      <c r="BK43" s="123">
        <f ca="1">SUMIFS(tb_rec_uni[2024-05-01],
INDIRECT("tb_rec_uni[natureza]"),"taxa.extra",
INDIRECT("tb_rec_uni[empresa]"),BK$6)</f>
        <v>0</v>
      </c>
      <c r="BL43" s="111"/>
      <c r="BM43" s="123">
        <f ca="1">SUMIFS(
  m.vb[valor],
  m.vb[nucleo],$BH$1,
  m.vb[variavel],BM$7,
  m.vb[mes],$A43
)</f>
        <v>0</v>
      </c>
      <c r="BN43" s="123">
        <f ca="1">SUMIFS(
  m.vb[valor],
  m.vb[nucleo],$BH$1,
  m.vb[variavel],BN$7,
  m.vb[mes],$A43
)</f>
        <v>0</v>
      </c>
      <c r="BO43" s="123">
        <f ca="1">SUMIFS(
  m.vb[valor],
  m.vb[nucleo],$BH$1,
  m.vb[variavel],BO$7,
  m.vb[mes],$A43
)</f>
        <v>0</v>
      </c>
      <c r="BP43" s="123">
        <f ca="1">SUMIFS(
  m.vb[valor],
  m.vb[nucleo],$BH$1,
  m.vb[variavel],BP$7,
  m.vb[mes],$A43
)</f>
        <v>0</v>
      </c>
      <c r="BQ43" s="124">
        <f ca="1">SUMIFS(
  m.vb[valor],
  m.vb[nucleo],$BH$1,
  m.vb[variavel],BQ$7,
  m.vb[mes],$A43
)</f>
        <v>0</v>
      </c>
      <c r="BR43" s="122">
        <f>COUNTIFS(
    tb_estq[empresa], BR$6,
    tb_estq[Data da venda / reserva], "&gt;=" &amp; $A43,
    tb_estq[Data da venda / reserva], "&lt;"  &amp; EOMONTH($A43,0) + 1
)</f>
        <v>0</v>
      </c>
      <c r="BS43" s="123">
        <f ca="1">SUMIFS(tb_rec_uni[2024-05-01],
INDIRECT("tb_rec_uni[natureza]"),"pro.soluto",
INDIRECT("tb_rec_uni[empresa]"),BS$6)</f>
        <v>0</v>
      </c>
      <c r="BT43" s="123">
        <f ca="1">SUMIFS(tb_rec_uni[2024-05-01],
INDIRECT("tb_rec_uni[natureza]"),"parcela.fin.total.ik",
INDIRECT("tb_rec_uni[empresa]"),BT$6)</f>
        <v>0</v>
      </c>
      <c r="BU43" s="123">
        <f ca="1">SUMIFS(tb_rec_uni[2024-05-01],
INDIRECT("tb_rec_uni[natureza]"),"taxa.extra",
INDIRECT("tb_rec_uni[empresa]"),BU$6)</f>
        <v>0</v>
      </c>
      <c r="BV43" s="111"/>
      <c r="BW43" s="123">
        <f ca="1">SUMIFS(
  m.vb[valor],
  m.vb[nucleo],$BR$1,
  m.vb[variavel],BW$7,
  m.vb[mes],$A43
)</f>
        <v>0</v>
      </c>
      <c r="BX43" s="123">
        <f ca="1">SUMIFS(
  m.vb[valor],
  m.vb[nucleo],$BR$1,
  m.vb[variavel],BX$7,
  m.vb[mes],$A43
)</f>
        <v>0</v>
      </c>
      <c r="BY43" s="123">
        <f ca="1">SUMIFS(
  m.vb[valor],
  m.vb[nucleo],$BR$1,
  m.vb[variavel],BY$7,
  m.vb[mes],$A43
)</f>
        <v>0</v>
      </c>
      <c r="BZ43" s="123">
        <f ca="1">SUMIFS(
  m.vb[valor],
  m.vb[nucleo],$BR$1,
  m.vb[variavel],BZ$7,
  m.vb[mes],$A43
)</f>
        <v>0</v>
      </c>
      <c r="CA43" s="124">
        <f ca="1">SUMIFS(
  m.vb[valor],
  m.vb[nucleo],$BR$1,
  m.vb[variavel],CA$7,
  m.vb[mes],$A43
)</f>
        <v>0</v>
      </c>
      <c r="CB43" s="122">
        <f>COUNTIFS(
    tb_estq[empresa], CB$6,
    tb_estq[Data da venda / reserva], "&gt;=" &amp; $A43,
    tb_estq[Data da venda / reserva], "&lt;"  &amp; EOMONTH($A43,0) + 1
)</f>
        <v>0</v>
      </c>
      <c r="CC43" s="123">
        <f ca="1">SUMIFS(tb_rec_uni[2024-05-01],
INDIRECT("tb_rec_uni[natureza]"),"pro.soluto",
INDIRECT("tb_rec_uni[empresa]"),CC$6)</f>
        <v>0</v>
      </c>
      <c r="CD43" s="123">
        <f ca="1">SUMIFS(tb_rec_uni[2024-05-01],
INDIRECT("tb_rec_uni[natureza]"),"repasse.cef.obra",
INDIRECT("tb_rec_uni[empresa]"),CD$6)</f>
        <v>0</v>
      </c>
      <c r="CE43" s="123">
        <f ca="1">SUMIFS(tb_rec_uni[2024-05-01],
INDIRECT("tb_rec_uni[natureza]"),"repasse.cef.terreno",
INDIRECT("tb_rec_uni[empresa]"),CE$6)</f>
        <v>0</v>
      </c>
      <c r="CF43" s="123">
        <v>0</v>
      </c>
      <c r="CG43" s="123">
        <f ca="1">SUMIFS(tb_rec_uni[2024-05-01],
INDIRECT("tb_rec_uni[natureza]"),"taxa.extra",
INDIRECT("tb_rec_uni[empresa]"),CG$6)</f>
        <v>0</v>
      </c>
      <c r="CH43" s="111"/>
      <c r="CI43" s="123">
        <f ca="1">SUMIFS(
  m.vb[valor],
  m.vb[nucleo],$CB$1,
  m.vb[variavel],CI$7,
  m.vb[mes],$A43
)</f>
        <v>0</v>
      </c>
      <c r="CJ43" s="123">
        <f ca="1">SUMIFS(
  m.vb[valor],
  m.vb[nucleo],$CB$1,
  m.vb[variavel],CJ$7,
  m.vb[mes],$A43
)</f>
        <v>0</v>
      </c>
      <c r="CK43" s="123">
        <f ca="1">SUMIFS(
  m.vb[valor],
  m.vb[nucleo],$CB$1,
  m.vb[variavel],CK$7,
  m.vb[mes],$A43
)</f>
        <v>0</v>
      </c>
      <c r="CL43" s="123">
        <f ca="1">SUMIFS(
  m.vb[valor],
  m.vb[nucleo],$CB$1,
  m.vb[variavel],CL$7,
  m.vb[mes],$A43
)</f>
        <v>0</v>
      </c>
      <c r="CM43" s="124">
        <f ca="1">SUMIFS(
  m.vb[valor],
  m.vb[nucleo],$CB$1,
  m.vb[variavel],CM$7,
  m.vb[mes],$A43
)</f>
        <v>0</v>
      </c>
      <c r="CN43" s="122">
        <f>COUNTIFS(
    tb_estq[empresa], CN$6,
    tb_estq[Data da venda / reserva], "&gt;=" &amp; $A43,
    tb_estq[Data da venda / reserva], "&lt;"  &amp; EOMONTH($A43,0) + 1
)</f>
        <v>0</v>
      </c>
      <c r="CO43" s="123">
        <f ca="1">SUMIFS(tb_rec_uni[2024-05-01],
INDIRECT("tb_rec_uni[natureza]"),"pro.soluto",
INDIRECT("tb_rec_uni[empresa]"),CO$6)</f>
        <v>0</v>
      </c>
      <c r="CP43" s="123">
        <f ca="1">SUMIFS(tb_rec_uni[2024-05-01],
INDIRECT("tb_rec_uni[natureza]"),"repasse.cef.obra",
INDIRECT("tb_rec_uni[empresa]"),CP$6)</f>
        <v>0</v>
      </c>
      <c r="CQ43" s="123">
        <f ca="1">SUMIFS(tb_rec_uni[2024-05-01],
INDIRECT("tb_rec_uni[natureza]"),"repasse.cef.terreno",
INDIRECT("tb_rec_uni[empresa]"),CQ$6)</f>
        <v>0</v>
      </c>
      <c r="CR43" s="123">
        <v>0</v>
      </c>
      <c r="CS43" s="123">
        <f ca="1">SUMIFS(tb_rec_uni[2024-05-01],
INDIRECT("tb_rec_uni[natureza]"),"taxa.extra",
INDIRECT("tb_rec_uni[empresa]"),CS$6)</f>
        <v>0</v>
      </c>
      <c r="CT43" s="111"/>
      <c r="CU43" s="123">
        <f ca="1">SUMIFS(
  m.vb[valor],
  m.vb[nucleo],$CN$1,
  m.vb[variavel],CU$7,
  m.vb[mes],$A43
)</f>
        <v>0</v>
      </c>
      <c r="CV43" s="123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3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3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5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21">
        <v>45444</v>
      </c>
      <c r="B44" s="122">
        <f>COUNTIFS(
    tb_estq[empresa], B$6,
    tb_estq[Data da venda / reserva], "&gt;=" &amp; $A44,
    tb_estq[Data da venda / reserva], "&lt;"  &amp; EOMONTH($A44,0) + 1
)</f>
        <v>0</v>
      </c>
      <c r="C44" s="123">
        <f ca="1">SUMIFS(tb_rec_uni[2024-06-01],
INDIRECT("tb_rec_uni[natureza]"),"pro.soluto",
INDIRECT("tb_rec_uni[empresa]"),C$6)</f>
        <v>0</v>
      </c>
      <c r="D44" s="123">
        <f ca="1">SUMIFS(tb_rec_uni[2024-06-01],
INDIRECT("tb_rec_uni[natureza]"),"repasse.cef.obra",
INDIRECT("tb_rec_uni[empresa]"),D$6)</f>
        <v>0</v>
      </c>
      <c r="E44" s="123">
        <f ca="1">SUMIFS(tb_rec_uni[2024-06-01],
INDIRECT("tb_rec_uni[natureza]"),"repasse.cef.terreno",
INDIRECT("tb_rec_uni[empresa]"),E$6)</f>
        <v>0</v>
      </c>
      <c r="F44" s="123">
        <v>0</v>
      </c>
      <c r="G44" s="123">
        <f ca="1">SUMIFS(tb_rec_uni[2024-06-01],
INDIRECT("tb_rec_uni[natureza]"),"taxa.extra",
INDIRECT("tb_rec_uni[empresa]"),G$6)</f>
        <v>0</v>
      </c>
      <c r="H44" s="111"/>
      <c r="I44" s="123">
        <f ca="1">SUMIFS(
  m.vb[valor],
  m.vb[nucleo],$B$1,
  m.vb[variavel],I$7,
  m.vb[mes],$A44
)</f>
        <v>0</v>
      </c>
      <c r="J44" s="123">
        <f ca="1">SUMIFS(
  m.vb[valor],
  m.vb[nucleo],$B$1,
  m.vb[variavel],J$7,
  m.vb[mes],$A44
)</f>
        <v>0</v>
      </c>
      <c r="K44" s="123">
        <f ca="1">SUMIFS(
  m.vb[valor],
  m.vb[nucleo],$B$1,
  m.vb[variavel],K$7,
  m.vb[mes],$A44
)</f>
        <v>0</v>
      </c>
      <c r="L44" s="123">
        <f ca="1">SUMIFS(
  m.vb[valor],
  m.vb[nucleo],$B$1,
  m.vb[variavel],L$7,
  m.vb[mes],$A44
)</f>
        <v>0</v>
      </c>
      <c r="M44" s="124">
        <f ca="1">SUMIFS(
  m.vb[valor],
  m.vb[nucleo],$B$1,
  m.vb[variavel],M$7,
  m.vb[mes],$A44
)</f>
        <v>0</v>
      </c>
      <c r="N44" s="122">
        <f>COUNTIFS(
    tb_estq[empresa], N$6,
    tb_estq[Data da venda / reserva], "&gt;=" &amp; $A44,
    tb_estq[Data da venda / reserva], "&lt;"  &amp; EOMONTH($A44,0) + 1
)</f>
        <v>0</v>
      </c>
      <c r="O44" s="123">
        <f ca="1">SUMIFS(tb_rec_uni[2024-06-01],
INDIRECT("tb_rec_uni[natureza]"),"pro.soluto",
INDIRECT("tb_rec_uni[empresa]"),O$6)</f>
        <v>0</v>
      </c>
      <c r="P44" s="123">
        <f ca="1">SUMIFS(tb_rec_uni[2024-06-01],
INDIRECT("tb_rec_uni[natureza]"),"repasse.cef.obra",
INDIRECT("tb_rec_uni[empresa]"),P$6)</f>
        <v>0</v>
      </c>
      <c r="Q44" s="123">
        <f ca="1">SUMIFS(tb_rec_uni[2024-06-01],
INDIRECT("tb_rec_uni[natureza]"),"repasse.cef.terreno",
INDIRECT("tb_rec_uni[empresa]"),Q$6)</f>
        <v>0</v>
      </c>
      <c r="R44" s="123">
        <v>0</v>
      </c>
      <c r="S44" s="123">
        <f ca="1">SUMIFS(tb_rec_uni[2024-06-01],
INDIRECT("tb_rec_uni[natureza]"),"taxa.extra",
INDIRECT("tb_rec_uni[empresa]"),S$6)</f>
        <v>0</v>
      </c>
      <c r="T44" s="111"/>
      <c r="U44" s="123">
        <f ca="1">SUMIFS(
  m.vb[valor],
  m.vb[nucleo],$N$1,
  m.vb[variavel],U$7,
  m.vb[mes],$A44
)</f>
        <v>0</v>
      </c>
      <c r="V44" s="123">
        <f ca="1">SUMIFS(
  m.vb[valor],
  m.vb[nucleo],$N$1,
  m.vb[variavel],V$7,
  m.vb[mes],$A44
)</f>
        <v>0</v>
      </c>
      <c r="W44" s="123">
        <f ca="1">SUMIFS(
  m.vb[valor],
  m.vb[nucleo],$N$1,
  m.vb[variavel],W$7,
  m.vb[mes],$A44
)</f>
        <v>0</v>
      </c>
      <c r="X44" s="123">
        <f ca="1">SUMIFS(
  m.vb[valor],
  m.vb[nucleo],$N$1,
  m.vb[variavel],X$7,
  m.vb[mes],$A44
)</f>
        <v>0</v>
      </c>
      <c r="Y44" s="124">
        <f ca="1">SUMIFS(
  m.vb[valor],
  m.vb[nucleo],$N$1,
  m.vb[variavel],Y$7,
  m.vb[mes],$A44
)</f>
        <v>0</v>
      </c>
      <c r="Z44" s="122">
        <f>COUNTIFS(
    tb_estq[empresa], Z$6,
    tb_estq[Data da venda / reserva], "&gt;=" &amp; $A44,
    tb_estq[Data da venda / reserva], "&lt;"  &amp; EOMONTH($A44,0) + 1
)</f>
        <v>0</v>
      </c>
      <c r="AA44" s="123">
        <f ca="1">SUMIFS(tb_rec_uni[2024-06-01],
INDIRECT("tb_rec_uni[natureza]"),"pro.soluto",
INDIRECT("tb_rec_uni[empresa]"),AA$6)</f>
        <v>0</v>
      </c>
      <c r="AB44" s="123">
        <f ca="1">SUMIFS(tb_rec_uni[2024-06-01],
INDIRECT("tb_rec_uni[natureza]"),"parcela.fin.total.ik",
INDIRECT("tb_rec_uni[empresa]"),AB$6)</f>
        <v>0</v>
      </c>
      <c r="AC44" s="123">
        <f ca="1">SUMIFS(tb_rec_uni[2024-06-01],
INDIRECT("tb_rec_uni[natureza]"),"taxa.extra",
INDIRECT("tb_rec_uni[empresa]"),AC$6)</f>
        <v>0</v>
      </c>
      <c r="AD44" s="111"/>
      <c r="AE44" s="123">
        <f ca="1">SUMIFS(
  m.vb[valor],
  m.vb[nucleo],$Z$1,
  m.vb[variavel],AE$7,
  m.vb[mes],$A44
)</f>
        <v>0</v>
      </c>
      <c r="AF44" s="123">
        <f ca="1">SUMIFS(
  m.vb[valor],
  m.vb[nucleo],$Z$1,
  m.vb[variavel],AF$7,
  m.vb[mes],$A44
)</f>
        <v>0</v>
      </c>
      <c r="AG44" s="123">
        <f ca="1">SUMIFS(
  m.vb[valor],
  m.vb[nucleo],$Z$1,
  m.vb[variavel],AG$7,
  m.vb[mes],$A44
)</f>
        <v>0</v>
      </c>
      <c r="AH44" s="123">
        <f ca="1">SUMIFS(
  m.vb[valor],
  m.vb[nucleo],$Z$1,
  m.vb[variavel],AH$7,
  m.vb[mes],$A44
)</f>
        <v>0</v>
      </c>
      <c r="AI44" s="124">
        <f ca="1">SUMIFS(
  m.vb[valor],
  m.vb[nucleo],$Z$1,
  m.vb[variavel],AI$7,
  m.vb[mes],$A44
)</f>
        <v>0</v>
      </c>
      <c r="AJ44" s="122">
        <f>COUNTIFS(
    tb_estq[empresa], AJ$6,
    tb_estq[Data da venda / reserva], "&gt;=" &amp; $A44,
    tb_estq[Data da venda / reserva], "&lt;"  &amp; EOMONTH($A44,0) + 1
)</f>
        <v>0</v>
      </c>
      <c r="AK44" s="123">
        <f ca="1">SUMIFS(tb_rec_uni[2024-06-01],
INDIRECT("tb_rec_uni[natureza]"),"pro.soluto",
INDIRECT("tb_rec_uni[empresa]"),AK$6)</f>
        <v>0</v>
      </c>
      <c r="AL44" s="123">
        <f ca="1">SUMIFS(tb_rec_uni[2024-06-01],
INDIRECT("tb_rec_uni[natureza]"),"repasse.cef.obra",
INDIRECT("tb_rec_uni[empresa]"),AL$6)</f>
        <v>0</v>
      </c>
      <c r="AM44" s="123">
        <f ca="1">SUMIFS(tb_rec_uni[2024-06-01],
INDIRECT("tb_rec_uni[natureza]"),"repasse.cef.terreno",
INDIRECT("tb_rec_uni[empresa]"),AM$6)</f>
        <v>0</v>
      </c>
      <c r="AN44" s="123">
        <v>0</v>
      </c>
      <c r="AO44" s="123">
        <f ca="1">SUMIFS(tb_rec_uni[2024-06-01],
INDIRECT("tb_rec_uni[natureza]"),"taxa.extra",
INDIRECT("tb_rec_uni[empresa]"),AO$6)</f>
        <v>0</v>
      </c>
      <c r="AP44" s="111"/>
      <c r="AQ44" s="123">
        <f ca="1">SUMIFS(
  m.vb[valor],
  m.vb[nucleo],$AJ$1,
  m.vb[variavel],AQ$7,
  m.vb[mes],$A44
)</f>
        <v>0</v>
      </c>
      <c r="AR44" s="123">
        <f ca="1">SUMIFS(
  m.vb[valor],
  m.vb[nucleo],$AJ$1,
  m.vb[variavel],AR$7,
  m.vb[mes],$A44
)</f>
        <v>0</v>
      </c>
      <c r="AS44" s="123">
        <f ca="1">SUMIFS(
  m.vb[valor],
  m.vb[nucleo],$AJ$1,
  m.vb[variavel],AS$7,
  m.vb[mes],$A44
)</f>
        <v>0</v>
      </c>
      <c r="AT44" s="123">
        <f ca="1">SUMIFS(
  m.vb[valor],
  m.vb[nucleo],$AJ$1,
  m.vb[variavel],AT$7,
  m.vb[mes],$A44
)</f>
        <v>0</v>
      </c>
      <c r="AU44" s="124">
        <f ca="1">SUMIFS(
  m.vb[valor],
  m.vb[nucleo],$AJ$1,
  m.vb[variavel],AU$7,
  m.vb[mes],$A44
)</f>
        <v>0</v>
      </c>
      <c r="AV44" s="122">
        <f>COUNTIFS(
    tb_estq[empresa], AV$6,
    tb_estq[Data da venda / reserva], "&gt;=" &amp; $A44,
    tb_estq[Data da venda / reserva], "&lt;"  &amp; EOMONTH($A44,0) + 1
)</f>
        <v>0</v>
      </c>
      <c r="AW44" s="123">
        <f ca="1">SUMIFS(tb_rec_uni[2024-06-01],
INDIRECT("tb_rec_uni[natureza]"),"pro.soluto",
INDIRECT("tb_rec_uni[empresa]"),AW$6)</f>
        <v>0</v>
      </c>
      <c r="AX44" s="123">
        <f ca="1">SUMIFS(tb_rec_uni[2024-06-01],
INDIRECT("tb_rec_uni[natureza]"),"repasse.cef.obra",
INDIRECT("tb_rec_uni[empresa]"),AX$6)</f>
        <v>0</v>
      </c>
      <c r="AY44" s="123">
        <f ca="1">SUMIFS(tb_rec_uni[2024-06-01],
INDIRECT("tb_rec_uni[natureza]"),"repasse.cef.terreno",
INDIRECT("tb_rec_uni[empresa]"),AY$6)</f>
        <v>0</v>
      </c>
      <c r="AZ44" s="123">
        <v>0</v>
      </c>
      <c r="BA44" s="123">
        <f ca="1">SUMIFS(tb_rec_uni[2024-06-01],
INDIRECT("tb_rec_uni[natureza]"),"taxa.extra",
INDIRECT("tb_rec_uni[empresa]"),BA$6)</f>
        <v>0</v>
      </c>
      <c r="BB44" s="111"/>
      <c r="BC44" s="123">
        <f ca="1">SUMIFS(
  m.vb[valor],
  m.vb[nucleo],$AV$1,
  m.vb[variavel],BC$7,
  m.vb[mes],$A44
)</f>
        <v>0</v>
      </c>
      <c r="BD44" s="123">
        <f ca="1">SUMIFS(
  m.vb[valor],
  m.vb[nucleo],$AV$1,
  m.vb[variavel],BD$7,
  m.vb[mes],$A44
)</f>
        <v>0</v>
      </c>
      <c r="BE44" s="123">
        <f ca="1">SUMIFS(
  m.vb[valor],
  m.vb[nucleo],$AV$1,
  m.vb[variavel],BE$7,
  m.vb[mes],$A44
)</f>
        <v>0</v>
      </c>
      <c r="BF44" s="123">
        <f ca="1">SUMIFS(
  m.vb[valor],
  m.vb[nucleo],$AV$1,
  m.vb[variavel],BF$7,
  m.vb[mes],$A44
)</f>
        <v>0</v>
      </c>
      <c r="BG44" s="124">
        <f ca="1">SUMIFS(
  m.vb[valor],
  m.vb[nucleo],$AV$1,
  m.vb[variavel],BG$7,
  m.vb[mes],$A44
)</f>
        <v>0</v>
      </c>
      <c r="BH44" s="122">
        <f>COUNTIFS(
    tb_estq[empresa], BH$6,
    tb_estq[Data da venda / reserva], "&gt;=" &amp; $A44,
    tb_estq[Data da venda / reserva], "&lt;"  &amp; EOMONTH($A44,0) + 1
)</f>
        <v>0</v>
      </c>
      <c r="BI44" s="123">
        <f ca="1">SUMIFS(tb_rec_uni[2024-06-01],
INDIRECT("tb_rec_uni[natureza]"),"pro.soluto",
INDIRECT("tb_rec_uni[empresa]"),BI$6)</f>
        <v>0</v>
      </c>
      <c r="BJ44" s="111">
        <v>0</v>
      </c>
      <c r="BK44" s="123">
        <f ca="1">SUMIFS(tb_rec_uni[2024-06-01],
INDIRECT("tb_rec_uni[natureza]"),"taxa.extra",
INDIRECT("tb_rec_uni[empresa]"),BK$6)</f>
        <v>0</v>
      </c>
      <c r="BL44" s="111"/>
      <c r="BM44" s="123">
        <f ca="1">SUMIFS(
  m.vb[valor],
  m.vb[nucleo],$BH$1,
  m.vb[variavel],BM$7,
  m.vb[mes],$A44
)</f>
        <v>0</v>
      </c>
      <c r="BN44" s="123">
        <f ca="1">SUMIFS(
  m.vb[valor],
  m.vb[nucleo],$BH$1,
  m.vb[variavel],BN$7,
  m.vb[mes],$A44
)</f>
        <v>0</v>
      </c>
      <c r="BO44" s="123">
        <f ca="1">SUMIFS(
  m.vb[valor],
  m.vb[nucleo],$BH$1,
  m.vb[variavel],BO$7,
  m.vb[mes],$A44
)</f>
        <v>0</v>
      </c>
      <c r="BP44" s="123">
        <f ca="1">SUMIFS(
  m.vb[valor],
  m.vb[nucleo],$BH$1,
  m.vb[variavel],BP$7,
  m.vb[mes],$A44
)</f>
        <v>0</v>
      </c>
      <c r="BQ44" s="124">
        <f ca="1">SUMIFS(
  m.vb[valor],
  m.vb[nucleo],$BH$1,
  m.vb[variavel],BQ$7,
  m.vb[mes],$A44
)</f>
        <v>0</v>
      </c>
      <c r="BR44" s="122">
        <f>COUNTIFS(
    tb_estq[empresa], BR$6,
    tb_estq[Data da venda / reserva], "&gt;=" &amp; $A44,
    tb_estq[Data da venda / reserva], "&lt;"  &amp; EOMONTH($A44,0) + 1
)</f>
        <v>0</v>
      </c>
      <c r="BS44" s="123">
        <f ca="1">SUMIFS(tb_rec_uni[2024-06-01],
INDIRECT("tb_rec_uni[natureza]"),"pro.soluto",
INDIRECT("tb_rec_uni[empresa]"),BS$6)</f>
        <v>0</v>
      </c>
      <c r="BT44" s="123">
        <f ca="1">SUMIFS(tb_rec_uni[2024-06-01],
INDIRECT("tb_rec_uni[natureza]"),"parcela.fin.total.ik",
INDIRECT("tb_rec_uni[empresa]"),BT$6)</f>
        <v>0</v>
      </c>
      <c r="BU44" s="123">
        <f ca="1">SUMIFS(tb_rec_uni[2024-06-01],
INDIRECT("tb_rec_uni[natureza]"),"taxa.extra",
INDIRECT("tb_rec_uni[empresa]"),BU$6)</f>
        <v>0</v>
      </c>
      <c r="BV44" s="111"/>
      <c r="BW44" s="123">
        <f ca="1">SUMIFS(
  m.vb[valor],
  m.vb[nucleo],$BR$1,
  m.vb[variavel],BW$7,
  m.vb[mes],$A44
)</f>
        <v>0</v>
      </c>
      <c r="BX44" s="123">
        <f ca="1">SUMIFS(
  m.vb[valor],
  m.vb[nucleo],$BR$1,
  m.vb[variavel],BX$7,
  m.vb[mes],$A44
)</f>
        <v>0</v>
      </c>
      <c r="BY44" s="123">
        <f ca="1">SUMIFS(
  m.vb[valor],
  m.vb[nucleo],$BR$1,
  m.vb[variavel],BY$7,
  m.vb[mes],$A44
)</f>
        <v>0</v>
      </c>
      <c r="BZ44" s="123">
        <f ca="1">SUMIFS(
  m.vb[valor],
  m.vb[nucleo],$BR$1,
  m.vb[variavel],BZ$7,
  m.vb[mes],$A44
)</f>
        <v>0</v>
      </c>
      <c r="CA44" s="124">
        <f ca="1">SUMIFS(
  m.vb[valor],
  m.vb[nucleo],$BR$1,
  m.vb[variavel],CA$7,
  m.vb[mes],$A44
)</f>
        <v>0</v>
      </c>
      <c r="CB44" s="122">
        <f>COUNTIFS(
    tb_estq[empresa], CB$6,
    tb_estq[Data da venda / reserva], "&gt;=" &amp; $A44,
    tb_estq[Data da venda / reserva], "&lt;"  &amp; EOMONTH($A44,0) + 1
)</f>
        <v>0</v>
      </c>
      <c r="CC44" s="123">
        <f ca="1">SUMIFS(tb_rec_uni[2024-06-01],
INDIRECT("tb_rec_uni[natureza]"),"pro.soluto",
INDIRECT("tb_rec_uni[empresa]"),CC$6)</f>
        <v>0</v>
      </c>
      <c r="CD44" s="123">
        <f ca="1">SUMIFS(tb_rec_uni[2024-06-01],
INDIRECT("tb_rec_uni[natureza]"),"repasse.cef.obra",
INDIRECT("tb_rec_uni[empresa]"),CD$6)</f>
        <v>0</v>
      </c>
      <c r="CE44" s="123">
        <f ca="1">SUMIFS(tb_rec_uni[2024-06-01],
INDIRECT("tb_rec_uni[natureza]"),"repasse.cef.terreno",
INDIRECT("tb_rec_uni[empresa]"),CE$6)</f>
        <v>0</v>
      </c>
      <c r="CF44" s="123">
        <v>0</v>
      </c>
      <c r="CG44" s="123">
        <f ca="1">SUMIFS(tb_rec_uni[2024-06-01],
INDIRECT("tb_rec_uni[natureza]"),"taxa.extra",
INDIRECT("tb_rec_uni[empresa]"),CG$6)</f>
        <v>0</v>
      </c>
      <c r="CH44" s="111"/>
      <c r="CI44" s="123">
        <f ca="1">SUMIFS(
  m.vb[valor],
  m.vb[nucleo],$CB$1,
  m.vb[variavel],CI$7,
  m.vb[mes],$A44
)</f>
        <v>0</v>
      </c>
      <c r="CJ44" s="123">
        <f ca="1">SUMIFS(
  m.vb[valor],
  m.vb[nucleo],$CB$1,
  m.vb[variavel],CJ$7,
  m.vb[mes],$A44
)</f>
        <v>0</v>
      </c>
      <c r="CK44" s="123">
        <f ca="1">SUMIFS(
  m.vb[valor],
  m.vb[nucleo],$CB$1,
  m.vb[variavel],CK$7,
  m.vb[mes],$A44
)</f>
        <v>0</v>
      </c>
      <c r="CL44" s="123">
        <f ca="1">SUMIFS(
  m.vb[valor],
  m.vb[nucleo],$CB$1,
  m.vb[variavel],CL$7,
  m.vb[mes],$A44
)</f>
        <v>0</v>
      </c>
      <c r="CM44" s="124">
        <f ca="1">SUMIFS(
  m.vb[valor],
  m.vb[nucleo],$CB$1,
  m.vb[variavel],CM$7,
  m.vb[mes],$A44
)</f>
        <v>0</v>
      </c>
      <c r="CN44" s="122">
        <f>COUNTIFS(
    tb_estq[empresa], CN$6,
    tb_estq[Data da venda / reserva], "&gt;=" &amp; $A44,
    tb_estq[Data da venda / reserva], "&lt;"  &amp; EOMONTH($A44,0) + 1
)</f>
        <v>0</v>
      </c>
      <c r="CO44" s="123">
        <f ca="1">SUMIFS(tb_rec_uni[2024-06-01],
INDIRECT("tb_rec_uni[natureza]"),"pro.soluto",
INDIRECT("tb_rec_uni[empresa]"),CO$6)</f>
        <v>0</v>
      </c>
      <c r="CP44" s="123">
        <f ca="1">SUMIFS(tb_rec_uni[2024-06-01],
INDIRECT("tb_rec_uni[natureza]"),"repasse.cef.obra",
INDIRECT("tb_rec_uni[empresa]"),CP$6)</f>
        <v>0</v>
      </c>
      <c r="CQ44" s="123">
        <f ca="1">SUMIFS(tb_rec_uni[2024-06-01],
INDIRECT("tb_rec_uni[natureza]"),"repasse.cef.terreno",
INDIRECT("tb_rec_uni[empresa]"),CQ$6)</f>
        <v>0</v>
      </c>
      <c r="CR44" s="123">
        <v>0</v>
      </c>
      <c r="CS44" s="123">
        <f ca="1">SUMIFS(tb_rec_uni[2024-06-01],
INDIRECT("tb_rec_uni[natureza]"),"taxa.extra",
INDIRECT("tb_rec_uni[empresa]"),CS$6)</f>
        <v>0</v>
      </c>
      <c r="CT44" s="111"/>
      <c r="CU44" s="123">
        <f ca="1">SUMIFS(
  m.vb[valor],
  m.vb[nucleo],$CN$1,
  m.vb[variavel],CU$7,
  m.vb[mes],$A44
)</f>
        <v>0</v>
      </c>
      <c r="CV44" s="123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3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3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5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21">
        <v>45474</v>
      </c>
      <c r="B45" s="122">
        <f>COUNTIFS(
    tb_estq[empresa], B$6,
    tb_estq[Data da venda / reserva], "&gt;=" &amp; $A45,
    tb_estq[Data da venda / reserva], "&lt;"  &amp; EOMONTH($A45,0) + 1
)</f>
        <v>0</v>
      </c>
      <c r="C45" s="123">
        <f ca="1">SUMIFS(tb_rec_uni[2024-07-01],
INDIRECT("tb_rec_uni[natureza]"),"pro.soluto",
INDIRECT("tb_rec_uni[empresa]"),C$6)</f>
        <v>0</v>
      </c>
      <c r="D45" s="123">
        <f ca="1">SUMIFS(tb_rec_uni[2024-07-01],
INDIRECT("tb_rec_uni[natureza]"),"repasse.cef.obra",
INDIRECT("tb_rec_uni[empresa]"),D$6)</f>
        <v>0</v>
      </c>
      <c r="E45" s="123">
        <f ca="1">SUMIFS(tb_rec_uni[2024-07-01],
INDIRECT("tb_rec_uni[natureza]"),"repasse.cef.terreno",
INDIRECT("tb_rec_uni[empresa]"),E$6)</f>
        <v>0</v>
      </c>
      <c r="F45" s="123">
        <v>0</v>
      </c>
      <c r="G45" s="123">
        <f ca="1">SUMIFS(tb_rec_uni[2024-07-01],
INDIRECT("tb_rec_uni[natureza]"),"taxa.extra",
INDIRECT("tb_rec_uni[empresa]"),G$6)</f>
        <v>0</v>
      </c>
      <c r="H45" s="111"/>
      <c r="I45" s="123">
        <f ca="1">SUMIFS(
  m.vb[valor],
  m.vb[nucleo],$B$1,
  m.vb[variavel],I$7,
  m.vb[mes],$A45
)</f>
        <v>0</v>
      </c>
      <c r="J45" s="123">
        <f ca="1">SUMIFS(
  m.vb[valor],
  m.vb[nucleo],$B$1,
  m.vb[variavel],J$7,
  m.vb[mes],$A45
)</f>
        <v>0</v>
      </c>
      <c r="K45" s="123">
        <f ca="1">SUMIFS(
  m.vb[valor],
  m.vb[nucleo],$B$1,
  m.vb[variavel],K$7,
  m.vb[mes],$A45
)</f>
        <v>0</v>
      </c>
      <c r="L45" s="123">
        <f ca="1">SUMIFS(
  m.vb[valor],
  m.vb[nucleo],$B$1,
  m.vb[variavel],L$7,
  m.vb[mes],$A45
)</f>
        <v>0</v>
      </c>
      <c r="M45" s="124">
        <f ca="1">SUMIFS(
  m.vb[valor],
  m.vb[nucleo],$B$1,
  m.vb[variavel],M$7,
  m.vb[mes],$A45
)</f>
        <v>0</v>
      </c>
      <c r="N45" s="122">
        <f>COUNTIFS(
    tb_estq[empresa], N$6,
    tb_estq[Data da venda / reserva], "&gt;=" &amp; $A45,
    tb_estq[Data da venda / reserva], "&lt;"  &amp; EOMONTH($A45,0) + 1
)</f>
        <v>0</v>
      </c>
      <c r="O45" s="123">
        <f ca="1">SUMIFS(tb_rec_uni[2024-07-01],
INDIRECT("tb_rec_uni[natureza]"),"pro.soluto",
INDIRECT("tb_rec_uni[empresa]"),O$6)</f>
        <v>0</v>
      </c>
      <c r="P45" s="123">
        <f ca="1">SUMIFS(tb_rec_uni[2024-07-01],
INDIRECT("tb_rec_uni[natureza]"),"repasse.cef.obra",
INDIRECT("tb_rec_uni[empresa]"),P$6)</f>
        <v>0</v>
      </c>
      <c r="Q45" s="123">
        <f ca="1">SUMIFS(tb_rec_uni[2024-07-01],
INDIRECT("tb_rec_uni[natureza]"),"repasse.cef.terreno",
INDIRECT("tb_rec_uni[empresa]"),Q$6)</f>
        <v>0</v>
      </c>
      <c r="R45" s="123">
        <v>0</v>
      </c>
      <c r="S45" s="123">
        <f ca="1">SUMIFS(tb_rec_uni[2024-07-01],
INDIRECT("tb_rec_uni[natureza]"),"taxa.extra",
INDIRECT("tb_rec_uni[empresa]"),S$6)</f>
        <v>0</v>
      </c>
      <c r="T45" s="111"/>
      <c r="U45" s="123">
        <f ca="1">SUMIFS(
  m.vb[valor],
  m.vb[nucleo],$N$1,
  m.vb[variavel],U$7,
  m.vb[mes],$A45
)</f>
        <v>0</v>
      </c>
      <c r="V45" s="123">
        <f ca="1">SUMIFS(
  m.vb[valor],
  m.vb[nucleo],$N$1,
  m.vb[variavel],V$7,
  m.vb[mes],$A45
)</f>
        <v>0</v>
      </c>
      <c r="W45" s="123">
        <f ca="1">SUMIFS(
  m.vb[valor],
  m.vb[nucleo],$N$1,
  m.vb[variavel],W$7,
  m.vb[mes],$A45
)</f>
        <v>0</v>
      </c>
      <c r="X45" s="123">
        <f ca="1">SUMIFS(
  m.vb[valor],
  m.vb[nucleo],$N$1,
  m.vb[variavel],X$7,
  m.vb[mes],$A45
)</f>
        <v>0</v>
      </c>
      <c r="Y45" s="124">
        <f ca="1">SUMIFS(
  m.vb[valor],
  m.vb[nucleo],$N$1,
  m.vb[variavel],Y$7,
  m.vb[mes],$A45
)</f>
        <v>0</v>
      </c>
      <c r="Z45" s="122">
        <f>COUNTIFS(
    tb_estq[empresa], Z$6,
    tb_estq[Data da venda / reserva], "&gt;=" &amp; $A45,
    tb_estq[Data da venda / reserva], "&lt;"  &amp; EOMONTH($A45,0) + 1
)</f>
        <v>0</v>
      </c>
      <c r="AA45" s="123">
        <f ca="1">SUMIFS(tb_rec_uni[2024-07-01],
INDIRECT("tb_rec_uni[natureza]"),"pro.soluto",
INDIRECT("tb_rec_uni[empresa]"),AA$6)</f>
        <v>0</v>
      </c>
      <c r="AB45" s="123">
        <f ca="1">SUMIFS(tb_rec_uni[2024-07-01],
INDIRECT("tb_rec_uni[natureza]"),"parcela.fin.total.ik",
INDIRECT("tb_rec_uni[empresa]"),AB$6)</f>
        <v>0</v>
      </c>
      <c r="AC45" s="123">
        <f ca="1">SUMIFS(tb_rec_uni[2024-07-01],
INDIRECT("tb_rec_uni[natureza]"),"taxa.extra",
INDIRECT("tb_rec_uni[empresa]"),AC$6)</f>
        <v>0</v>
      </c>
      <c r="AD45" s="111"/>
      <c r="AE45" s="123">
        <f ca="1">SUMIFS(
  m.vb[valor],
  m.vb[nucleo],$Z$1,
  m.vb[variavel],AE$7,
  m.vb[mes],$A45
)</f>
        <v>0</v>
      </c>
      <c r="AF45" s="123">
        <f ca="1">SUMIFS(
  m.vb[valor],
  m.vb[nucleo],$Z$1,
  m.vb[variavel],AF$7,
  m.vb[mes],$A45
)</f>
        <v>0</v>
      </c>
      <c r="AG45" s="123">
        <f ca="1">SUMIFS(
  m.vb[valor],
  m.vb[nucleo],$Z$1,
  m.vb[variavel],AG$7,
  m.vb[mes],$A45
)</f>
        <v>0</v>
      </c>
      <c r="AH45" s="123">
        <f ca="1">SUMIFS(
  m.vb[valor],
  m.vb[nucleo],$Z$1,
  m.vb[variavel],AH$7,
  m.vb[mes],$A45
)</f>
        <v>0</v>
      </c>
      <c r="AI45" s="124">
        <f ca="1">SUMIFS(
  m.vb[valor],
  m.vb[nucleo],$Z$1,
  m.vb[variavel],AI$7,
  m.vb[mes],$A45
)</f>
        <v>0</v>
      </c>
      <c r="AJ45" s="122">
        <f>COUNTIFS(
    tb_estq[empresa], AJ$6,
    tb_estq[Data da venda / reserva], "&gt;=" &amp; $A45,
    tb_estq[Data da venda / reserva], "&lt;"  &amp; EOMONTH($A45,0) + 1
)</f>
        <v>0</v>
      </c>
      <c r="AK45" s="123">
        <f ca="1">SUMIFS(tb_rec_uni[2024-07-01],
INDIRECT("tb_rec_uni[natureza]"),"pro.soluto",
INDIRECT("tb_rec_uni[empresa]"),AK$6)</f>
        <v>0</v>
      </c>
      <c r="AL45" s="123">
        <f ca="1">SUMIFS(tb_rec_uni[2024-07-01],
INDIRECT("tb_rec_uni[natureza]"),"repasse.cef.obra",
INDIRECT("tb_rec_uni[empresa]"),AL$6)</f>
        <v>0</v>
      </c>
      <c r="AM45" s="123">
        <f ca="1">SUMIFS(tb_rec_uni[2024-07-01],
INDIRECT("tb_rec_uni[natureza]"),"repasse.cef.terreno",
INDIRECT("tb_rec_uni[empresa]"),AM$6)</f>
        <v>0</v>
      </c>
      <c r="AN45" s="123">
        <v>0</v>
      </c>
      <c r="AO45" s="123">
        <f ca="1">SUMIFS(tb_rec_uni[2024-07-01],
INDIRECT("tb_rec_uni[natureza]"),"taxa.extra",
INDIRECT("tb_rec_uni[empresa]"),AO$6)</f>
        <v>0</v>
      </c>
      <c r="AP45" s="111"/>
      <c r="AQ45" s="123">
        <f ca="1">SUMIFS(
  m.vb[valor],
  m.vb[nucleo],$AJ$1,
  m.vb[variavel],AQ$7,
  m.vb[mes],$A45
)</f>
        <v>0</v>
      </c>
      <c r="AR45" s="123">
        <f ca="1">SUMIFS(
  m.vb[valor],
  m.vb[nucleo],$AJ$1,
  m.vb[variavel],AR$7,
  m.vb[mes],$A45
)</f>
        <v>0</v>
      </c>
      <c r="AS45" s="123">
        <f ca="1">SUMIFS(
  m.vb[valor],
  m.vb[nucleo],$AJ$1,
  m.vb[variavel],AS$7,
  m.vb[mes],$A45
)</f>
        <v>0</v>
      </c>
      <c r="AT45" s="123">
        <f ca="1">SUMIFS(
  m.vb[valor],
  m.vb[nucleo],$AJ$1,
  m.vb[variavel],AT$7,
  m.vb[mes],$A45
)</f>
        <v>0</v>
      </c>
      <c r="AU45" s="124">
        <f ca="1">SUMIFS(
  m.vb[valor],
  m.vb[nucleo],$AJ$1,
  m.vb[variavel],AU$7,
  m.vb[mes],$A45
)</f>
        <v>0</v>
      </c>
      <c r="AV45" s="122">
        <f>COUNTIFS(
    tb_estq[empresa], AV$6,
    tb_estq[Data da venda / reserva], "&gt;=" &amp; $A45,
    tb_estq[Data da venda / reserva], "&lt;"  &amp; EOMONTH($A45,0) + 1
)</f>
        <v>0</v>
      </c>
      <c r="AW45" s="123">
        <f ca="1">SUMIFS(tb_rec_uni[2024-07-01],
INDIRECT("tb_rec_uni[natureza]"),"pro.soluto",
INDIRECT("tb_rec_uni[empresa]"),AW$6)</f>
        <v>0</v>
      </c>
      <c r="AX45" s="123">
        <f ca="1">SUMIFS(tb_rec_uni[2024-07-01],
INDIRECT("tb_rec_uni[natureza]"),"repasse.cef.obra",
INDIRECT("tb_rec_uni[empresa]"),AX$6)</f>
        <v>0</v>
      </c>
      <c r="AY45" s="123">
        <f ca="1">SUMIFS(tb_rec_uni[2024-07-01],
INDIRECT("tb_rec_uni[natureza]"),"repasse.cef.terreno",
INDIRECT("tb_rec_uni[empresa]"),AY$6)</f>
        <v>0</v>
      </c>
      <c r="AZ45" s="123">
        <v>0</v>
      </c>
      <c r="BA45" s="123">
        <f ca="1">SUMIFS(tb_rec_uni[2024-07-01],
INDIRECT("tb_rec_uni[natureza]"),"taxa.extra",
INDIRECT("tb_rec_uni[empresa]"),BA$6)</f>
        <v>0</v>
      </c>
      <c r="BB45" s="111"/>
      <c r="BC45" s="123">
        <f ca="1">SUMIFS(
  m.vb[valor],
  m.vb[nucleo],$AV$1,
  m.vb[variavel],BC$7,
  m.vb[mes],$A45
)</f>
        <v>0</v>
      </c>
      <c r="BD45" s="123">
        <f ca="1">SUMIFS(
  m.vb[valor],
  m.vb[nucleo],$AV$1,
  m.vb[variavel],BD$7,
  m.vb[mes],$A45
)</f>
        <v>0</v>
      </c>
      <c r="BE45" s="123">
        <f ca="1">SUMIFS(
  m.vb[valor],
  m.vb[nucleo],$AV$1,
  m.vb[variavel],BE$7,
  m.vb[mes],$A45
)</f>
        <v>0</v>
      </c>
      <c r="BF45" s="123">
        <f ca="1">SUMIFS(
  m.vb[valor],
  m.vb[nucleo],$AV$1,
  m.vb[variavel],BF$7,
  m.vb[mes],$A45
)</f>
        <v>0</v>
      </c>
      <c r="BG45" s="124">
        <f ca="1">SUMIFS(
  m.vb[valor],
  m.vb[nucleo],$AV$1,
  m.vb[variavel],BG$7,
  m.vb[mes],$A45
)</f>
        <v>0</v>
      </c>
      <c r="BH45" s="122">
        <f>COUNTIFS(
    tb_estq[empresa], BH$6,
    tb_estq[Data da venda / reserva], "&gt;=" &amp; $A45,
    tb_estq[Data da venda / reserva], "&lt;"  &amp; EOMONTH($A45,0) + 1
)</f>
        <v>0</v>
      </c>
      <c r="BI45" s="123">
        <f ca="1">SUMIFS(tb_rec_uni[2024-07-01],
INDIRECT("tb_rec_uni[natureza]"),"pro.soluto",
INDIRECT("tb_rec_uni[empresa]"),BI$6)</f>
        <v>0</v>
      </c>
      <c r="BJ45" s="111">
        <v>0</v>
      </c>
      <c r="BK45" s="123">
        <f ca="1">SUMIFS(tb_rec_uni[2024-07-01],
INDIRECT("tb_rec_uni[natureza]"),"taxa.extra",
INDIRECT("tb_rec_uni[empresa]"),BK$6)</f>
        <v>0</v>
      </c>
      <c r="BL45" s="111"/>
      <c r="BM45" s="123">
        <f ca="1">SUMIFS(
  m.vb[valor],
  m.vb[nucleo],$BH$1,
  m.vb[variavel],BM$7,
  m.vb[mes],$A45
)</f>
        <v>0</v>
      </c>
      <c r="BN45" s="123">
        <f ca="1">SUMIFS(
  m.vb[valor],
  m.vb[nucleo],$BH$1,
  m.vb[variavel],BN$7,
  m.vb[mes],$A45
)</f>
        <v>0</v>
      </c>
      <c r="BO45" s="123">
        <f ca="1">SUMIFS(
  m.vb[valor],
  m.vb[nucleo],$BH$1,
  m.vb[variavel],BO$7,
  m.vb[mes],$A45
)</f>
        <v>0</v>
      </c>
      <c r="BP45" s="123">
        <f ca="1">SUMIFS(
  m.vb[valor],
  m.vb[nucleo],$BH$1,
  m.vb[variavel],BP$7,
  m.vb[mes],$A45
)</f>
        <v>0</v>
      </c>
      <c r="BQ45" s="124">
        <f ca="1">SUMIFS(
  m.vb[valor],
  m.vb[nucleo],$BH$1,
  m.vb[variavel],BQ$7,
  m.vb[mes],$A45
)</f>
        <v>0</v>
      </c>
      <c r="BR45" s="122">
        <f>COUNTIFS(
    tb_estq[empresa], BR$6,
    tb_estq[Data da venda / reserva], "&gt;=" &amp; $A45,
    tb_estq[Data da venda / reserva], "&lt;"  &amp; EOMONTH($A45,0) + 1
)</f>
        <v>0</v>
      </c>
      <c r="BS45" s="123">
        <f ca="1">SUMIFS(tb_rec_uni[2024-07-01],
INDIRECT("tb_rec_uni[natureza]"),"pro.soluto",
INDIRECT("tb_rec_uni[empresa]"),BS$6)</f>
        <v>0</v>
      </c>
      <c r="BT45" s="123">
        <f ca="1">SUMIFS(tb_rec_uni[2024-07-01],
INDIRECT("tb_rec_uni[natureza]"),"parcela.fin.total.ik",
INDIRECT("tb_rec_uni[empresa]"),BT$6)</f>
        <v>0</v>
      </c>
      <c r="BU45" s="123">
        <f ca="1">SUMIFS(tb_rec_uni[2024-07-01],
INDIRECT("tb_rec_uni[natureza]"),"taxa.extra",
INDIRECT("tb_rec_uni[empresa]"),BU$6)</f>
        <v>0</v>
      </c>
      <c r="BV45" s="111"/>
      <c r="BW45" s="123">
        <f ca="1">SUMIFS(
  m.vb[valor],
  m.vb[nucleo],$BR$1,
  m.vb[variavel],BW$7,
  m.vb[mes],$A45
)</f>
        <v>0</v>
      </c>
      <c r="BX45" s="123">
        <f ca="1">SUMIFS(
  m.vb[valor],
  m.vb[nucleo],$BR$1,
  m.vb[variavel],BX$7,
  m.vb[mes],$A45
)</f>
        <v>0</v>
      </c>
      <c r="BY45" s="123">
        <f ca="1">SUMIFS(
  m.vb[valor],
  m.vb[nucleo],$BR$1,
  m.vb[variavel],BY$7,
  m.vb[mes],$A45
)</f>
        <v>0</v>
      </c>
      <c r="BZ45" s="123">
        <f ca="1">SUMIFS(
  m.vb[valor],
  m.vb[nucleo],$BR$1,
  m.vb[variavel],BZ$7,
  m.vb[mes],$A45
)</f>
        <v>0</v>
      </c>
      <c r="CA45" s="124">
        <f ca="1">SUMIFS(
  m.vb[valor],
  m.vb[nucleo],$BR$1,
  m.vb[variavel],CA$7,
  m.vb[mes],$A45
)</f>
        <v>0</v>
      </c>
      <c r="CB45" s="122">
        <f>COUNTIFS(
    tb_estq[empresa], CB$6,
    tb_estq[Data da venda / reserva], "&gt;=" &amp; $A45,
    tb_estq[Data da venda / reserva], "&lt;"  &amp; EOMONTH($A45,0) + 1
)</f>
        <v>0</v>
      </c>
      <c r="CC45" s="123">
        <f ca="1">SUMIFS(tb_rec_uni[2024-07-01],
INDIRECT("tb_rec_uni[natureza]"),"pro.soluto",
INDIRECT("tb_rec_uni[empresa]"),CC$6)</f>
        <v>0</v>
      </c>
      <c r="CD45" s="123">
        <f ca="1">SUMIFS(tb_rec_uni[2024-07-01],
INDIRECT("tb_rec_uni[natureza]"),"repasse.cef.obra",
INDIRECT("tb_rec_uni[empresa]"),CD$6)</f>
        <v>0</v>
      </c>
      <c r="CE45" s="123">
        <f ca="1">SUMIFS(tb_rec_uni[2024-07-01],
INDIRECT("tb_rec_uni[natureza]"),"repasse.cef.terreno",
INDIRECT("tb_rec_uni[empresa]"),CE$6)</f>
        <v>0</v>
      </c>
      <c r="CF45" s="123">
        <v>0</v>
      </c>
      <c r="CG45" s="123">
        <f ca="1">SUMIFS(tb_rec_uni[2024-07-01],
INDIRECT("tb_rec_uni[natureza]"),"taxa.extra",
INDIRECT("tb_rec_uni[empresa]"),CG$6)</f>
        <v>0</v>
      </c>
      <c r="CH45" s="111"/>
      <c r="CI45" s="123">
        <f ca="1">SUMIFS(
  m.vb[valor],
  m.vb[nucleo],$CB$1,
  m.vb[variavel],CI$7,
  m.vb[mes],$A45
)</f>
        <v>0</v>
      </c>
      <c r="CJ45" s="123">
        <f ca="1">SUMIFS(
  m.vb[valor],
  m.vb[nucleo],$CB$1,
  m.vb[variavel],CJ$7,
  m.vb[mes],$A45
)</f>
        <v>0</v>
      </c>
      <c r="CK45" s="123">
        <f ca="1">SUMIFS(
  m.vb[valor],
  m.vb[nucleo],$CB$1,
  m.vb[variavel],CK$7,
  m.vb[mes],$A45
)</f>
        <v>0</v>
      </c>
      <c r="CL45" s="123">
        <f ca="1">SUMIFS(
  m.vb[valor],
  m.vb[nucleo],$CB$1,
  m.vb[variavel],CL$7,
  m.vb[mes],$A45
)</f>
        <v>0</v>
      </c>
      <c r="CM45" s="124">
        <f ca="1">SUMIFS(
  m.vb[valor],
  m.vb[nucleo],$CB$1,
  m.vb[variavel],CM$7,
  m.vb[mes],$A45
)</f>
        <v>0</v>
      </c>
      <c r="CN45" s="122">
        <f>COUNTIFS(
    tb_estq[empresa], CN$6,
    tb_estq[Data da venda / reserva], "&gt;=" &amp; $A45,
    tb_estq[Data da venda / reserva], "&lt;"  &amp; EOMONTH($A45,0) + 1
)</f>
        <v>0</v>
      </c>
      <c r="CO45" s="123">
        <f ca="1">SUMIFS(tb_rec_uni[2024-07-01],
INDIRECT("tb_rec_uni[natureza]"),"pro.soluto",
INDIRECT("tb_rec_uni[empresa]"),CO$6)</f>
        <v>0</v>
      </c>
      <c r="CP45" s="123">
        <f ca="1">SUMIFS(tb_rec_uni[2024-07-01],
INDIRECT("tb_rec_uni[natureza]"),"repasse.cef.obra",
INDIRECT("tb_rec_uni[empresa]"),CP$6)</f>
        <v>0</v>
      </c>
      <c r="CQ45" s="123">
        <f ca="1">SUMIFS(tb_rec_uni[2024-07-01],
INDIRECT("tb_rec_uni[natureza]"),"repasse.cef.terreno",
INDIRECT("tb_rec_uni[empresa]"),CQ$6)</f>
        <v>0</v>
      </c>
      <c r="CR45" s="123">
        <v>0</v>
      </c>
      <c r="CS45" s="123">
        <f ca="1">SUMIFS(tb_rec_uni[2024-07-01],
INDIRECT("tb_rec_uni[natureza]"),"taxa.extra",
INDIRECT("tb_rec_uni[empresa]"),CS$6)</f>
        <v>0</v>
      </c>
      <c r="CT45" s="111"/>
      <c r="CU45" s="123">
        <f ca="1">SUMIFS(
  m.vb[valor],
  m.vb[nucleo],$CN$1,
  m.vb[variavel],CU$7,
  m.vb[mes],$A45
)</f>
        <v>0</v>
      </c>
      <c r="CV45" s="123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3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3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5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21">
        <v>45505</v>
      </c>
      <c r="B46" s="122">
        <f>COUNTIFS(
    tb_estq[empresa], B$6,
    tb_estq[Data da venda / reserva], "&gt;=" &amp; $A46,
    tb_estq[Data da venda / reserva], "&lt;"  &amp; EOMONTH($A46,0) + 1
)</f>
        <v>0</v>
      </c>
      <c r="C46" s="123">
        <f ca="1">SUMIFS(tb_rec_uni[2024-08-01],
INDIRECT("tb_rec_uni[natureza]"),"pro.soluto",
INDIRECT("tb_rec_uni[empresa]"),C$6)</f>
        <v>0</v>
      </c>
      <c r="D46" s="123">
        <f ca="1">SUMIFS(tb_rec_uni[2024-08-01],
INDIRECT("tb_rec_uni[natureza]"),"repasse.cef.obra",
INDIRECT("tb_rec_uni[empresa]"),D$6)</f>
        <v>0</v>
      </c>
      <c r="E46" s="123">
        <f ca="1">SUMIFS(tb_rec_uni[2024-08-01],
INDIRECT("tb_rec_uni[natureza]"),"repasse.cef.terreno",
INDIRECT("tb_rec_uni[empresa]"),E$6)</f>
        <v>0</v>
      </c>
      <c r="F46" s="123">
        <v>0</v>
      </c>
      <c r="G46" s="123">
        <f ca="1">SUMIFS(tb_rec_uni[2024-08-01],
INDIRECT("tb_rec_uni[natureza]"),"taxa.extra",
INDIRECT("tb_rec_uni[empresa]"),G$6)</f>
        <v>0</v>
      </c>
      <c r="H46" s="111"/>
      <c r="I46" s="123">
        <f ca="1">SUMIFS(
  m.vb[valor],
  m.vb[nucleo],$B$1,
  m.vb[variavel],I$7,
  m.vb[mes],$A46
)</f>
        <v>0</v>
      </c>
      <c r="J46" s="123">
        <f ca="1">SUMIFS(
  m.vb[valor],
  m.vb[nucleo],$B$1,
  m.vb[variavel],J$7,
  m.vb[mes],$A46
)</f>
        <v>0</v>
      </c>
      <c r="K46" s="123">
        <f ca="1">SUMIFS(
  m.vb[valor],
  m.vb[nucleo],$B$1,
  m.vb[variavel],K$7,
  m.vb[mes],$A46
)</f>
        <v>0</v>
      </c>
      <c r="L46" s="123">
        <f ca="1">SUMIFS(
  m.vb[valor],
  m.vb[nucleo],$B$1,
  m.vb[variavel],L$7,
  m.vb[mes],$A46
)</f>
        <v>0</v>
      </c>
      <c r="M46" s="124">
        <f ca="1">SUMIFS(
  m.vb[valor],
  m.vb[nucleo],$B$1,
  m.vb[variavel],M$7,
  m.vb[mes],$A46
)</f>
        <v>0</v>
      </c>
      <c r="N46" s="122">
        <f>COUNTIFS(
    tb_estq[empresa], N$6,
    tb_estq[Data da venda / reserva], "&gt;=" &amp; $A46,
    tb_estq[Data da venda / reserva], "&lt;"  &amp; EOMONTH($A46,0) + 1
)</f>
        <v>0</v>
      </c>
      <c r="O46" s="123">
        <f ca="1">SUMIFS(tb_rec_uni[2024-08-01],
INDIRECT("tb_rec_uni[natureza]"),"pro.soluto",
INDIRECT("tb_rec_uni[empresa]"),O$6)</f>
        <v>0</v>
      </c>
      <c r="P46" s="123">
        <f ca="1">SUMIFS(tb_rec_uni[2024-08-01],
INDIRECT("tb_rec_uni[natureza]"),"repasse.cef.obra",
INDIRECT("tb_rec_uni[empresa]"),P$6)</f>
        <v>0</v>
      </c>
      <c r="Q46" s="123">
        <f ca="1">SUMIFS(tb_rec_uni[2024-08-01],
INDIRECT("tb_rec_uni[natureza]"),"repasse.cef.terreno",
INDIRECT("tb_rec_uni[empresa]"),Q$6)</f>
        <v>0</v>
      </c>
      <c r="R46" s="123">
        <v>0</v>
      </c>
      <c r="S46" s="123">
        <f ca="1">SUMIFS(tb_rec_uni[2024-08-01],
INDIRECT("tb_rec_uni[natureza]"),"taxa.extra",
INDIRECT("tb_rec_uni[empresa]"),S$6)</f>
        <v>0</v>
      </c>
      <c r="T46" s="111"/>
      <c r="U46" s="123">
        <f ca="1">SUMIFS(
  m.vb[valor],
  m.vb[nucleo],$N$1,
  m.vb[variavel],U$7,
  m.vb[mes],$A46
)</f>
        <v>0</v>
      </c>
      <c r="V46" s="123">
        <f ca="1">SUMIFS(
  m.vb[valor],
  m.vb[nucleo],$N$1,
  m.vb[variavel],V$7,
  m.vb[mes],$A46
)</f>
        <v>0</v>
      </c>
      <c r="W46" s="123">
        <f ca="1">SUMIFS(
  m.vb[valor],
  m.vb[nucleo],$N$1,
  m.vb[variavel],W$7,
  m.vb[mes],$A46
)</f>
        <v>0</v>
      </c>
      <c r="X46" s="123">
        <f ca="1">SUMIFS(
  m.vb[valor],
  m.vb[nucleo],$N$1,
  m.vb[variavel],X$7,
  m.vb[mes],$A46
)</f>
        <v>0</v>
      </c>
      <c r="Y46" s="124">
        <f ca="1">SUMIFS(
  m.vb[valor],
  m.vb[nucleo],$N$1,
  m.vb[variavel],Y$7,
  m.vb[mes],$A46
)</f>
        <v>0</v>
      </c>
      <c r="Z46" s="122">
        <f>COUNTIFS(
    tb_estq[empresa], Z$6,
    tb_estq[Data da venda / reserva], "&gt;=" &amp; $A46,
    tb_estq[Data da venda / reserva], "&lt;"  &amp; EOMONTH($A46,0) + 1
)</f>
        <v>0</v>
      </c>
      <c r="AA46" s="123">
        <f ca="1">SUMIFS(tb_rec_uni[2024-08-01],
INDIRECT("tb_rec_uni[natureza]"),"pro.soluto",
INDIRECT("tb_rec_uni[empresa]"),AA$6)</f>
        <v>0</v>
      </c>
      <c r="AB46" s="123">
        <f ca="1">SUMIFS(tb_rec_uni[2024-08-01],
INDIRECT("tb_rec_uni[natureza]"),"parcela.fin.total.ik",
INDIRECT("tb_rec_uni[empresa]"),AB$6)</f>
        <v>0</v>
      </c>
      <c r="AC46" s="123">
        <f ca="1">SUMIFS(tb_rec_uni[2024-08-01],
INDIRECT("tb_rec_uni[natureza]"),"taxa.extra",
INDIRECT("tb_rec_uni[empresa]"),AC$6)</f>
        <v>0</v>
      </c>
      <c r="AD46" s="111"/>
      <c r="AE46" s="123">
        <f ca="1">SUMIFS(
  m.vb[valor],
  m.vb[nucleo],$Z$1,
  m.vb[variavel],AE$7,
  m.vb[mes],$A46
)</f>
        <v>0</v>
      </c>
      <c r="AF46" s="123">
        <f ca="1">SUMIFS(
  m.vb[valor],
  m.vb[nucleo],$Z$1,
  m.vb[variavel],AF$7,
  m.vb[mes],$A46
)</f>
        <v>0</v>
      </c>
      <c r="AG46" s="123">
        <f ca="1">SUMIFS(
  m.vb[valor],
  m.vb[nucleo],$Z$1,
  m.vb[variavel],AG$7,
  m.vb[mes],$A46
)</f>
        <v>0</v>
      </c>
      <c r="AH46" s="123">
        <f ca="1">SUMIFS(
  m.vb[valor],
  m.vb[nucleo],$Z$1,
  m.vb[variavel],AH$7,
  m.vb[mes],$A46
)</f>
        <v>0</v>
      </c>
      <c r="AI46" s="124">
        <f ca="1">SUMIFS(
  m.vb[valor],
  m.vb[nucleo],$Z$1,
  m.vb[variavel],AI$7,
  m.vb[mes],$A46
)</f>
        <v>0</v>
      </c>
      <c r="AJ46" s="122">
        <f>COUNTIFS(
    tb_estq[empresa], AJ$6,
    tb_estq[Data da venda / reserva], "&gt;=" &amp; $A46,
    tb_estq[Data da venda / reserva], "&lt;"  &amp; EOMONTH($A46,0) + 1
)</f>
        <v>0</v>
      </c>
      <c r="AK46" s="123">
        <f ca="1">SUMIFS(tb_rec_uni[2024-08-01],
INDIRECT("tb_rec_uni[natureza]"),"pro.soluto",
INDIRECT("tb_rec_uni[empresa]"),AK$6)</f>
        <v>0</v>
      </c>
      <c r="AL46" s="123">
        <f ca="1">SUMIFS(tb_rec_uni[2024-08-01],
INDIRECT("tb_rec_uni[natureza]"),"repasse.cef.obra",
INDIRECT("tb_rec_uni[empresa]"),AL$6)</f>
        <v>0</v>
      </c>
      <c r="AM46" s="123">
        <f ca="1">SUMIFS(tb_rec_uni[2024-08-01],
INDIRECT("tb_rec_uni[natureza]"),"repasse.cef.terreno",
INDIRECT("tb_rec_uni[empresa]"),AM$6)</f>
        <v>0</v>
      </c>
      <c r="AN46" s="123">
        <v>0</v>
      </c>
      <c r="AO46" s="123">
        <f ca="1">SUMIFS(tb_rec_uni[2024-08-01],
INDIRECT("tb_rec_uni[natureza]"),"taxa.extra",
INDIRECT("tb_rec_uni[empresa]"),AO$6)</f>
        <v>0</v>
      </c>
      <c r="AP46" s="111"/>
      <c r="AQ46" s="123">
        <f ca="1">SUMIFS(
  m.vb[valor],
  m.vb[nucleo],$AJ$1,
  m.vb[variavel],AQ$7,
  m.vb[mes],$A46
)</f>
        <v>0</v>
      </c>
      <c r="AR46" s="123">
        <f ca="1">SUMIFS(
  m.vb[valor],
  m.vb[nucleo],$AJ$1,
  m.vb[variavel],AR$7,
  m.vb[mes],$A46
)</f>
        <v>0</v>
      </c>
      <c r="AS46" s="123">
        <f ca="1">SUMIFS(
  m.vb[valor],
  m.vb[nucleo],$AJ$1,
  m.vb[variavel],AS$7,
  m.vb[mes],$A46
)</f>
        <v>0</v>
      </c>
      <c r="AT46" s="123">
        <f ca="1">SUMIFS(
  m.vb[valor],
  m.vb[nucleo],$AJ$1,
  m.vb[variavel],AT$7,
  m.vb[mes],$A46
)</f>
        <v>0</v>
      </c>
      <c r="AU46" s="124">
        <f ca="1">SUMIFS(
  m.vb[valor],
  m.vb[nucleo],$AJ$1,
  m.vb[variavel],AU$7,
  m.vb[mes],$A46
)</f>
        <v>0</v>
      </c>
      <c r="AV46" s="122">
        <f>COUNTIFS(
    tb_estq[empresa], AV$6,
    tb_estq[Data da venda / reserva], "&gt;=" &amp; $A46,
    tb_estq[Data da venda / reserva], "&lt;"  &amp; EOMONTH($A46,0) + 1
)</f>
        <v>0</v>
      </c>
      <c r="AW46" s="123">
        <f ca="1">SUMIFS(tb_rec_uni[2024-08-01],
INDIRECT("tb_rec_uni[natureza]"),"pro.soluto",
INDIRECT("tb_rec_uni[empresa]"),AW$6)</f>
        <v>0</v>
      </c>
      <c r="AX46" s="123">
        <f ca="1">SUMIFS(tb_rec_uni[2024-08-01],
INDIRECT("tb_rec_uni[natureza]"),"repasse.cef.obra",
INDIRECT("tb_rec_uni[empresa]"),AX$6)</f>
        <v>0</v>
      </c>
      <c r="AY46" s="123">
        <f ca="1">SUMIFS(tb_rec_uni[2024-08-01],
INDIRECT("tb_rec_uni[natureza]"),"repasse.cef.terreno",
INDIRECT("tb_rec_uni[empresa]"),AY$6)</f>
        <v>0</v>
      </c>
      <c r="AZ46" s="123">
        <v>0</v>
      </c>
      <c r="BA46" s="123">
        <f ca="1">SUMIFS(tb_rec_uni[2024-08-01],
INDIRECT("tb_rec_uni[natureza]"),"taxa.extra",
INDIRECT("tb_rec_uni[empresa]"),BA$6)</f>
        <v>0</v>
      </c>
      <c r="BB46" s="111"/>
      <c r="BC46" s="123">
        <f ca="1">SUMIFS(
  m.vb[valor],
  m.vb[nucleo],$AV$1,
  m.vb[variavel],BC$7,
  m.vb[mes],$A46
)</f>
        <v>0</v>
      </c>
      <c r="BD46" s="123">
        <f ca="1">SUMIFS(
  m.vb[valor],
  m.vb[nucleo],$AV$1,
  m.vb[variavel],BD$7,
  m.vb[mes],$A46
)</f>
        <v>0</v>
      </c>
      <c r="BE46" s="123">
        <f ca="1">SUMIFS(
  m.vb[valor],
  m.vb[nucleo],$AV$1,
  m.vb[variavel],BE$7,
  m.vb[mes],$A46
)</f>
        <v>0</v>
      </c>
      <c r="BF46" s="123">
        <f ca="1">SUMIFS(
  m.vb[valor],
  m.vb[nucleo],$AV$1,
  m.vb[variavel],BF$7,
  m.vb[mes],$A46
)</f>
        <v>0</v>
      </c>
      <c r="BG46" s="124">
        <f ca="1">SUMIFS(
  m.vb[valor],
  m.vb[nucleo],$AV$1,
  m.vb[variavel],BG$7,
  m.vb[mes],$A46
)</f>
        <v>0</v>
      </c>
      <c r="BH46" s="122">
        <f>COUNTIFS(
    tb_estq[empresa], BH$6,
    tb_estq[Data da venda / reserva], "&gt;=" &amp; $A46,
    tb_estq[Data da venda / reserva], "&lt;"  &amp; EOMONTH($A46,0) + 1
)</f>
        <v>0</v>
      </c>
      <c r="BI46" s="123">
        <f ca="1">SUMIFS(tb_rec_uni[2024-08-01],
INDIRECT("tb_rec_uni[natureza]"),"pro.soluto",
INDIRECT("tb_rec_uni[empresa]"),BI$6)</f>
        <v>0</v>
      </c>
      <c r="BJ46" s="111">
        <v>0</v>
      </c>
      <c r="BK46" s="123">
        <f ca="1">SUMIFS(tb_rec_uni[2024-08-01],
INDIRECT("tb_rec_uni[natureza]"),"taxa.extra",
INDIRECT("tb_rec_uni[empresa]"),BK$6)</f>
        <v>0</v>
      </c>
      <c r="BL46" s="111"/>
      <c r="BM46" s="123">
        <f ca="1">SUMIFS(
  m.vb[valor],
  m.vb[nucleo],$BH$1,
  m.vb[variavel],BM$7,
  m.vb[mes],$A46
)</f>
        <v>0</v>
      </c>
      <c r="BN46" s="123">
        <f ca="1">SUMIFS(
  m.vb[valor],
  m.vb[nucleo],$BH$1,
  m.vb[variavel],BN$7,
  m.vb[mes],$A46
)</f>
        <v>0</v>
      </c>
      <c r="BO46" s="123">
        <f ca="1">SUMIFS(
  m.vb[valor],
  m.vb[nucleo],$BH$1,
  m.vb[variavel],BO$7,
  m.vb[mes],$A46
)</f>
        <v>0</v>
      </c>
      <c r="BP46" s="123">
        <f ca="1">SUMIFS(
  m.vb[valor],
  m.vb[nucleo],$BH$1,
  m.vb[variavel],BP$7,
  m.vb[mes],$A46
)</f>
        <v>0</v>
      </c>
      <c r="BQ46" s="124">
        <f ca="1">SUMIFS(
  m.vb[valor],
  m.vb[nucleo],$BH$1,
  m.vb[variavel],BQ$7,
  m.vb[mes],$A46
)</f>
        <v>0</v>
      </c>
      <c r="BR46" s="122">
        <f>COUNTIFS(
    tb_estq[empresa], BR$6,
    tb_estq[Data da venda / reserva], "&gt;=" &amp; $A46,
    tb_estq[Data da venda / reserva], "&lt;"  &amp; EOMONTH($A46,0) + 1
)</f>
        <v>0</v>
      </c>
      <c r="BS46" s="123">
        <f ca="1">SUMIFS(tb_rec_uni[2024-08-01],
INDIRECT("tb_rec_uni[natureza]"),"pro.soluto",
INDIRECT("tb_rec_uni[empresa]"),BS$6)</f>
        <v>0</v>
      </c>
      <c r="BT46" s="123">
        <f ca="1">SUMIFS(tb_rec_uni[2024-08-01],
INDIRECT("tb_rec_uni[natureza]"),"parcela.fin.total.ik",
INDIRECT("tb_rec_uni[empresa]"),BT$6)</f>
        <v>0</v>
      </c>
      <c r="BU46" s="123">
        <f ca="1">SUMIFS(tb_rec_uni[2024-08-01],
INDIRECT("tb_rec_uni[natureza]"),"taxa.extra",
INDIRECT("tb_rec_uni[empresa]"),BU$6)</f>
        <v>0</v>
      </c>
      <c r="BV46" s="111"/>
      <c r="BW46" s="123">
        <f ca="1">SUMIFS(
  m.vb[valor],
  m.vb[nucleo],$BR$1,
  m.vb[variavel],BW$7,
  m.vb[mes],$A46
)</f>
        <v>0</v>
      </c>
      <c r="BX46" s="123">
        <f ca="1">SUMIFS(
  m.vb[valor],
  m.vb[nucleo],$BR$1,
  m.vb[variavel],BX$7,
  m.vb[mes],$A46
)</f>
        <v>0</v>
      </c>
      <c r="BY46" s="123">
        <f ca="1">SUMIFS(
  m.vb[valor],
  m.vb[nucleo],$BR$1,
  m.vb[variavel],BY$7,
  m.vb[mes],$A46
)</f>
        <v>0</v>
      </c>
      <c r="BZ46" s="123">
        <f ca="1">SUMIFS(
  m.vb[valor],
  m.vb[nucleo],$BR$1,
  m.vb[variavel],BZ$7,
  m.vb[mes],$A46
)</f>
        <v>0</v>
      </c>
      <c r="CA46" s="124">
        <f ca="1">SUMIFS(
  m.vb[valor],
  m.vb[nucleo],$BR$1,
  m.vb[variavel],CA$7,
  m.vb[mes],$A46
)</f>
        <v>0</v>
      </c>
      <c r="CB46" s="122">
        <f>COUNTIFS(
    tb_estq[empresa], CB$6,
    tb_estq[Data da venda / reserva], "&gt;=" &amp; $A46,
    tb_estq[Data da venda / reserva], "&lt;"  &amp; EOMONTH($A46,0) + 1
)</f>
        <v>0</v>
      </c>
      <c r="CC46" s="123">
        <f ca="1">SUMIFS(tb_rec_uni[2024-08-01],
INDIRECT("tb_rec_uni[natureza]"),"pro.soluto",
INDIRECT("tb_rec_uni[empresa]"),CC$6)</f>
        <v>0</v>
      </c>
      <c r="CD46" s="123">
        <f ca="1">SUMIFS(tb_rec_uni[2024-08-01],
INDIRECT("tb_rec_uni[natureza]"),"repasse.cef.obra",
INDIRECT("tb_rec_uni[empresa]"),CD$6)</f>
        <v>0</v>
      </c>
      <c r="CE46" s="123">
        <f ca="1">SUMIFS(tb_rec_uni[2024-08-01],
INDIRECT("tb_rec_uni[natureza]"),"repasse.cef.terreno",
INDIRECT("tb_rec_uni[empresa]"),CE$6)</f>
        <v>0</v>
      </c>
      <c r="CF46" s="123">
        <v>0</v>
      </c>
      <c r="CG46" s="123">
        <f ca="1">SUMIFS(tb_rec_uni[2024-08-01],
INDIRECT("tb_rec_uni[natureza]"),"taxa.extra",
INDIRECT("tb_rec_uni[empresa]"),CG$6)</f>
        <v>0</v>
      </c>
      <c r="CH46" s="111"/>
      <c r="CI46" s="123">
        <f ca="1">SUMIFS(
  m.vb[valor],
  m.vb[nucleo],$CB$1,
  m.vb[variavel],CI$7,
  m.vb[mes],$A46
)</f>
        <v>0</v>
      </c>
      <c r="CJ46" s="123">
        <f ca="1">SUMIFS(
  m.vb[valor],
  m.vb[nucleo],$CB$1,
  m.vb[variavel],CJ$7,
  m.vb[mes],$A46
)</f>
        <v>0</v>
      </c>
      <c r="CK46" s="123">
        <f ca="1">SUMIFS(
  m.vb[valor],
  m.vb[nucleo],$CB$1,
  m.vb[variavel],CK$7,
  m.vb[mes],$A46
)</f>
        <v>0</v>
      </c>
      <c r="CL46" s="123">
        <f ca="1">SUMIFS(
  m.vb[valor],
  m.vb[nucleo],$CB$1,
  m.vb[variavel],CL$7,
  m.vb[mes],$A46
)</f>
        <v>0</v>
      </c>
      <c r="CM46" s="124">
        <f ca="1">SUMIFS(
  m.vb[valor],
  m.vb[nucleo],$CB$1,
  m.vb[variavel],CM$7,
  m.vb[mes],$A46
)</f>
        <v>0</v>
      </c>
      <c r="CN46" s="122">
        <f>COUNTIFS(
    tb_estq[empresa], CN$6,
    tb_estq[Data da venda / reserva], "&gt;=" &amp; $A46,
    tb_estq[Data da venda / reserva], "&lt;"  &amp; EOMONTH($A46,0) + 1
)</f>
        <v>0</v>
      </c>
      <c r="CO46" s="123">
        <f ca="1">SUMIFS(tb_rec_uni[2024-08-01],
INDIRECT("tb_rec_uni[natureza]"),"pro.soluto",
INDIRECT("tb_rec_uni[empresa]"),CO$6)</f>
        <v>0</v>
      </c>
      <c r="CP46" s="123">
        <f ca="1">SUMIFS(tb_rec_uni[2024-08-01],
INDIRECT("tb_rec_uni[natureza]"),"repasse.cef.obra",
INDIRECT("tb_rec_uni[empresa]"),CP$6)</f>
        <v>0</v>
      </c>
      <c r="CQ46" s="123">
        <f ca="1">SUMIFS(tb_rec_uni[2024-08-01],
INDIRECT("tb_rec_uni[natureza]"),"repasse.cef.terreno",
INDIRECT("tb_rec_uni[empresa]"),CQ$6)</f>
        <v>0</v>
      </c>
      <c r="CR46" s="123">
        <v>0</v>
      </c>
      <c r="CS46" s="123">
        <f ca="1">SUMIFS(tb_rec_uni[2024-08-01],
INDIRECT("tb_rec_uni[natureza]"),"taxa.extra",
INDIRECT("tb_rec_uni[empresa]"),CS$6)</f>
        <v>0</v>
      </c>
      <c r="CT46" s="111"/>
      <c r="CU46" s="123">
        <f ca="1">SUMIFS(
  m.vb[valor],
  m.vb[nucleo],$CN$1,
  m.vb[variavel],CU$7,
  m.vb[mes],$A46
)</f>
        <v>0</v>
      </c>
      <c r="CV46" s="123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3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3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5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21">
        <v>45536</v>
      </c>
      <c r="B47" s="122">
        <f>COUNTIFS(
    tb_estq[empresa], B$6,
    tb_estq[Data da venda / reserva], "&gt;=" &amp; $A47,
    tb_estq[Data da venda / reserva], "&lt;"  &amp; EOMONTH($A47,0) + 1
)</f>
        <v>0</v>
      </c>
      <c r="C47" s="123">
        <f ca="1">SUMIFS(tb_rec_uni[2024-09-01],
INDIRECT("tb_rec_uni[natureza]"),"pro.soluto",
INDIRECT("tb_rec_uni[empresa]"),C$6)</f>
        <v>0</v>
      </c>
      <c r="D47" s="123">
        <f ca="1">SUMIFS(tb_rec_uni[2024-09-01],
INDIRECT("tb_rec_uni[natureza]"),"repasse.cef.obra",
INDIRECT("tb_rec_uni[empresa]"),D$6)</f>
        <v>0</v>
      </c>
      <c r="E47" s="123">
        <f ca="1">SUMIFS(tb_rec_uni[2024-09-01],
INDIRECT("tb_rec_uni[natureza]"),"repasse.cef.terreno",
INDIRECT("tb_rec_uni[empresa]"),E$6)</f>
        <v>0</v>
      </c>
      <c r="F47" s="123">
        <v>198297.96</v>
      </c>
      <c r="G47" s="123">
        <f ca="1">SUMIFS(tb_rec_uni[2024-09-01],
INDIRECT("tb_rec_uni[natureza]"),"taxa.extra",
INDIRECT("tb_rec_uni[empresa]"),G$6)</f>
        <v>0</v>
      </c>
      <c r="H47" s="111"/>
      <c r="I47" s="123">
        <f ca="1">SUMIFS(
  m.vb[valor],
  m.vb[nucleo],$B$1,
  m.vb[variavel],I$7,
  m.vb[mes],$A47
)</f>
        <v>0</v>
      </c>
      <c r="J47" s="123">
        <f ca="1">SUMIFS(
  m.vb[valor],
  m.vb[nucleo],$B$1,
  m.vb[variavel],J$7,
  m.vb[mes],$A47
)</f>
        <v>0</v>
      </c>
      <c r="K47" s="123">
        <f ca="1">SUMIFS(
  m.vb[valor],
  m.vb[nucleo],$B$1,
  m.vb[variavel],K$7,
  m.vb[mes],$A47
)</f>
        <v>0</v>
      </c>
      <c r="L47" s="123">
        <f ca="1">SUMIFS(
  m.vb[valor],
  m.vb[nucleo],$B$1,
  m.vb[variavel],L$7,
  m.vb[mes],$A47
)</f>
        <v>0</v>
      </c>
      <c r="M47" s="124">
        <f ca="1">SUMIFS(
  m.vb[valor],
  m.vb[nucleo],$B$1,
  m.vb[variavel],M$7,
  m.vb[mes],$A47
)</f>
        <v>0</v>
      </c>
      <c r="N47" s="122">
        <f>COUNTIFS(
    tb_estq[empresa], N$6,
    tb_estq[Data da venda / reserva], "&gt;=" &amp; $A47,
    tb_estq[Data da venda / reserva], "&lt;"  &amp; EOMONTH($A47,0) + 1
)</f>
        <v>0</v>
      </c>
      <c r="O47" s="123">
        <f ca="1">SUMIFS(tb_rec_uni[2024-09-01],
INDIRECT("tb_rec_uni[natureza]"),"pro.soluto",
INDIRECT("tb_rec_uni[empresa]"),O$6)</f>
        <v>0</v>
      </c>
      <c r="P47" s="123">
        <f ca="1">SUMIFS(tb_rec_uni[2024-09-01],
INDIRECT("tb_rec_uni[natureza]"),"repasse.cef.obra",
INDIRECT("tb_rec_uni[empresa]"),P$6)</f>
        <v>0</v>
      </c>
      <c r="Q47" s="123">
        <f ca="1">SUMIFS(tb_rec_uni[2024-09-01],
INDIRECT("tb_rec_uni[natureza]"),"repasse.cef.terreno",
INDIRECT("tb_rec_uni[empresa]"),Q$6)</f>
        <v>0</v>
      </c>
      <c r="R47" s="123">
        <v>0</v>
      </c>
      <c r="S47" s="123">
        <f ca="1">SUMIFS(tb_rec_uni[2024-09-01],
INDIRECT("tb_rec_uni[natureza]"),"taxa.extra",
INDIRECT("tb_rec_uni[empresa]"),S$6)</f>
        <v>0</v>
      </c>
      <c r="T47" s="111"/>
      <c r="U47" s="123">
        <f ca="1">SUMIFS(
  m.vb[valor],
  m.vb[nucleo],$N$1,
  m.vb[variavel],U$7,
  m.vb[mes],$A47
)</f>
        <v>0</v>
      </c>
      <c r="V47" s="123">
        <f ca="1">SUMIFS(
  m.vb[valor],
  m.vb[nucleo],$N$1,
  m.vb[variavel],V$7,
  m.vb[mes],$A47
)</f>
        <v>0</v>
      </c>
      <c r="W47" s="123">
        <f ca="1">SUMIFS(
  m.vb[valor],
  m.vb[nucleo],$N$1,
  m.vb[variavel],W$7,
  m.vb[mes],$A47
)</f>
        <v>0</v>
      </c>
      <c r="X47" s="123">
        <f ca="1">SUMIFS(
  m.vb[valor],
  m.vb[nucleo],$N$1,
  m.vb[variavel],X$7,
  m.vb[mes],$A47
)</f>
        <v>0</v>
      </c>
      <c r="Y47" s="124">
        <f ca="1">SUMIFS(
  m.vb[valor],
  m.vb[nucleo],$N$1,
  m.vb[variavel],Y$7,
  m.vb[mes],$A47
)</f>
        <v>0</v>
      </c>
      <c r="Z47" s="122">
        <f>COUNTIFS(
    tb_estq[empresa], Z$6,
    tb_estq[Data da venda / reserva], "&gt;=" &amp; $A47,
    tb_estq[Data da venda / reserva], "&lt;"  &amp; EOMONTH($A47,0) + 1
)</f>
        <v>0</v>
      </c>
      <c r="AA47" s="123">
        <f ca="1">SUMIFS(tb_rec_uni[2024-09-01],
INDIRECT("tb_rec_uni[natureza]"),"pro.soluto",
INDIRECT("tb_rec_uni[empresa]"),AA$6)</f>
        <v>0</v>
      </c>
      <c r="AB47" s="123">
        <f ca="1">SUMIFS(tb_rec_uni[2024-09-01],
INDIRECT("tb_rec_uni[natureza]"),"parcela.fin.total.ik",
INDIRECT("tb_rec_uni[empresa]"),AB$6)</f>
        <v>0</v>
      </c>
      <c r="AC47" s="123">
        <f ca="1">SUMIFS(tb_rec_uni[2024-09-01],
INDIRECT("tb_rec_uni[natureza]"),"taxa.extra",
INDIRECT("tb_rec_uni[empresa]"),AC$6)</f>
        <v>0</v>
      </c>
      <c r="AD47" s="111"/>
      <c r="AE47" s="123">
        <f ca="1">SUMIFS(
  m.vb[valor],
  m.vb[nucleo],$Z$1,
  m.vb[variavel],AE$7,
  m.vb[mes],$A47
)</f>
        <v>0</v>
      </c>
      <c r="AF47" s="123">
        <f ca="1">SUMIFS(
  m.vb[valor],
  m.vb[nucleo],$Z$1,
  m.vb[variavel],AF$7,
  m.vb[mes],$A47
)</f>
        <v>0</v>
      </c>
      <c r="AG47" s="123">
        <f ca="1">SUMIFS(
  m.vb[valor],
  m.vb[nucleo],$Z$1,
  m.vb[variavel],AG$7,
  m.vb[mes],$A47
)</f>
        <v>0</v>
      </c>
      <c r="AH47" s="123">
        <f ca="1">SUMIFS(
  m.vb[valor],
  m.vb[nucleo],$Z$1,
  m.vb[variavel],AH$7,
  m.vb[mes],$A47
)</f>
        <v>0</v>
      </c>
      <c r="AI47" s="124">
        <f ca="1">SUMIFS(
  m.vb[valor],
  m.vb[nucleo],$Z$1,
  m.vb[variavel],AI$7,
  m.vb[mes],$A47
)</f>
        <v>0</v>
      </c>
      <c r="AJ47" s="122">
        <f>COUNTIFS(
    tb_estq[empresa], AJ$6,
    tb_estq[Data da venda / reserva], "&gt;=" &amp; $A47,
    tb_estq[Data da venda / reserva], "&lt;"  &amp; EOMONTH($A47,0) + 1
)</f>
        <v>0</v>
      </c>
      <c r="AK47" s="123">
        <f ca="1">SUMIFS(tb_rec_uni[2024-09-01],
INDIRECT("tb_rec_uni[natureza]"),"pro.soluto",
INDIRECT("tb_rec_uni[empresa]"),AK$6)</f>
        <v>0</v>
      </c>
      <c r="AL47" s="123">
        <f ca="1">SUMIFS(tb_rec_uni[2024-09-01],
INDIRECT("tb_rec_uni[natureza]"),"repasse.cef.obra",
INDIRECT("tb_rec_uni[empresa]"),AL$6)</f>
        <v>0</v>
      </c>
      <c r="AM47" s="123">
        <f ca="1">SUMIFS(tb_rec_uni[2024-09-01],
INDIRECT("tb_rec_uni[natureza]"),"repasse.cef.terreno",
INDIRECT("tb_rec_uni[empresa]"),AM$6)</f>
        <v>0</v>
      </c>
      <c r="AN47" s="123">
        <v>0</v>
      </c>
      <c r="AO47" s="123">
        <f ca="1">SUMIFS(tb_rec_uni[2024-09-01],
INDIRECT("tb_rec_uni[natureza]"),"taxa.extra",
INDIRECT("tb_rec_uni[empresa]"),AO$6)</f>
        <v>0</v>
      </c>
      <c r="AP47" s="111"/>
      <c r="AQ47" s="123">
        <f ca="1">SUMIFS(
  m.vb[valor],
  m.vb[nucleo],$AJ$1,
  m.vb[variavel],AQ$7,
  m.vb[mes],$A47
)</f>
        <v>0</v>
      </c>
      <c r="AR47" s="123">
        <f ca="1">SUMIFS(
  m.vb[valor],
  m.vb[nucleo],$AJ$1,
  m.vb[variavel],AR$7,
  m.vb[mes],$A47
)</f>
        <v>0</v>
      </c>
      <c r="AS47" s="123">
        <f ca="1">SUMIFS(
  m.vb[valor],
  m.vb[nucleo],$AJ$1,
  m.vb[variavel],AS$7,
  m.vb[mes],$A47
)</f>
        <v>0</v>
      </c>
      <c r="AT47" s="123">
        <f ca="1">SUMIFS(
  m.vb[valor],
  m.vb[nucleo],$AJ$1,
  m.vb[variavel],AT$7,
  m.vb[mes],$A47
)</f>
        <v>0</v>
      </c>
      <c r="AU47" s="124">
        <f ca="1">SUMIFS(
  m.vb[valor],
  m.vb[nucleo],$AJ$1,
  m.vb[variavel],AU$7,
  m.vb[mes],$A47
)</f>
        <v>0</v>
      </c>
      <c r="AV47" s="122">
        <f>COUNTIFS(
    tb_estq[empresa], AV$6,
    tb_estq[Data da venda / reserva], "&gt;=" &amp; $A47,
    tb_estq[Data da venda / reserva], "&lt;"  &amp; EOMONTH($A47,0) + 1
)</f>
        <v>0</v>
      </c>
      <c r="AW47" s="123">
        <f ca="1">SUMIFS(tb_rec_uni[2024-09-01],
INDIRECT("tb_rec_uni[natureza]"),"pro.soluto",
INDIRECT("tb_rec_uni[empresa]"),AW$6)</f>
        <v>0</v>
      </c>
      <c r="AX47" s="123">
        <f ca="1">SUMIFS(tb_rec_uni[2024-09-01],
INDIRECT("tb_rec_uni[natureza]"),"repasse.cef.obra",
INDIRECT("tb_rec_uni[empresa]"),AX$6)</f>
        <v>0</v>
      </c>
      <c r="AY47" s="123">
        <f ca="1">SUMIFS(tb_rec_uni[2024-09-01],
INDIRECT("tb_rec_uni[natureza]"),"repasse.cef.terreno",
INDIRECT("tb_rec_uni[empresa]"),AY$6)</f>
        <v>0</v>
      </c>
      <c r="AZ47" s="123">
        <v>0</v>
      </c>
      <c r="BA47" s="123">
        <f ca="1">SUMIFS(tb_rec_uni[2024-09-01],
INDIRECT("tb_rec_uni[natureza]"),"taxa.extra",
INDIRECT("tb_rec_uni[empresa]"),BA$6)</f>
        <v>0</v>
      </c>
      <c r="BB47" s="111"/>
      <c r="BC47" s="123">
        <f ca="1">SUMIFS(
  m.vb[valor],
  m.vb[nucleo],$AV$1,
  m.vb[variavel],BC$7,
  m.vb[mes],$A47
)</f>
        <v>0</v>
      </c>
      <c r="BD47" s="123">
        <f ca="1">SUMIFS(
  m.vb[valor],
  m.vb[nucleo],$AV$1,
  m.vb[variavel],BD$7,
  m.vb[mes],$A47
)</f>
        <v>0</v>
      </c>
      <c r="BE47" s="123">
        <f ca="1">SUMIFS(
  m.vb[valor],
  m.vb[nucleo],$AV$1,
  m.vb[variavel],BE$7,
  m.vb[mes],$A47
)</f>
        <v>0</v>
      </c>
      <c r="BF47" s="123">
        <f ca="1">SUMIFS(
  m.vb[valor],
  m.vb[nucleo],$AV$1,
  m.vb[variavel],BF$7,
  m.vb[mes],$A47
)</f>
        <v>0</v>
      </c>
      <c r="BG47" s="124">
        <f ca="1">SUMIFS(
  m.vb[valor],
  m.vb[nucleo],$AV$1,
  m.vb[variavel],BG$7,
  m.vb[mes],$A47
)</f>
        <v>0</v>
      </c>
      <c r="BH47" s="122">
        <f>COUNTIFS(
    tb_estq[empresa], BH$6,
    tb_estq[Data da venda / reserva], "&gt;=" &amp; $A47,
    tb_estq[Data da venda / reserva], "&lt;"  &amp; EOMONTH($A47,0) + 1
)</f>
        <v>0</v>
      </c>
      <c r="BI47" s="123">
        <f ca="1">SUMIFS(tb_rec_uni[2024-09-01],
INDIRECT("tb_rec_uni[natureza]"),"pro.soluto",
INDIRECT("tb_rec_uni[empresa]"),BI$6)</f>
        <v>0</v>
      </c>
      <c r="BJ47" s="111">
        <f ca="1">SUMIFS(tb_rec_uni[2024-09-01],
INDIRECT("tb_rec_uni[natureza]"),"parcela.fin.total.ik",
INDIRECT("tb_rec_uni[empresa]"),BJ$6)</f>
        <v>0</v>
      </c>
      <c r="BK47" s="123">
        <f ca="1">SUMIFS(tb_rec_uni[2024-09-01],
INDIRECT("tb_rec_uni[natureza]"),"taxa.extra",
INDIRECT("tb_rec_uni[empresa]"),BK$6)</f>
        <v>0</v>
      </c>
      <c r="BL47" s="111"/>
      <c r="BM47" s="123">
        <f ca="1">SUMIFS(
  m.vb[valor],
  m.vb[nucleo],$BH$1,
  m.vb[variavel],BM$7,
  m.vb[mes],$A47
)</f>
        <v>0</v>
      </c>
      <c r="BN47" s="123">
        <f ca="1">SUMIFS(
  m.vb[valor],
  m.vb[nucleo],$BH$1,
  m.vb[variavel],BN$7,
  m.vb[mes],$A47
)</f>
        <v>0</v>
      </c>
      <c r="BO47" s="123">
        <f ca="1">SUMIFS(
  m.vb[valor],
  m.vb[nucleo],$BH$1,
  m.vb[variavel],BO$7,
  m.vb[mes],$A47
)</f>
        <v>0</v>
      </c>
      <c r="BP47" s="123">
        <f ca="1">SUMIFS(
  m.vb[valor],
  m.vb[nucleo],$BH$1,
  m.vb[variavel],BP$7,
  m.vb[mes],$A47
)</f>
        <v>0</v>
      </c>
      <c r="BQ47" s="124">
        <f ca="1">SUMIFS(
  m.vb[valor],
  m.vb[nucleo],$BH$1,
  m.vb[variavel],BQ$7,
  m.vb[mes],$A47
)</f>
        <v>0</v>
      </c>
      <c r="BR47" s="122">
        <f>COUNTIFS(
    tb_estq[empresa], BR$6,
    tb_estq[Data da venda / reserva], "&gt;=" &amp; $A47,
    tb_estq[Data da venda / reserva], "&lt;"  &amp; EOMONTH($A47,0) + 1
)</f>
        <v>0</v>
      </c>
      <c r="BS47" s="123">
        <f ca="1">SUMIFS(tb_rec_uni[2024-09-01],
INDIRECT("tb_rec_uni[natureza]"),"pro.soluto",
INDIRECT("tb_rec_uni[empresa]"),BS$6)</f>
        <v>0</v>
      </c>
      <c r="BT47" s="123">
        <f ca="1">SUMIFS(tb_rec_uni[2024-09-01],
INDIRECT("tb_rec_uni[natureza]"),"parcela.fin.total.ik",
INDIRECT("tb_rec_uni[empresa]"),BT$6)</f>
        <v>0</v>
      </c>
      <c r="BU47" s="123">
        <f ca="1">SUMIFS(tb_rec_uni[2024-09-01],
INDIRECT("tb_rec_uni[natureza]"),"taxa.extra",
INDIRECT("tb_rec_uni[empresa]"),BU$6)</f>
        <v>0</v>
      </c>
      <c r="BV47" s="111"/>
      <c r="BW47" s="123">
        <f ca="1">SUMIFS(
  m.vb[valor],
  m.vb[nucleo],$BR$1,
  m.vb[variavel],BW$7,
  m.vb[mes],$A47
)</f>
        <v>0</v>
      </c>
      <c r="BX47" s="123">
        <f ca="1">SUMIFS(
  m.vb[valor],
  m.vb[nucleo],$BR$1,
  m.vb[variavel],BX$7,
  m.vb[mes],$A47
)</f>
        <v>0</v>
      </c>
      <c r="BY47" s="123">
        <f ca="1">SUMIFS(
  m.vb[valor],
  m.vb[nucleo],$BR$1,
  m.vb[variavel],BY$7,
  m.vb[mes],$A47
)</f>
        <v>0</v>
      </c>
      <c r="BZ47" s="123">
        <f ca="1">SUMIFS(
  m.vb[valor],
  m.vb[nucleo],$BR$1,
  m.vb[variavel],BZ$7,
  m.vb[mes],$A47
)</f>
        <v>0</v>
      </c>
      <c r="CA47" s="124">
        <f ca="1">SUMIFS(
  m.vb[valor],
  m.vb[nucleo],$BR$1,
  m.vb[variavel],CA$7,
  m.vb[mes],$A47
)</f>
        <v>0</v>
      </c>
      <c r="CB47" s="122">
        <f>COUNTIFS(
    tb_estq[empresa], CB$6,
    tb_estq[Data da venda / reserva], "&gt;=" &amp; $A47,
    tb_estq[Data da venda / reserva], "&lt;"  &amp; EOMONTH($A47,0) + 1
)</f>
        <v>0</v>
      </c>
      <c r="CC47" s="123">
        <f ca="1">SUMIFS(tb_rec_uni[2024-09-01],
INDIRECT("tb_rec_uni[natureza]"),"pro.soluto",
INDIRECT("tb_rec_uni[empresa]"),CC$6)</f>
        <v>0</v>
      </c>
      <c r="CD47" s="123">
        <f ca="1">SUMIFS(tb_rec_uni[2024-09-01],
INDIRECT("tb_rec_uni[natureza]"),"repasse.cef.obra",
INDIRECT("tb_rec_uni[empresa]"),CD$6)</f>
        <v>0</v>
      </c>
      <c r="CE47" s="123">
        <f ca="1">SUMIFS(tb_rec_uni[2024-09-01],
INDIRECT("tb_rec_uni[natureza]"),"repasse.cef.terreno",
INDIRECT("tb_rec_uni[empresa]"),CE$6)</f>
        <v>0</v>
      </c>
      <c r="CF47" s="123">
        <v>0</v>
      </c>
      <c r="CG47" s="123">
        <f ca="1">SUMIFS(tb_rec_uni[2024-09-01],
INDIRECT("tb_rec_uni[natureza]"),"taxa.extra",
INDIRECT("tb_rec_uni[empresa]"),CG$6)</f>
        <v>0</v>
      </c>
      <c r="CH47" s="111"/>
      <c r="CI47" s="123">
        <f ca="1">SUMIFS(
  m.vb[valor],
  m.vb[nucleo],$CB$1,
  m.vb[variavel],CI$7,
  m.vb[mes],$A47
)</f>
        <v>0</v>
      </c>
      <c r="CJ47" s="123">
        <f ca="1">SUMIFS(
  m.vb[valor],
  m.vb[nucleo],$CB$1,
  m.vb[variavel],CJ$7,
  m.vb[mes],$A47
)</f>
        <v>0</v>
      </c>
      <c r="CK47" s="123">
        <f ca="1">SUMIFS(
  m.vb[valor],
  m.vb[nucleo],$CB$1,
  m.vb[variavel],CK$7,
  m.vb[mes],$A47
)</f>
        <v>0</v>
      </c>
      <c r="CL47" s="123">
        <f ca="1">SUMIFS(
  m.vb[valor],
  m.vb[nucleo],$CB$1,
  m.vb[variavel],CL$7,
  m.vb[mes],$A47
)</f>
        <v>0</v>
      </c>
      <c r="CM47" s="124">
        <f ca="1">SUMIFS(
  m.vb[valor],
  m.vb[nucleo],$CB$1,
  m.vb[variavel],CM$7,
  m.vb[mes],$A47
)</f>
        <v>0</v>
      </c>
      <c r="CN47" s="122">
        <f>COUNTIFS(
    tb_estq[empresa], CN$6,
    tb_estq[Data da venda / reserva], "&gt;=" &amp; $A47,
    tb_estq[Data da venda / reserva], "&lt;"  &amp; EOMONTH($A47,0) + 1
)</f>
        <v>0</v>
      </c>
      <c r="CO47" s="123">
        <f ca="1">SUMIFS(tb_rec_uni[2024-09-01],
INDIRECT("tb_rec_uni[natureza]"),"pro.soluto",
INDIRECT("tb_rec_uni[empresa]"),CO$6)</f>
        <v>0</v>
      </c>
      <c r="CP47" s="123">
        <f ca="1">SUMIFS(tb_rec_uni[2024-09-01],
INDIRECT("tb_rec_uni[natureza]"),"repasse.cef.obra",
INDIRECT("tb_rec_uni[empresa]"),CP$6)</f>
        <v>0</v>
      </c>
      <c r="CQ47" s="123">
        <f ca="1">SUMIFS(tb_rec_uni[2024-09-01],
INDIRECT("tb_rec_uni[natureza]"),"repasse.cef.terreno",
INDIRECT("tb_rec_uni[empresa]"),CQ$6)</f>
        <v>0</v>
      </c>
      <c r="CR47" s="123">
        <v>0</v>
      </c>
      <c r="CS47" s="123">
        <f ca="1">SUMIFS(tb_rec_uni[2024-09-01],
INDIRECT("tb_rec_uni[natureza]"),"taxa.extra",
INDIRECT("tb_rec_uni[empresa]"),CS$6)</f>
        <v>0</v>
      </c>
      <c r="CT47" s="111"/>
      <c r="CU47" s="123">
        <f ca="1">SUMIFS(
  m.vb[valor],
  m.vb[nucleo],$CN$1,
  m.vb[variavel],CU$7,
  m.vb[mes],$A47
)</f>
        <v>0</v>
      </c>
      <c r="CV47" s="123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3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3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5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21">
        <v>45566</v>
      </c>
      <c r="B48" s="122">
        <f>COUNTIFS(
    tb_estq[empresa], B$6,
    tb_estq[Data da venda / reserva], "&gt;=" &amp; $A48,
    tb_estq[Data da venda / reserva], "&lt;"  &amp; EOMONTH($A48,0) + 1
)</f>
        <v>0</v>
      </c>
      <c r="C48" s="123">
        <f ca="1">SUMIFS(tb_rec_uni[2024-10-01],
INDIRECT("tb_rec_uni[natureza]"),"pro.soluto",
INDIRECT("tb_rec_uni[empresa]"),C$6)</f>
        <v>0</v>
      </c>
      <c r="D48" s="123">
        <f ca="1">SUMIFS(tb_rec_uni[2024-10-01],
INDIRECT("tb_rec_uni[natureza]"),"repasse.cef.obra",
INDIRECT("tb_rec_uni[empresa]"),D$6)</f>
        <v>0</v>
      </c>
      <c r="E48" s="123">
        <f ca="1">SUMIFS(tb_rec_uni[2024-10-01],
INDIRECT("tb_rec_uni[natureza]"),"repasse.cef.terreno",
INDIRECT("tb_rec_uni[empresa]"),E$6)</f>
        <v>0</v>
      </c>
      <c r="F48" s="123">
        <v>473587.72</v>
      </c>
      <c r="G48" s="123">
        <f ca="1">SUMIFS(tb_rec_uni[2024-10-01],
INDIRECT("tb_rec_uni[natureza]"),"taxa.extra",
INDIRECT("tb_rec_uni[empresa]"),G$6)</f>
        <v>0</v>
      </c>
      <c r="H48" s="111"/>
      <c r="I48" s="123">
        <f ca="1">SUMIFS(
  m.vb[valor],
  m.vb[nucleo],$B$1,
  m.vb[variavel],I$7,
  m.vb[mes],$A48
)</f>
        <v>0</v>
      </c>
      <c r="J48" s="123">
        <f ca="1">SUMIFS(
  m.vb[valor],
  m.vb[nucleo],$B$1,
  m.vb[variavel],J$7,
  m.vb[mes],$A48
)</f>
        <v>0</v>
      </c>
      <c r="K48" s="123">
        <f ca="1">SUMIFS(
  m.vb[valor],
  m.vb[nucleo],$B$1,
  m.vb[variavel],K$7,
  m.vb[mes],$A48
)</f>
        <v>0</v>
      </c>
      <c r="L48" s="123">
        <f ca="1">SUMIFS(
  m.vb[valor],
  m.vb[nucleo],$B$1,
  m.vb[variavel],L$7,
  m.vb[mes],$A48
)</f>
        <v>0</v>
      </c>
      <c r="M48" s="124">
        <f ca="1">SUMIFS(
  m.vb[valor],
  m.vb[nucleo],$B$1,
  m.vb[variavel],M$7,
  m.vb[mes],$A48
)</f>
        <v>0</v>
      </c>
      <c r="N48" s="122">
        <f>COUNTIFS(
    tb_estq[empresa], N$6,
    tb_estq[Data da venda / reserva], "&gt;=" &amp; $A48,
    tb_estq[Data da venda / reserva], "&lt;"  &amp; EOMONTH($A48,0) + 1
)</f>
        <v>0</v>
      </c>
      <c r="O48" s="123">
        <f ca="1">SUMIFS(tb_rec_uni[2024-10-01],
INDIRECT("tb_rec_uni[natureza]"),"pro.soluto",
INDIRECT("tb_rec_uni[empresa]"),O$6)</f>
        <v>0</v>
      </c>
      <c r="P48" s="123">
        <f ca="1">SUMIFS(tb_rec_uni[2024-10-01],
INDIRECT("tb_rec_uni[natureza]"),"repasse.cef.obra",
INDIRECT("tb_rec_uni[empresa]"),P$6)</f>
        <v>0</v>
      </c>
      <c r="Q48" s="123">
        <f ca="1">SUMIFS(tb_rec_uni[2024-10-01],
INDIRECT("tb_rec_uni[natureza]"),"repasse.cef.terreno",
INDIRECT("tb_rec_uni[empresa]"),Q$6)</f>
        <v>0</v>
      </c>
      <c r="R48" s="123">
        <v>0</v>
      </c>
      <c r="S48" s="123">
        <f ca="1">SUMIFS(tb_rec_uni[2024-10-01],
INDIRECT("tb_rec_uni[natureza]"),"taxa.extra",
INDIRECT("tb_rec_uni[empresa]"),S$6)</f>
        <v>0</v>
      </c>
      <c r="T48" s="111"/>
      <c r="U48" s="123">
        <f ca="1">SUMIFS(
  m.vb[valor],
  m.vb[nucleo],$N$1,
  m.vb[variavel],U$7,
  m.vb[mes],$A48
)</f>
        <v>0</v>
      </c>
      <c r="V48" s="123">
        <f ca="1">SUMIFS(
  m.vb[valor],
  m.vb[nucleo],$N$1,
  m.vb[variavel],V$7,
  m.vb[mes],$A48
)</f>
        <v>0</v>
      </c>
      <c r="W48" s="123">
        <f ca="1">SUMIFS(
  m.vb[valor],
  m.vb[nucleo],$N$1,
  m.vb[variavel],W$7,
  m.vb[mes],$A48
)</f>
        <v>0</v>
      </c>
      <c r="X48" s="123">
        <f ca="1">SUMIFS(
  m.vb[valor],
  m.vb[nucleo],$N$1,
  m.vb[variavel],X$7,
  m.vb[mes],$A48
)</f>
        <v>0</v>
      </c>
      <c r="Y48" s="124">
        <f ca="1">SUMIFS(
  m.vb[valor],
  m.vb[nucleo],$N$1,
  m.vb[variavel],Y$7,
  m.vb[mes],$A48
)</f>
        <v>0</v>
      </c>
      <c r="Z48" s="122">
        <f>COUNTIFS(
    tb_estq[empresa], Z$6,
    tb_estq[Data da venda / reserva], "&gt;=" &amp; $A48,
    tb_estq[Data da venda / reserva], "&lt;"  &amp; EOMONTH($A48,0) + 1
)</f>
        <v>0</v>
      </c>
      <c r="AA48" s="123">
        <f ca="1">SUMIFS(tb_rec_uni[2024-10-01],
INDIRECT("tb_rec_uni[natureza]"),"pro.soluto",
INDIRECT("tb_rec_uni[empresa]"),AA$6)</f>
        <v>0</v>
      </c>
      <c r="AB48" s="123">
        <f ca="1">SUMIFS(tb_rec_uni[2024-10-01],
INDIRECT("tb_rec_uni[natureza]"),"parcela.fin.total.ik",
INDIRECT("tb_rec_uni[empresa]"),AB$6)</f>
        <v>0</v>
      </c>
      <c r="AC48" s="123">
        <f ca="1">SUMIFS(tb_rec_uni[2024-10-01],
INDIRECT("tb_rec_uni[natureza]"),"taxa.extra",
INDIRECT("tb_rec_uni[empresa]"),AC$6)</f>
        <v>0</v>
      </c>
      <c r="AD48" s="111"/>
      <c r="AE48" s="123">
        <f ca="1">SUMIFS(
  m.vb[valor],
  m.vb[nucleo],$Z$1,
  m.vb[variavel],AE$7,
  m.vb[mes],$A48
)</f>
        <v>0</v>
      </c>
      <c r="AF48" s="123">
        <f ca="1">SUMIFS(
  m.vb[valor],
  m.vb[nucleo],$Z$1,
  m.vb[variavel],AF$7,
  m.vb[mes],$A48
)</f>
        <v>0</v>
      </c>
      <c r="AG48" s="123">
        <f ca="1">SUMIFS(
  m.vb[valor],
  m.vb[nucleo],$Z$1,
  m.vb[variavel],AG$7,
  m.vb[mes],$A48
)</f>
        <v>0</v>
      </c>
      <c r="AH48" s="123">
        <f ca="1">SUMIFS(
  m.vb[valor],
  m.vb[nucleo],$Z$1,
  m.vb[variavel],AH$7,
  m.vb[mes],$A48
)</f>
        <v>0</v>
      </c>
      <c r="AI48" s="124">
        <f ca="1">SUMIFS(
  m.vb[valor],
  m.vb[nucleo],$Z$1,
  m.vb[variavel],AI$7,
  m.vb[mes],$A48
)</f>
        <v>0</v>
      </c>
      <c r="AJ48" s="122">
        <f>COUNTIFS(
    tb_estq[empresa], AJ$6,
    tb_estq[Data da venda / reserva], "&gt;=" &amp; $A48,
    tb_estq[Data da venda / reserva], "&lt;"  &amp; EOMONTH($A48,0) + 1
)</f>
        <v>0</v>
      </c>
      <c r="AK48" s="123">
        <f ca="1">SUMIFS(tb_rec_uni[2024-10-01],
INDIRECT("tb_rec_uni[natureza]"),"pro.soluto",
INDIRECT("tb_rec_uni[empresa]"),AK$6)</f>
        <v>0</v>
      </c>
      <c r="AL48" s="123">
        <f ca="1">SUMIFS(tb_rec_uni[2024-10-01],
INDIRECT("tb_rec_uni[natureza]"),"repasse.cef.obra",
INDIRECT("tb_rec_uni[empresa]"),AL$6)</f>
        <v>0</v>
      </c>
      <c r="AM48" s="123">
        <f ca="1">SUMIFS(tb_rec_uni[2024-10-01],
INDIRECT("tb_rec_uni[natureza]"),"repasse.cef.terreno",
INDIRECT("tb_rec_uni[empresa]"),AM$6)</f>
        <v>0</v>
      </c>
      <c r="AN48" s="123">
        <v>0</v>
      </c>
      <c r="AO48" s="123">
        <f ca="1">SUMIFS(tb_rec_uni[2024-10-01],
INDIRECT("tb_rec_uni[natureza]"),"taxa.extra",
INDIRECT("tb_rec_uni[empresa]"),AO$6)</f>
        <v>0</v>
      </c>
      <c r="AP48" s="111"/>
      <c r="AQ48" s="123">
        <f ca="1">SUMIFS(
  m.vb[valor],
  m.vb[nucleo],$AJ$1,
  m.vb[variavel],AQ$7,
  m.vb[mes],$A48
)</f>
        <v>0</v>
      </c>
      <c r="AR48" s="123">
        <f ca="1">SUMIFS(
  m.vb[valor],
  m.vb[nucleo],$AJ$1,
  m.vb[variavel],AR$7,
  m.vb[mes],$A48
)</f>
        <v>0</v>
      </c>
      <c r="AS48" s="123">
        <f ca="1">SUMIFS(
  m.vb[valor],
  m.vb[nucleo],$AJ$1,
  m.vb[variavel],AS$7,
  m.vb[mes],$A48
)</f>
        <v>0</v>
      </c>
      <c r="AT48" s="123">
        <f ca="1">SUMIFS(
  m.vb[valor],
  m.vb[nucleo],$AJ$1,
  m.vb[variavel],AT$7,
  m.vb[mes],$A48
)</f>
        <v>0</v>
      </c>
      <c r="AU48" s="124">
        <f ca="1">SUMIFS(
  m.vb[valor],
  m.vb[nucleo],$AJ$1,
  m.vb[variavel],AU$7,
  m.vb[mes],$A48
)</f>
        <v>0</v>
      </c>
      <c r="AV48" s="122">
        <f>COUNTIFS(
    tb_estq[empresa], AV$6,
    tb_estq[Data da venda / reserva], "&gt;=" &amp; $A48,
    tb_estq[Data da venda / reserva], "&lt;"  &amp; EOMONTH($A48,0) + 1
)</f>
        <v>0</v>
      </c>
      <c r="AW48" s="123">
        <f ca="1">SUMIFS(tb_rec_uni[2024-10-01],
INDIRECT("tb_rec_uni[natureza]"),"pro.soluto",
INDIRECT("tb_rec_uni[empresa]"),AW$6)</f>
        <v>0</v>
      </c>
      <c r="AX48" s="123">
        <f ca="1">SUMIFS(tb_rec_uni[2024-10-01],
INDIRECT("tb_rec_uni[natureza]"),"repasse.cef.obra",
INDIRECT("tb_rec_uni[empresa]"),AX$6)</f>
        <v>0</v>
      </c>
      <c r="AY48" s="123">
        <f ca="1">SUMIFS(tb_rec_uni[2024-10-01],
INDIRECT("tb_rec_uni[natureza]"),"repasse.cef.terreno",
INDIRECT("tb_rec_uni[empresa]"),AY$6)</f>
        <v>0</v>
      </c>
      <c r="AZ48" s="123">
        <v>0</v>
      </c>
      <c r="BA48" s="123">
        <f ca="1">SUMIFS(tb_rec_uni[2024-10-01],
INDIRECT("tb_rec_uni[natureza]"),"taxa.extra",
INDIRECT("tb_rec_uni[empresa]"),BA$6)</f>
        <v>0</v>
      </c>
      <c r="BB48" s="111"/>
      <c r="BC48" s="123">
        <f ca="1">SUMIFS(
  m.vb[valor],
  m.vb[nucleo],$AV$1,
  m.vb[variavel],BC$7,
  m.vb[mes],$A48
)</f>
        <v>0</v>
      </c>
      <c r="BD48" s="123">
        <f ca="1">SUMIFS(
  m.vb[valor],
  m.vb[nucleo],$AV$1,
  m.vb[variavel],BD$7,
  m.vb[mes],$A48
)</f>
        <v>0</v>
      </c>
      <c r="BE48" s="123">
        <f ca="1">SUMIFS(
  m.vb[valor],
  m.vb[nucleo],$AV$1,
  m.vb[variavel],BE$7,
  m.vb[mes],$A48
)</f>
        <v>0</v>
      </c>
      <c r="BF48" s="123">
        <f ca="1">SUMIFS(
  m.vb[valor],
  m.vb[nucleo],$AV$1,
  m.vb[variavel],BF$7,
  m.vb[mes],$A48
)</f>
        <v>0</v>
      </c>
      <c r="BG48" s="124">
        <f ca="1">SUMIFS(
  m.vb[valor],
  m.vb[nucleo],$AV$1,
  m.vb[variavel],BG$7,
  m.vb[mes],$A48
)</f>
        <v>0</v>
      </c>
      <c r="BH48" s="122">
        <f>COUNTIFS(
    tb_estq[empresa], BH$6,
    tb_estq[Data da venda / reserva], "&gt;=" &amp; $A48,
    tb_estq[Data da venda / reserva], "&lt;"  &amp; EOMONTH($A48,0) + 1
)</f>
        <v>0</v>
      </c>
      <c r="BI48" s="123">
        <f ca="1">SUMIFS(tb_rec_uni[2024-10-01],
INDIRECT("tb_rec_uni[natureza]"),"pro.soluto",
INDIRECT("tb_rec_uni[empresa]"),BI$6)</f>
        <v>0</v>
      </c>
      <c r="BJ48" s="111">
        <f>0.87*94736</f>
        <v>82420.319999999992</v>
      </c>
      <c r="BK48" s="123">
        <f ca="1">SUMIFS(tb_rec_uni[2024-10-01],
INDIRECT("tb_rec_uni[natureza]"),"taxa.extra",
INDIRECT("tb_rec_uni[empresa]"),BK$6)</f>
        <v>0</v>
      </c>
      <c r="BL48" s="111"/>
      <c r="BM48" s="123">
        <f ca="1">SUMIFS(
  m.vb[valor],
  m.vb[nucleo],$BH$1,
  m.vb[variavel],BM$7,
  m.vb[mes],$A48
)</f>
        <v>0</v>
      </c>
      <c r="BN48" s="123">
        <f ca="1">SUMIFS(
  m.vb[valor],
  m.vb[nucleo],$BH$1,
  m.vb[variavel],BN$7,
  m.vb[mes],$A48
)</f>
        <v>0</v>
      </c>
      <c r="BO48" s="123">
        <f ca="1">SUMIFS(
  m.vb[valor],
  m.vb[nucleo],$BH$1,
  m.vb[variavel],BO$7,
  m.vb[mes],$A48
)</f>
        <v>0</v>
      </c>
      <c r="BP48" s="123">
        <f ca="1">SUMIFS(
  m.vb[valor],
  m.vb[nucleo],$BH$1,
  m.vb[variavel],BP$7,
  m.vb[mes],$A48
)</f>
        <v>0</v>
      </c>
      <c r="BQ48" s="124">
        <f ca="1">SUMIFS(
  m.vb[valor],
  m.vb[nucleo],$BH$1,
  m.vb[variavel],BQ$7,
  m.vb[mes],$A48
)</f>
        <v>0</v>
      </c>
      <c r="BR48" s="122">
        <f>COUNTIFS(
    tb_estq[empresa], BR$6,
    tb_estq[Data da venda / reserva], "&gt;=" &amp; $A48,
    tb_estq[Data da venda / reserva], "&lt;"  &amp; EOMONTH($A48,0) + 1
)</f>
        <v>0</v>
      </c>
      <c r="BS48" s="123">
        <f ca="1">SUMIFS(tb_rec_uni[2024-10-01],
INDIRECT("tb_rec_uni[natureza]"),"pro.soluto",
INDIRECT("tb_rec_uni[empresa]"),BS$6)</f>
        <v>0</v>
      </c>
      <c r="BT48" s="123">
        <f ca="1">SUMIFS(tb_rec_uni[2024-10-01],
INDIRECT("tb_rec_uni[natureza]"),"parcela.fin.total.ik",
INDIRECT("tb_rec_uni[empresa]"),BT$6)</f>
        <v>0</v>
      </c>
      <c r="BU48" s="123">
        <f ca="1">SUMIFS(tb_rec_uni[2024-10-01],
INDIRECT("tb_rec_uni[natureza]"),"taxa.extra",
INDIRECT("tb_rec_uni[empresa]"),BU$6)</f>
        <v>0</v>
      </c>
      <c r="BV48" s="111"/>
      <c r="BW48" s="123">
        <f ca="1">SUMIFS(
  m.vb[valor],
  m.vb[nucleo],$BR$1,
  m.vb[variavel],BW$7,
  m.vb[mes],$A48
)</f>
        <v>0</v>
      </c>
      <c r="BX48" s="123">
        <f ca="1">SUMIFS(
  m.vb[valor],
  m.vb[nucleo],$BR$1,
  m.vb[variavel],BX$7,
  m.vb[mes],$A48
)</f>
        <v>0</v>
      </c>
      <c r="BY48" s="123">
        <f ca="1">SUMIFS(
  m.vb[valor],
  m.vb[nucleo],$BR$1,
  m.vb[variavel],BY$7,
  m.vb[mes],$A48
)</f>
        <v>0</v>
      </c>
      <c r="BZ48" s="123">
        <f ca="1">SUMIFS(
  m.vb[valor],
  m.vb[nucleo],$BR$1,
  m.vb[variavel],BZ$7,
  m.vb[mes],$A48
)</f>
        <v>0</v>
      </c>
      <c r="CA48" s="124">
        <f ca="1">SUMIFS(
  m.vb[valor],
  m.vb[nucleo],$BR$1,
  m.vb[variavel],CA$7,
  m.vb[mes],$A48
)</f>
        <v>0</v>
      </c>
      <c r="CB48" s="122">
        <f>COUNTIFS(
    tb_estq[empresa], CB$6,
    tb_estq[Data da venda / reserva], "&gt;=" &amp; $A48,
    tb_estq[Data da venda / reserva], "&lt;"  &amp; EOMONTH($A48,0) + 1
)</f>
        <v>0</v>
      </c>
      <c r="CC48" s="123">
        <f ca="1">SUMIFS(tb_rec_uni[2024-10-01],
INDIRECT("tb_rec_uni[natureza]"),"pro.soluto",
INDIRECT("tb_rec_uni[empresa]"),CC$6)</f>
        <v>0</v>
      </c>
      <c r="CD48" s="123">
        <f ca="1">SUMIFS(tb_rec_uni[2024-10-01],
INDIRECT("tb_rec_uni[natureza]"),"repasse.cef.obra",
INDIRECT("tb_rec_uni[empresa]"),CD$6)</f>
        <v>0</v>
      </c>
      <c r="CE48" s="123">
        <f ca="1">SUMIFS(tb_rec_uni[2024-10-01],
INDIRECT("tb_rec_uni[natureza]"),"repasse.cef.terreno",
INDIRECT("tb_rec_uni[empresa]"),CE$6)</f>
        <v>0</v>
      </c>
      <c r="CF48" s="123">
        <v>0</v>
      </c>
      <c r="CG48" s="123">
        <f ca="1">SUMIFS(tb_rec_uni[2024-10-01],
INDIRECT("tb_rec_uni[natureza]"),"taxa.extra",
INDIRECT("tb_rec_uni[empresa]"),CG$6)</f>
        <v>0</v>
      </c>
      <c r="CH48" s="111"/>
      <c r="CI48" s="123">
        <f ca="1">SUMIFS(
  m.vb[valor],
  m.vb[nucleo],$CB$1,
  m.vb[variavel],CI$7,
  m.vb[mes],$A48
)</f>
        <v>0</v>
      </c>
      <c r="CJ48" s="123">
        <f ca="1">SUMIFS(
  m.vb[valor],
  m.vb[nucleo],$CB$1,
  m.vb[variavel],CJ$7,
  m.vb[mes],$A48
)</f>
        <v>0</v>
      </c>
      <c r="CK48" s="123">
        <f ca="1">SUMIFS(
  m.vb[valor],
  m.vb[nucleo],$CB$1,
  m.vb[variavel],CK$7,
  m.vb[mes],$A48
)</f>
        <v>0</v>
      </c>
      <c r="CL48" s="123">
        <f ca="1">SUMIFS(
  m.vb[valor],
  m.vb[nucleo],$CB$1,
  m.vb[variavel],CL$7,
  m.vb[mes],$A48
)</f>
        <v>0</v>
      </c>
      <c r="CM48" s="124">
        <f ca="1">SUMIFS(
  m.vb[valor],
  m.vb[nucleo],$CB$1,
  m.vb[variavel],CM$7,
  m.vb[mes],$A48
)</f>
        <v>0</v>
      </c>
      <c r="CN48" s="122">
        <f>COUNTIFS(
    tb_estq[empresa], CN$6,
    tb_estq[Data da venda / reserva], "&gt;=" &amp; $A48,
    tb_estq[Data da venda / reserva], "&lt;"  &amp; EOMONTH($A48,0) + 1
)</f>
        <v>0</v>
      </c>
      <c r="CO48" s="123">
        <f ca="1">SUMIFS(tb_rec_uni[2024-10-01],
INDIRECT("tb_rec_uni[natureza]"),"pro.soluto",
INDIRECT("tb_rec_uni[empresa]"),CO$6)</f>
        <v>0</v>
      </c>
      <c r="CP48" s="123">
        <f ca="1">SUMIFS(tb_rec_uni[2024-10-01],
INDIRECT("tb_rec_uni[natureza]"),"repasse.cef.obra",
INDIRECT("tb_rec_uni[empresa]"),CP$6)</f>
        <v>0</v>
      </c>
      <c r="CQ48" s="123">
        <f ca="1">SUMIFS(tb_rec_uni[2024-10-01],
INDIRECT("tb_rec_uni[natureza]"),"repasse.cef.terreno",
INDIRECT("tb_rec_uni[empresa]"),CQ$6)</f>
        <v>0</v>
      </c>
      <c r="CR48" s="123">
        <v>0</v>
      </c>
      <c r="CS48" s="123">
        <f ca="1">SUMIFS(tb_rec_uni[2024-10-01],
INDIRECT("tb_rec_uni[natureza]"),"taxa.extra",
INDIRECT("tb_rec_uni[empresa]"),CS$6)</f>
        <v>0</v>
      </c>
      <c r="CT48" s="111"/>
      <c r="CU48" s="123">
        <f ca="1">SUMIFS(
  m.vb[valor],
  m.vb[nucleo],$CN$1,
  m.vb[variavel],CU$7,
  m.vb[mes],$A48
)</f>
        <v>0</v>
      </c>
      <c r="CV48" s="123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3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3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5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21">
        <v>45597</v>
      </c>
      <c r="B49" s="122">
        <f>COUNTIFS(
    tb_estq[empresa], B$6,
    tb_estq[Data da venda / reserva], "&gt;=" &amp; $A49,
    tb_estq[Data da venda / reserva], "&lt;"  &amp; EOMONTH($A49,0) + 1
)</f>
        <v>0</v>
      </c>
      <c r="C49" s="123">
        <f ca="1">SUMIFS(tb_rec_uni[2024-11-01],
INDIRECT("tb_rec_uni[natureza]"),"pro.soluto",
INDIRECT("tb_rec_uni[empresa]"),C$6)</f>
        <v>0</v>
      </c>
      <c r="D49" s="123">
        <f ca="1">SUMIFS(tb_rec_uni[2024-11-01],
INDIRECT("tb_rec_uni[natureza]"),"repasse.cef.obra",
INDIRECT("tb_rec_uni[empresa]"),D$6)</f>
        <v>0</v>
      </c>
      <c r="E49" s="123">
        <f ca="1">SUMIFS(tb_rec_uni[2024-11-01],
INDIRECT("tb_rec_uni[natureza]"),"repasse.cef.terreno",
INDIRECT("tb_rec_uni[empresa]"),E$6)</f>
        <v>0</v>
      </c>
      <c r="F49" s="123">
        <v>0</v>
      </c>
      <c r="G49" s="123">
        <f ca="1">SUMIFS(tb_rec_uni[2024-11-01],
INDIRECT("tb_rec_uni[natureza]"),"taxa.extra",
INDIRECT("tb_rec_uni[empresa]"),G$6)</f>
        <v>0</v>
      </c>
      <c r="H49" s="111"/>
      <c r="I49" s="123">
        <f ca="1">SUMIFS(
  m.vb[valor],
  m.vb[nucleo],$B$1,
  m.vb[variavel],I$7,
  m.vb[mes],$A49
)</f>
        <v>0</v>
      </c>
      <c r="J49" s="123">
        <f ca="1">SUMIFS(
  m.vb[valor],
  m.vb[nucleo],$B$1,
  m.vb[variavel],J$7,
  m.vb[mes],$A49
)</f>
        <v>0</v>
      </c>
      <c r="K49" s="123">
        <f ca="1">SUMIFS(
  m.vb[valor],
  m.vb[nucleo],$B$1,
  m.vb[variavel],K$7,
  m.vb[mes],$A49
)</f>
        <v>0</v>
      </c>
      <c r="L49" s="123">
        <f ca="1">SUMIFS(
  m.vb[valor],
  m.vb[nucleo],$B$1,
  m.vb[variavel],L$7,
  m.vb[mes],$A49
)</f>
        <v>0</v>
      </c>
      <c r="M49" s="124">
        <f ca="1">SUMIFS(
  m.vb[valor],
  m.vb[nucleo],$B$1,
  m.vb[variavel],M$7,
  m.vb[mes],$A49
)</f>
        <v>0</v>
      </c>
      <c r="N49" s="122">
        <f>COUNTIFS(
    tb_estq[empresa], N$6,
    tb_estq[Data da venda / reserva], "&gt;=" &amp; $A49,
    tb_estq[Data da venda / reserva], "&lt;"  &amp; EOMONTH($A49,0) + 1
)</f>
        <v>0</v>
      </c>
      <c r="O49" s="123">
        <f ca="1">SUMIFS(tb_rec_uni[2024-11-01],
INDIRECT("tb_rec_uni[natureza]"),"pro.soluto",
INDIRECT("tb_rec_uni[empresa]"),O$6)</f>
        <v>0</v>
      </c>
      <c r="P49" s="123">
        <f ca="1">SUMIFS(tb_rec_uni[2024-11-01],
INDIRECT("tb_rec_uni[natureza]"),"repasse.cef.obra",
INDIRECT("tb_rec_uni[empresa]"),P$6)</f>
        <v>0</v>
      </c>
      <c r="Q49" s="123">
        <f ca="1">SUMIFS(tb_rec_uni[2024-11-01],
INDIRECT("tb_rec_uni[natureza]"),"repasse.cef.terreno",
INDIRECT("tb_rec_uni[empresa]"),Q$6)</f>
        <v>0</v>
      </c>
      <c r="R49" s="123">
        <v>0</v>
      </c>
      <c r="S49" s="123">
        <f ca="1">SUMIFS(tb_rec_uni[2024-11-01],
INDIRECT("tb_rec_uni[natureza]"),"taxa.extra",
INDIRECT("tb_rec_uni[empresa]"),S$6)</f>
        <v>0</v>
      </c>
      <c r="T49" s="111"/>
      <c r="U49" s="123">
        <f ca="1">SUMIFS(
  m.vb[valor],
  m.vb[nucleo],$N$1,
  m.vb[variavel],U$7,
  m.vb[mes],$A49
)</f>
        <v>0</v>
      </c>
      <c r="V49" s="123">
        <f ca="1">SUMIFS(
  m.vb[valor],
  m.vb[nucleo],$N$1,
  m.vb[variavel],V$7,
  m.vb[mes],$A49
)</f>
        <v>0</v>
      </c>
      <c r="W49" s="123">
        <f ca="1">SUMIFS(
  m.vb[valor],
  m.vb[nucleo],$N$1,
  m.vb[variavel],W$7,
  m.vb[mes],$A49
)</f>
        <v>0</v>
      </c>
      <c r="X49" s="123">
        <f ca="1">SUMIFS(
  m.vb[valor],
  m.vb[nucleo],$N$1,
  m.vb[variavel],X$7,
  m.vb[mes],$A49
)</f>
        <v>0</v>
      </c>
      <c r="Y49" s="124">
        <f ca="1">SUMIFS(
  m.vb[valor],
  m.vb[nucleo],$N$1,
  m.vb[variavel],Y$7,
  m.vb[mes],$A49
)</f>
        <v>0</v>
      </c>
      <c r="Z49" s="122">
        <f>COUNTIFS(
    tb_estq[empresa], Z$6,
    tb_estq[Data da venda / reserva], "&gt;=" &amp; $A49,
    tb_estq[Data da venda / reserva], "&lt;"  &amp; EOMONTH($A49,0) + 1
)</f>
        <v>0</v>
      </c>
      <c r="AA49" s="123">
        <f ca="1">SUMIFS(tb_rec_uni[2024-11-01],
INDIRECT("tb_rec_uni[natureza]"),"pro.soluto",
INDIRECT("tb_rec_uni[empresa]"),AA$6)</f>
        <v>0</v>
      </c>
      <c r="AB49" s="123">
        <f ca="1">SUMIFS(tb_rec_uni[2024-11-01],
INDIRECT("tb_rec_uni[natureza]"),"parcela.fin.total.ik",
INDIRECT("tb_rec_uni[empresa]"),AB$6)</f>
        <v>0</v>
      </c>
      <c r="AC49" s="123">
        <f ca="1">SUMIFS(tb_rec_uni[2024-11-01],
INDIRECT("tb_rec_uni[natureza]"),"taxa.extra",
INDIRECT("tb_rec_uni[empresa]"),AC$6)</f>
        <v>0</v>
      </c>
      <c r="AD49" s="111"/>
      <c r="AE49" s="123">
        <f ca="1">SUMIFS(
  m.vb[valor],
  m.vb[nucleo],$Z$1,
  m.vb[variavel],AE$7,
  m.vb[mes],$A49
)</f>
        <v>0</v>
      </c>
      <c r="AF49" s="123">
        <f ca="1">SUMIFS(
  m.vb[valor],
  m.vb[nucleo],$Z$1,
  m.vb[variavel],AF$7,
  m.vb[mes],$A49
)</f>
        <v>0</v>
      </c>
      <c r="AG49" s="123">
        <f ca="1">SUMIFS(
  m.vb[valor],
  m.vb[nucleo],$Z$1,
  m.vb[variavel],AG$7,
  m.vb[mes],$A49
)</f>
        <v>0</v>
      </c>
      <c r="AH49" s="123">
        <f ca="1">SUMIFS(
  m.vb[valor],
  m.vb[nucleo],$Z$1,
  m.vb[variavel],AH$7,
  m.vb[mes],$A49
)</f>
        <v>0</v>
      </c>
      <c r="AI49" s="124">
        <f ca="1">SUMIFS(
  m.vb[valor],
  m.vb[nucleo],$Z$1,
  m.vb[variavel],AI$7,
  m.vb[mes],$A49
)</f>
        <v>0</v>
      </c>
      <c r="AJ49" s="122">
        <f>COUNTIFS(
    tb_estq[empresa], AJ$6,
    tb_estq[Data da venda / reserva], "&gt;=" &amp; $A49,
    tb_estq[Data da venda / reserva], "&lt;"  &amp; EOMONTH($A49,0) + 1
)</f>
        <v>0</v>
      </c>
      <c r="AK49" s="123">
        <f ca="1">SUMIFS(tb_rec_uni[2024-11-01],
INDIRECT("tb_rec_uni[natureza]"),"pro.soluto",
INDIRECT("tb_rec_uni[empresa]"),AK$6)</f>
        <v>0</v>
      </c>
      <c r="AL49" s="123">
        <f ca="1">SUMIFS(tb_rec_uni[2024-11-01],
INDIRECT("tb_rec_uni[natureza]"),"repasse.cef.obra",
INDIRECT("tb_rec_uni[empresa]"),AL$6)</f>
        <v>0</v>
      </c>
      <c r="AM49" s="123">
        <f ca="1">SUMIFS(tb_rec_uni[2024-11-01],
INDIRECT("tb_rec_uni[natureza]"),"repasse.cef.terreno",
INDIRECT("tb_rec_uni[empresa]"),AM$6)</f>
        <v>0</v>
      </c>
      <c r="AN49" s="123">
        <v>0</v>
      </c>
      <c r="AO49" s="123">
        <f ca="1">SUMIFS(tb_rec_uni[2024-11-01],
INDIRECT("tb_rec_uni[natureza]"),"taxa.extra",
INDIRECT("tb_rec_uni[empresa]"),AO$6)</f>
        <v>0</v>
      </c>
      <c r="AP49" s="111"/>
      <c r="AQ49" s="123">
        <f ca="1">SUMIFS(
  m.vb[valor],
  m.vb[nucleo],$AJ$1,
  m.vb[variavel],AQ$7,
  m.vb[mes],$A49
)</f>
        <v>0</v>
      </c>
      <c r="AR49" s="123">
        <f ca="1">SUMIFS(
  m.vb[valor],
  m.vb[nucleo],$AJ$1,
  m.vb[variavel],AR$7,
  m.vb[mes],$A49
)</f>
        <v>0</v>
      </c>
      <c r="AS49" s="123">
        <f ca="1">SUMIFS(
  m.vb[valor],
  m.vb[nucleo],$AJ$1,
  m.vb[variavel],AS$7,
  m.vb[mes],$A49
)</f>
        <v>0</v>
      </c>
      <c r="AT49" s="123">
        <f ca="1">SUMIFS(
  m.vb[valor],
  m.vb[nucleo],$AJ$1,
  m.vb[variavel],AT$7,
  m.vb[mes],$A49
)</f>
        <v>0</v>
      </c>
      <c r="AU49" s="124">
        <f ca="1">SUMIFS(
  m.vb[valor],
  m.vb[nucleo],$AJ$1,
  m.vb[variavel],AU$7,
  m.vb[mes],$A49
)</f>
        <v>0</v>
      </c>
      <c r="AV49" s="122">
        <f>COUNTIFS(
    tb_estq[empresa], AV$6,
    tb_estq[Data da venda / reserva], "&gt;=" &amp; $A49,
    tb_estq[Data da venda / reserva], "&lt;"  &amp; EOMONTH($A49,0) + 1
)</f>
        <v>0</v>
      </c>
      <c r="AW49" s="123">
        <f ca="1">SUMIFS(tb_rec_uni[2024-11-01],
INDIRECT("tb_rec_uni[natureza]"),"pro.soluto",
INDIRECT("tb_rec_uni[empresa]"),AW$6)</f>
        <v>0</v>
      </c>
      <c r="AX49" s="123">
        <f ca="1">SUMIFS(tb_rec_uni[2024-11-01],
INDIRECT("tb_rec_uni[natureza]"),"repasse.cef.obra",
INDIRECT("tb_rec_uni[empresa]"),AX$6)</f>
        <v>0</v>
      </c>
      <c r="AY49" s="123">
        <f ca="1">SUMIFS(tb_rec_uni[2024-11-01],
INDIRECT("tb_rec_uni[natureza]"),"repasse.cef.terreno",
INDIRECT("tb_rec_uni[empresa]"),AY$6)</f>
        <v>0</v>
      </c>
      <c r="AZ49" s="123">
        <v>0</v>
      </c>
      <c r="BA49" s="123">
        <f ca="1">SUMIFS(tb_rec_uni[2024-11-01],
INDIRECT("tb_rec_uni[natureza]"),"taxa.extra",
INDIRECT("tb_rec_uni[empresa]"),BA$6)</f>
        <v>0</v>
      </c>
      <c r="BB49" s="111"/>
      <c r="BC49" s="123">
        <f ca="1">SUMIFS(
  m.vb[valor],
  m.vb[nucleo],$AV$1,
  m.vb[variavel],BC$7,
  m.vb[mes],$A49
)</f>
        <v>0</v>
      </c>
      <c r="BD49" s="123">
        <f ca="1">SUMIFS(
  m.vb[valor],
  m.vb[nucleo],$AV$1,
  m.vb[variavel],BD$7,
  m.vb[mes],$A49
)</f>
        <v>0</v>
      </c>
      <c r="BE49" s="123">
        <f ca="1">SUMIFS(
  m.vb[valor],
  m.vb[nucleo],$AV$1,
  m.vb[variavel],BE$7,
  m.vb[mes],$A49
)</f>
        <v>0</v>
      </c>
      <c r="BF49" s="123">
        <f ca="1">SUMIFS(
  m.vb[valor],
  m.vb[nucleo],$AV$1,
  m.vb[variavel],BF$7,
  m.vb[mes],$A49
)</f>
        <v>0</v>
      </c>
      <c r="BG49" s="124">
        <f ca="1">SUMIFS(
  m.vb[valor],
  m.vb[nucleo],$AV$1,
  m.vb[variavel],BG$7,
  m.vb[mes],$A49
)</f>
        <v>0</v>
      </c>
      <c r="BH49" s="122">
        <f>COUNTIFS(
    tb_estq[empresa], BH$6,
    tb_estq[Data da venda / reserva], "&gt;=" &amp; $A49,
    tb_estq[Data da venda / reserva], "&lt;"  &amp; EOMONTH($A49,0) + 1
)</f>
        <v>0</v>
      </c>
      <c r="BI49" s="123">
        <f ca="1">SUMIFS(tb_rec_uni[2024-11-01],
INDIRECT("tb_rec_uni[natureza]"),"pro.soluto",
INDIRECT("tb_rec_uni[empresa]"),BI$6)</f>
        <v>0</v>
      </c>
      <c r="BJ49" s="111">
        <f>0.88*94736</f>
        <v>83367.680000000008</v>
      </c>
      <c r="BK49" s="123">
        <f ca="1">SUMIFS(tb_rec_uni[2024-11-01],
INDIRECT("tb_rec_uni[natureza]"),"taxa.extra",
INDIRECT("tb_rec_uni[empresa]"),BK$6)</f>
        <v>0</v>
      </c>
      <c r="BL49" s="111"/>
      <c r="BM49" s="123">
        <f ca="1">SUMIFS(
  m.vb[valor],
  m.vb[nucleo],$BH$1,
  m.vb[variavel],BM$7,
  m.vb[mes],$A49
)</f>
        <v>0</v>
      </c>
      <c r="BN49" s="123">
        <f ca="1">SUMIFS(
  m.vb[valor],
  m.vb[nucleo],$BH$1,
  m.vb[variavel],BN$7,
  m.vb[mes],$A49
)</f>
        <v>0</v>
      </c>
      <c r="BO49" s="123">
        <f ca="1">SUMIFS(
  m.vb[valor],
  m.vb[nucleo],$BH$1,
  m.vb[variavel],BO$7,
  m.vb[mes],$A49
)</f>
        <v>0</v>
      </c>
      <c r="BP49" s="123">
        <f ca="1">SUMIFS(
  m.vb[valor],
  m.vb[nucleo],$BH$1,
  m.vb[variavel],BP$7,
  m.vb[mes],$A49
)</f>
        <v>0</v>
      </c>
      <c r="BQ49" s="124">
        <f ca="1">SUMIFS(
  m.vb[valor],
  m.vb[nucleo],$BH$1,
  m.vb[variavel],BQ$7,
  m.vb[mes],$A49
)</f>
        <v>0</v>
      </c>
      <c r="BR49" s="122">
        <f>COUNTIFS(
    tb_estq[empresa], BR$6,
    tb_estq[Data da venda / reserva], "&gt;=" &amp; $A49,
    tb_estq[Data da venda / reserva], "&lt;"  &amp; EOMONTH($A49,0) + 1
)</f>
        <v>0</v>
      </c>
      <c r="BS49" s="123">
        <f ca="1">SUMIFS(tb_rec_uni[2024-11-01],
INDIRECT("tb_rec_uni[natureza]"),"pro.soluto",
INDIRECT("tb_rec_uni[empresa]"),BS$6)</f>
        <v>0</v>
      </c>
      <c r="BT49" s="123">
        <f ca="1">SUMIFS(tb_rec_uni[2024-11-01],
INDIRECT("tb_rec_uni[natureza]"),"parcela.fin.total.ik",
INDIRECT("tb_rec_uni[empresa]"),BT$6)</f>
        <v>0</v>
      </c>
      <c r="BU49" s="123">
        <f ca="1">SUMIFS(tb_rec_uni[2024-11-01],
INDIRECT("tb_rec_uni[natureza]"),"taxa.extra",
INDIRECT("tb_rec_uni[empresa]"),BU$6)</f>
        <v>0</v>
      </c>
      <c r="BV49" s="111"/>
      <c r="BW49" s="123">
        <f ca="1">SUMIFS(
  m.vb[valor],
  m.vb[nucleo],$BR$1,
  m.vb[variavel],BW$7,
  m.vb[mes],$A49
)</f>
        <v>0</v>
      </c>
      <c r="BX49" s="123">
        <f ca="1">SUMIFS(
  m.vb[valor],
  m.vb[nucleo],$BR$1,
  m.vb[variavel],BX$7,
  m.vb[mes],$A49
)</f>
        <v>0</v>
      </c>
      <c r="BY49" s="123">
        <f ca="1">SUMIFS(
  m.vb[valor],
  m.vb[nucleo],$BR$1,
  m.vb[variavel],BY$7,
  m.vb[mes],$A49
)</f>
        <v>0</v>
      </c>
      <c r="BZ49" s="123">
        <f ca="1">SUMIFS(
  m.vb[valor],
  m.vb[nucleo],$BR$1,
  m.vb[variavel],BZ$7,
  m.vb[mes],$A49
)</f>
        <v>0</v>
      </c>
      <c r="CA49" s="124">
        <f ca="1">SUMIFS(
  m.vb[valor],
  m.vb[nucleo],$BR$1,
  m.vb[variavel],CA$7,
  m.vb[mes],$A49
)</f>
        <v>0</v>
      </c>
      <c r="CB49" s="122">
        <f>COUNTIFS(
    tb_estq[empresa], CB$6,
    tb_estq[Data da venda / reserva], "&gt;=" &amp; $A49,
    tb_estq[Data da venda / reserva], "&lt;"  &amp; EOMONTH($A49,0) + 1
)</f>
        <v>0</v>
      </c>
      <c r="CC49" s="123">
        <f ca="1">SUMIFS(tb_rec_uni[2024-11-01],
INDIRECT("tb_rec_uni[natureza]"),"pro.soluto",
INDIRECT("tb_rec_uni[empresa]"),CC$6)</f>
        <v>0</v>
      </c>
      <c r="CD49" s="123">
        <f ca="1">SUMIFS(tb_rec_uni[2024-11-01],
INDIRECT("tb_rec_uni[natureza]"),"repasse.cef.obra",
INDIRECT("tb_rec_uni[empresa]"),CD$6)</f>
        <v>0</v>
      </c>
      <c r="CE49" s="123">
        <f ca="1">SUMIFS(tb_rec_uni[2024-11-01],
INDIRECT("tb_rec_uni[natureza]"),"repasse.cef.terreno",
INDIRECT("tb_rec_uni[empresa]"),CE$6)</f>
        <v>0</v>
      </c>
      <c r="CF49" s="123">
        <v>0</v>
      </c>
      <c r="CG49" s="123">
        <f ca="1">SUMIFS(tb_rec_uni[2024-11-01],
INDIRECT("tb_rec_uni[natureza]"),"taxa.extra",
INDIRECT("tb_rec_uni[empresa]"),CG$6)</f>
        <v>0</v>
      </c>
      <c r="CH49" s="111"/>
      <c r="CI49" s="123">
        <f ca="1">SUMIFS(
  m.vb[valor],
  m.vb[nucleo],$CB$1,
  m.vb[variavel],CI$7,
  m.vb[mes],$A49
)</f>
        <v>0</v>
      </c>
      <c r="CJ49" s="123">
        <f ca="1">SUMIFS(
  m.vb[valor],
  m.vb[nucleo],$CB$1,
  m.vb[variavel],CJ$7,
  m.vb[mes],$A49
)</f>
        <v>0</v>
      </c>
      <c r="CK49" s="123">
        <f ca="1">SUMIFS(
  m.vb[valor],
  m.vb[nucleo],$CB$1,
  m.vb[variavel],CK$7,
  m.vb[mes],$A49
)</f>
        <v>0</v>
      </c>
      <c r="CL49" s="123">
        <f ca="1">SUMIFS(
  m.vb[valor],
  m.vb[nucleo],$CB$1,
  m.vb[variavel],CL$7,
  m.vb[mes],$A49
)</f>
        <v>0</v>
      </c>
      <c r="CM49" s="124">
        <f ca="1">SUMIFS(
  m.vb[valor],
  m.vb[nucleo],$CB$1,
  m.vb[variavel],CM$7,
  m.vb[mes],$A49
)</f>
        <v>0</v>
      </c>
      <c r="CN49" s="122">
        <f>COUNTIFS(
    tb_estq[empresa], CN$6,
    tb_estq[Data da venda / reserva], "&gt;=" &amp; $A49,
    tb_estq[Data da venda / reserva], "&lt;"  &amp; EOMONTH($A49,0) + 1
)</f>
        <v>0</v>
      </c>
      <c r="CO49" s="123">
        <f ca="1">SUMIFS(tb_rec_uni[2024-11-01],
INDIRECT("tb_rec_uni[natureza]"),"pro.soluto",
INDIRECT("tb_rec_uni[empresa]"),CO$6)</f>
        <v>0</v>
      </c>
      <c r="CP49" s="123">
        <f ca="1">SUMIFS(tb_rec_uni[2024-11-01],
INDIRECT("tb_rec_uni[natureza]"),"repasse.cef.obra",
INDIRECT("tb_rec_uni[empresa]"),CP$6)</f>
        <v>0</v>
      </c>
      <c r="CQ49" s="123">
        <f ca="1">SUMIFS(tb_rec_uni[2024-11-01],
INDIRECT("tb_rec_uni[natureza]"),"repasse.cef.terreno",
INDIRECT("tb_rec_uni[empresa]"),CQ$6)</f>
        <v>0</v>
      </c>
      <c r="CR49" s="123">
        <v>0</v>
      </c>
      <c r="CS49" s="123">
        <f ca="1">SUMIFS(tb_rec_uni[2024-11-01],
INDIRECT("tb_rec_uni[natureza]"),"taxa.extra",
INDIRECT("tb_rec_uni[empresa]"),CS$6)</f>
        <v>0</v>
      </c>
      <c r="CT49" s="111"/>
      <c r="CU49" s="123">
        <f ca="1">SUMIFS(
  m.vb[valor],
  m.vb[nucleo],$CN$1,
  m.vb[variavel],CU$7,
  m.vb[mes],$A49
)</f>
        <v>0</v>
      </c>
      <c r="CV49" s="123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3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3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5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21">
        <v>45627</v>
      </c>
      <c r="B50" s="122">
        <f>COUNTIFS(
    tb_estq[empresa], B$6,
    tb_estq[Data da venda / reserva], "&gt;=" &amp; $A50,
    tb_estq[Data da venda / reserva], "&lt;"  &amp; EOMONTH($A50,0) + 1
)</f>
        <v>0</v>
      </c>
      <c r="C50" s="123">
        <f ca="1">SUMIFS(tb_rec_uni[2024-12-01],
INDIRECT("tb_rec_uni[natureza]"),"pro.soluto",
INDIRECT("tb_rec_uni[empresa]"),C$6)</f>
        <v>0</v>
      </c>
      <c r="D50" s="123">
        <f ca="1">SUMIFS(tb_rec_uni[2024-12-01],
INDIRECT("tb_rec_uni[natureza]"),"repasse.cef.obra",
INDIRECT("tb_rec_uni[empresa]"),D$6)</f>
        <v>0</v>
      </c>
      <c r="E50" s="123">
        <f ca="1">SUMIFS(tb_rec_uni[2024-12-01],
INDIRECT("tb_rec_uni[natureza]"),"repasse.cef.terreno",
INDIRECT("tb_rec_uni[empresa]"),E$6)</f>
        <v>0</v>
      </c>
      <c r="F50" s="123">
        <v>293595.69</v>
      </c>
      <c r="G50" s="123">
        <f ca="1">SUMIFS(tb_rec_uni[2024-12-01],
INDIRECT("tb_rec_uni[natureza]"),"taxa.extra",
INDIRECT("tb_rec_uni[empresa]"),G$6)</f>
        <v>0</v>
      </c>
      <c r="H50" s="111"/>
      <c r="I50" s="123">
        <f ca="1">SUMIFS(
  m.vb[valor],
  m.vb[nucleo],$B$1,
  m.vb[variavel],I$7,
  m.vb[mes],$A50
)</f>
        <v>0</v>
      </c>
      <c r="J50" s="123">
        <f ca="1">SUMIFS(
  m.vb[valor],
  m.vb[nucleo],$B$1,
  m.vb[variavel],J$7,
  m.vb[mes],$A50
)</f>
        <v>0</v>
      </c>
      <c r="K50" s="123">
        <f ca="1">SUMIFS(
  m.vb[valor],
  m.vb[nucleo],$B$1,
  m.vb[variavel],K$7,
  m.vb[mes],$A50
)</f>
        <v>0</v>
      </c>
      <c r="L50" s="123">
        <f ca="1">SUMIFS(
  m.vb[valor],
  m.vb[nucleo],$B$1,
  m.vb[variavel],L$7,
  m.vb[mes],$A50
)</f>
        <v>0</v>
      </c>
      <c r="M50" s="124">
        <f ca="1">SUMIFS(
  m.vb[valor],
  m.vb[nucleo],$B$1,
  m.vb[variavel],M$7,
  m.vb[mes],$A50
)</f>
        <v>0</v>
      </c>
      <c r="N50" s="122">
        <f>COUNTIFS(
    tb_estq[empresa], N$6,
    tb_estq[Data da venda / reserva], "&gt;=" &amp; $A50,
    tb_estq[Data da venda / reserva], "&lt;"  &amp; EOMONTH($A50,0) + 1
)</f>
        <v>0</v>
      </c>
      <c r="O50" s="123">
        <f ca="1">SUMIFS(tb_rec_uni[2024-12-01],
INDIRECT("tb_rec_uni[natureza]"),"pro.soluto",
INDIRECT("tb_rec_uni[empresa]"),O$6)</f>
        <v>0</v>
      </c>
      <c r="P50" s="123">
        <f ca="1">SUMIFS(tb_rec_uni[2024-12-01],
INDIRECT("tb_rec_uni[natureza]"),"repasse.cef.obra",
INDIRECT("tb_rec_uni[empresa]"),P$6)</f>
        <v>0</v>
      </c>
      <c r="Q50" s="123">
        <f ca="1">SUMIFS(tb_rec_uni[2024-12-01],
INDIRECT("tb_rec_uni[natureza]"),"repasse.cef.terreno",
INDIRECT("tb_rec_uni[empresa]"),Q$6)</f>
        <v>0</v>
      </c>
      <c r="R50" s="123">
        <v>0</v>
      </c>
      <c r="S50" s="123">
        <f ca="1">SUMIFS(tb_rec_uni[2024-12-01],
INDIRECT("tb_rec_uni[natureza]"),"taxa.extra",
INDIRECT("tb_rec_uni[empresa]"),S$6)</f>
        <v>0</v>
      </c>
      <c r="T50" s="111"/>
      <c r="U50" s="123">
        <f ca="1">SUMIFS(
  m.vb[valor],
  m.vb[nucleo],$N$1,
  m.vb[variavel],U$7,
  m.vb[mes],$A50
)</f>
        <v>0</v>
      </c>
      <c r="V50" s="123">
        <f ca="1">SUMIFS(
  m.vb[valor],
  m.vb[nucleo],$N$1,
  m.vb[variavel],V$7,
  m.vb[mes],$A50
)</f>
        <v>0</v>
      </c>
      <c r="W50" s="123">
        <f ca="1">SUMIFS(
  m.vb[valor],
  m.vb[nucleo],$N$1,
  m.vb[variavel],W$7,
  m.vb[mes],$A50
)</f>
        <v>0</v>
      </c>
      <c r="X50" s="123">
        <f ca="1">SUMIFS(
  m.vb[valor],
  m.vb[nucleo],$N$1,
  m.vb[variavel],X$7,
  m.vb[mes],$A50
)</f>
        <v>0</v>
      </c>
      <c r="Y50" s="124">
        <f ca="1">SUMIFS(
  m.vb[valor],
  m.vb[nucleo],$N$1,
  m.vb[variavel],Y$7,
  m.vb[mes],$A50
)</f>
        <v>0</v>
      </c>
      <c r="Z50" s="122">
        <f>COUNTIFS(
    tb_estq[empresa], Z$6,
    tb_estq[Data da venda / reserva], "&gt;=" &amp; $A50,
    tb_estq[Data da venda / reserva], "&lt;"  &amp; EOMONTH($A50,0) + 1
)</f>
        <v>0</v>
      </c>
      <c r="AA50" s="123">
        <f ca="1">SUMIFS(tb_rec_uni[2024-12-01],
INDIRECT("tb_rec_uni[natureza]"),"pro.soluto",
INDIRECT("tb_rec_uni[empresa]"),AA$6)</f>
        <v>0</v>
      </c>
      <c r="AB50" s="123">
        <f ca="1">SUMIFS(tb_rec_uni[2024-12-01],
INDIRECT("tb_rec_uni[natureza]"),"parcela.fin.total.ik",
INDIRECT("tb_rec_uni[empresa]"),AB$6)</f>
        <v>0</v>
      </c>
      <c r="AC50" s="123">
        <f ca="1">SUMIFS(tb_rec_uni[2024-12-01],
INDIRECT("tb_rec_uni[natureza]"),"taxa.extra",
INDIRECT("tb_rec_uni[empresa]"),AC$6)</f>
        <v>0</v>
      </c>
      <c r="AD50" s="111"/>
      <c r="AE50" s="123">
        <f ca="1">SUMIFS(
  m.vb[valor],
  m.vb[nucleo],$Z$1,
  m.vb[variavel],AE$7,
  m.vb[mes],$A50
)</f>
        <v>0</v>
      </c>
      <c r="AF50" s="123">
        <f ca="1">SUMIFS(
  m.vb[valor],
  m.vb[nucleo],$Z$1,
  m.vb[variavel],AF$7,
  m.vb[mes],$A50
)</f>
        <v>0</v>
      </c>
      <c r="AG50" s="123">
        <f ca="1">SUMIFS(
  m.vb[valor],
  m.vb[nucleo],$Z$1,
  m.vb[variavel],AG$7,
  m.vb[mes],$A50
)</f>
        <v>0</v>
      </c>
      <c r="AH50" s="123">
        <f ca="1">SUMIFS(
  m.vb[valor],
  m.vb[nucleo],$Z$1,
  m.vb[variavel],AH$7,
  m.vb[mes],$A50
)</f>
        <v>0</v>
      </c>
      <c r="AI50" s="124">
        <f ca="1">SUMIFS(
  m.vb[valor],
  m.vb[nucleo],$Z$1,
  m.vb[variavel],AI$7,
  m.vb[mes],$A50
)</f>
        <v>0</v>
      </c>
      <c r="AJ50" s="122">
        <f>COUNTIFS(
    tb_estq[empresa], AJ$6,
    tb_estq[Data da venda / reserva], "&gt;=" &amp; $A50,
    tb_estq[Data da venda / reserva], "&lt;"  &amp; EOMONTH($A50,0) + 1
)</f>
        <v>0</v>
      </c>
      <c r="AK50" s="123">
        <f ca="1">SUMIFS(tb_rec_uni[2024-12-01],
INDIRECT("tb_rec_uni[natureza]"),"pro.soluto",
INDIRECT("tb_rec_uni[empresa]"),AK$6)</f>
        <v>0</v>
      </c>
      <c r="AL50" s="123">
        <f ca="1">SUMIFS(tb_rec_uni[2024-12-01],
INDIRECT("tb_rec_uni[natureza]"),"repasse.cef.obra",
INDIRECT("tb_rec_uni[empresa]"),AL$6)</f>
        <v>0</v>
      </c>
      <c r="AM50" s="123">
        <f ca="1">SUMIFS(tb_rec_uni[2024-12-01],
INDIRECT("tb_rec_uni[natureza]"),"repasse.cef.terreno",
INDIRECT("tb_rec_uni[empresa]"),AM$6)</f>
        <v>0</v>
      </c>
      <c r="AN50" s="123">
        <v>0</v>
      </c>
      <c r="AO50" s="123">
        <f ca="1">SUMIFS(tb_rec_uni[2024-12-01],
INDIRECT("tb_rec_uni[natureza]"),"taxa.extra",
INDIRECT("tb_rec_uni[empresa]"),AO$6)</f>
        <v>0</v>
      </c>
      <c r="AP50" s="111"/>
      <c r="AQ50" s="123">
        <f ca="1">SUMIFS(
  m.vb[valor],
  m.vb[nucleo],$AJ$1,
  m.vb[variavel],AQ$7,
  m.vb[mes],$A50
)</f>
        <v>0</v>
      </c>
      <c r="AR50" s="123">
        <f ca="1">SUMIFS(
  m.vb[valor],
  m.vb[nucleo],$AJ$1,
  m.vb[variavel],AR$7,
  m.vb[mes],$A50
)</f>
        <v>0</v>
      </c>
      <c r="AS50" s="123">
        <f ca="1">SUMIFS(
  m.vb[valor],
  m.vb[nucleo],$AJ$1,
  m.vb[variavel],AS$7,
  m.vb[mes],$A50
)</f>
        <v>0</v>
      </c>
      <c r="AT50" s="123">
        <f ca="1">SUMIFS(
  m.vb[valor],
  m.vb[nucleo],$AJ$1,
  m.vb[variavel],AT$7,
  m.vb[mes],$A50
)</f>
        <v>0</v>
      </c>
      <c r="AU50" s="124">
        <f ca="1">SUMIFS(
  m.vb[valor],
  m.vb[nucleo],$AJ$1,
  m.vb[variavel],AU$7,
  m.vb[mes],$A50
)</f>
        <v>0</v>
      </c>
      <c r="AV50" s="122">
        <f>COUNTIFS(
    tb_estq[empresa], AV$6,
    tb_estq[Data da venda / reserva], "&gt;=" &amp; $A50,
    tb_estq[Data da venda / reserva], "&lt;"  &amp; EOMONTH($A50,0) + 1
)</f>
        <v>0</v>
      </c>
      <c r="AW50" s="123">
        <f ca="1">SUMIFS(tb_rec_uni[2024-12-01],
INDIRECT("tb_rec_uni[natureza]"),"pro.soluto",
INDIRECT("tb_rec_uni[empresa]"),AW$6)</f>
        <v>0</v>
      </c>
      <c r="AX50" s="123">
        <f ca="1">SUMIFS(tb_rec_uni[2024-12-01],
INDIRECT("tb_rec_uni[natureza]"),"repasse.cef.obra",
INDIRECT("tb_rec_uni[empresa]"),AX$6)</f>
        <v>0</v>
      </c>
      <c r="AY50" s="123">
        <f ca="1">SUMIFS(tb_rec_uni[2024-12-01],
INDIRECT("tb_rec_uni[natureza]"),"repasse.cef.terreno",
INDIRECT("tb_rec_uni[empresa]"),AY$6)</f>
        <v>0</v>
      </c>
      <c r="AZ50" s="123">
        <v>0</v>
      </c>
      <c r="BA50" s="123">
        <f ca="1">SUMIFS(tb_rec_uni[2024-12-01],
INDIRECT("tb_rec_uni[natureza]"),"taxa.extra",
INDIRECT("tb_rec_uni[empresa]"),BA$6)</f>
        <v>0</v>
      </c>
      <c r="BB50" s="111"/>
      <c r="BC50" s="123">
        <f ca="1">SUMIFS(
  m.vb[valor],
  m.vb[nucleo],$AV$1,
  m.vb[variavel],BC$7,
  m.vb[mes],$A50
)</f>
        <v>0</v>
      </c>
      <c r="BD50" s="123">
        <f ca="1">SUMIFS(
  m.vb[valor],
  m.vb[nucleo],$AV$1,
  m.vb[variavel],BD$7,
  m.vb[mes],$A50
)</f>
        <v>0</v>
      </c>
      <c r="BE50" s="123">
        <f ca="1">SUMIFS(
  m.vb[valor],
  m.vb[nucleo],$AV$1,
  m.vb[variavel],BE$7,
  m.vb[mes],$A50
)</f>
        <v>0</v>
      </c>
      <c r="BF50" s="123">
        <f ca="1">SUMIFS(
  m.vb[valor],
  m.vb[nucleo],$AV$1,
  m.vb[variavel],BF$7,
  m.vb[mes],$A50
)</f>
        <v>0</v>
      </c>
      <c r="BG50" s="124">
        <f ca="1">SUMIFS(
  m.vb[valor],
  m.vb[nucleo],$AV$1,
  m.vb[variavel],BG$7,
  m.vb[mes],$A50
)</f>
        <v>0</v>
      </c>
      <c r="BH50" s="122">
        <f>COUNTIFS(
    tb_estq[empresa], BH$6,
    tb_estq[Data da venda / reserva], "&gt;=" &amp; $A50,
    tb_estq[Data da venda / reserva], "&lt;"  &amp; EOMONTH($A50,0) + 1
)</f>
        <v>0</v>
      </c>
      <c r="BI50" s="123">
        <f ca="1">SUMIFS(tb_rec_uni[2024-12-01],
INDIRECT("tb_rec_uni[natureza]"),"pro.soluto",
INDIRECT("tb_rec_uni[empresa]"),BI$6)</f>
        <v>0</v>
      </c>
      <c r="BJ50" s="111">
        <f>1.1*94736</f>
        <v>104209.60000000001</v>
      </c>
      <c r="BK50" s="123">
        <f ca="1">SUMIFS(tb_rec_uni[2024-12-01],
INDIRECT("tb_rec_uni[natureza]"),"taxa.extra",
INDIRECT("tb_rec_uni[empresa]"),BK$6)</f>
        <v>0</v>
      </c>
      <c r="BL50" s="111"/>
      <c r="BM50" s="123">
        <f ca="1">SUMIFS(
  m.vb[valor],
  m.vb[nucleo],$BH$1,
  m.vb[variavel],BM$7,
  m.vb[mes],$A50
)</f>
        <v>0</v>
      </c>
      <c r="BN50" s="123">
        <f ca="1">SUMIFS(
  m.vb[valor],
  m.vb[nucleo],$BH$1,
  m.vb[variavel],BN$7,
  m.vb[mes],$A50
)</f>
        <v>0</v>
      </c>
      <c r="BO50" s="123">
        <f ca="1">SUMIFS(
  m.vb[valor],
  m.vb[nucleo],$BH$1,
  m.vb[variavel],BO$7,
  m.vb[mes],$A50
)</f>
        <v>0</v>
      </c>
      <c r="BP50" s="123">
        <f ca="1">SUMIFS(
  m.vb[valor],
  m.vb[nucleo],$BH$1,
  m.vb[variavel],BP$7,
  m.vb[mes],$A50
)</f>
        <v>0</v>
      </c>
      <c r="BQ50" s="124">
        <f ca="1">SUMIFS(
  m.vb[valor],
  m.vb[nucleo],$BH$1,
  m.vb[variavel],BQ$7,
  m.vb[mes],$A50
)</f>
        <v>0</v>
      </c>
      <c r="BR50" s="122">
        <f>COUNTIFS(
    tb_estq[empresa], BR$6,
    tb_estq[Data da venda / reserva], "&gt;=" &amp; $A50,
    tb_estq[Data da venda / reserva], "&lt;"  &amp; EOMONTH($A50,0) + 1
)</f>
        <v>0</v>
      </c>
      <c r="BS50" s="123">
        <f ca="1">SUMIFS(tb_rec_uni[2024-12-01],
INDIRECT("tb_rec_uni[natureza]"),"pro.soluto",
INDIRECT("tb_rec_uni[empresa]"),BS$6)</f>
        <v>0</v>
      </c>
      <c r="BT50" s="123">
        <f ca="1">SUMIFS(tb_rec_uni[2024-12-01],
INDIRECT("tb_rec_uni[natureza]"),"parcela.fin.total.ik",
INDIRECT("tb_rec_uni[empresa]"),BT$6)</f>
        <v>0</v>
      </c>
      <c r="BU50" s="123">
        <f ca="1">SUMIFS(tb_rec_uni[2024-12-01],
INDIRECT("tb_rec_uni[natureza]"),"taxa.extra",
INDIRECT("tb_rec_uni[empresa]"),BU$6)</f>
        <v>0</v>
      </c>
      <c r="BV50" s="111"/>
      <c r="BW50" s="123">
        <f ca="1">SUMIFS(
  m.vb[valor],
  m.vb[nucleo],$BR$1,
  m.vb[variavel],BW$7,
  m.vb[mes],$A50
)</f>
        <v>0</v>
      </c>
      <c r="BX50" s="123">
        <f ca="1">SUMIFS(
  m.vb[valor],
  m.vb[nucleo],$BR$1,
  m.vb[variavel],BX$7,
  m.vb[mes],$A50
)</f>
        <v>0</v>
      </c>
      <c r="BY50" s="123">
        <f ca="1">SUMIFS(
  m.vb[valor],
  m.vb[nucleo],$BR$1,
  m.vb[variavel],BY$7,
  m.vb[mes],$A50
)</f>
        <v>0</v>
      </c>
      <c r="BZ50" s="123">
        <f ca="1">SUMIFS(
  m.vb[valor],
  m.vb[nucleo],$BR$1,
  m.vb[variavel],BZ$7,
  m.vb[mes],$A50
)</f>
        <v>0</v>
      </c>
      <c r="CA50" s="124">
        <f ca="1">SUMIFS(
  m.vb[valor],
  m.vb[nucleo],$BR$1,
  m.vb[variavel],CA$7,
  m.vb[mes],$A50
)</f>
        <v>0</v>
      </c>
      <c r="CB50" s="122">
        <f>COUNTIFS(
    tb_estq[empresa], CB$6,
    tb_estq[Data da venda / reserva], "&gt;=" &amp; $A50,
    tb_estq[Data da venda / reserva], "&lt;"  &amp; EOMONTH($A50,0) + 1
)</f>
        <v>0</v>
      </c>
      <c r="CC50" s="123">
        <f ca="1">SUMIFS(tb_rec_uni[2024-12-01],
INDIRECT("tb_rec_uni[natureza]"),"pro.soluto",
INDIRECT("tb_rec_uni[empresa]"),CC$6)</f>
        <v>0</v>
      </c>
      <c r="CD50" s="123">
        <f ca="1">SUMIFS(tb_rec_uni[2024-12-01],
INDIRECT("tb_rec_uni[natureza]"),"repasse.cef.obra",
INDIRECT("tb_rec_uni[empresa]"),CD$6)</f>
        <v>0</v>
      </c>
      <c r="CE50" s="123">
        <f ca="1">SUMIFS(tb_rec_uni[2024-12-01],
INDIRECT("tb_rec_uni[natureza]"),"repasse.cef.terreno",
INDIRECT("tb_rec_uni[empresa]"),CE$6)</f>
        <v>0</v>
      </c>
      <c r="CF50" s="123">
        <v>928463.72</v>
      </c>
      <c r="CG50" s="123">
        <f ca="1">SUMIFS(tb_rec_uni[2024-12-01],
INDIRECT("tb_rec_uni[natureza]"),"taxa.extra",
INDIRECT("tb_rec_uni[empresa]"),CG$6)</f>
        <v>0</v>
      </c>
      <c r="CH50" s="111"/>
      <c r="CI50" s="123">
        <f ca="1">SUMIFS(
  m.vb[valor],
  m.vb[nucleo],$CB$1,
  m.vb[variavel],CI$7,
  m.vb[mes],$A50
)</f>
        <v>0</v>
      </c>
      <c r="CJ50" s="123">
        <f ca="1">SUMIFS(
  m.vb[valor],
  m.vb[nucleo],$CB$1,
  m.vb[variavel],CJ$7,
  m.vb[mes],$A50
)</f>
        <v>0</v>
      </c>
      <c r="CK50" s="123">
        <f ca="1">SUMIFS(
  m.vb[valor],
  m.vb[nucleo],$CB$1,
  m.vb[variavel],CK$7,
  m.vb[mes],$A50
)</f>
        <v>0</v>
      </c>
      <c r="CL50" s="123">
        <f ca="1">SUMIFS(
  m.vb[valor],
  m.vb[nucleo],$CB$1,
  m.vb[variavel],CL$7,
  m.vb[mes],$A50
)</f>
        <v>0</v>
      </c>
      <c r="CM50" s="124">
        <f ca="1">SUMIFS(
  m.vb[valor],
  m.vb[nucleo],$CB$1,
  m.vb[variavel],CM$7,
  m.vb[mes],$A50
)</f>
        <v>0</v>
      </c>
      <c r="CN50" s="122">
        <f>COUNTIFS(
    tb_estq[empresa], CN$6,
    tb_estq[Data da venda / reserva], "&gt;=" &amp; $A50,
    tb_estq[Data da venda / reserva], "&lt;"  &amp; EOMONTH($A50,0) + 1
)</f>
        <v>0</v>
      </c>
      <c r="CO50" s="123">
        <f ca="1">SUMIFS(tb_rec_uni[2024-12-01],
INDIRECT("tb_rec_uni[natureza]"),"pro.soluto",
INDIRECT("tb_rec_uni[empresa]"),CO$6)</f>
        <v>0</v>
      </c>
      <c r="CP50" s="123">
        <f ca="1">SUMIFS(tb_rec_uni[2024-12-01],
INDIRECT("tb_rec_uni[natureza]"),"repasse.cef.obra",
INDIRECT("tb_rec_uni[empresa]"),CP$6)</f>
        <v>0</v>
      </c>
      <c r="CQ50" s="123">
        <f ca="1">SUMIFS(tb_rec_uni[2024-12-01],
INDIRECT("tb_rec_uni[natureza]"),"repasse.cef.terreno",
INDIRECT("tb_rec_uni[empresa]"),CQ$6)</f>
        <v>0</v>
      </c>
      <c r="CR50" s="123">
        <v>0</v>
      </c>
      <c r="CS50" s="123">
        <f ca="1">SUMIFS(tb_rec_uni[2024-12-01],
INDIRECT("tb_rec_uni[natureza]"),"taxa.extra",
INDIRECT("tb_rec_uni[empresa]"),CS$6)</f>
        <v>0</v>
      </c>
      <c r="CT50" s="111"/>
      <c r="CU50" s="123">
        <f ca="1">SUMIFS(
  m.vb[valor],
  m.vb[nucleo],$CN$1,
  m.vb[variavel],CU$7,
  m.vb[mes],$A50
)</f>
        <v>0</v>
      </c>
      <c r="CV50" s="123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3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3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5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21">
        <v>45658</v>
      </c>
      <c r="B51" s="122">
        <f>COUNTIFS(
    tb_estq[empresa], B$6,
    tb_estq[Data da venda / reserva], "&gt;=" &amp; $A51,
    tb_estq[Data da venda / reserva], "&lt;"  &amp; EOMONTH($A51,0) + 1
)</f>
        <v>0</v>
      </c>
      <c r="C51" s="123">
        <f ca="1">SUMIFS(tb_rec_uni[2025-01-01],
INDIRECT("tb_rec_uni[natureza]"),"pro.soluto",
INDIRECT("tb_rec_uni[empresa]"),C$6)</f>
        <v>0</v>
      </c>
      <c r="D51" s="123">
        <f ca="1">SUMIFS(tb_rec_uni[2025-01-01],
INDIRECT("tb_rec_uni[natureza]"),"repasse.cef.obra",
INDIRECT("tb_rec_uni[empresa]"),D$6)</f>
        <v>0</v>
      </c>
      <c r="E51" s="123">
        <f ca="1">SUMIFS(tb_rec_uni[2025-01-01],
INDIRECT("tb_rec_uni[natureza]"),"repasse.cef.terreno",
INDIRECT("tb_rec_uni[empresa]"),E$6)</f>
        <v>0</v>
      </c>
      <c r="F51" s="123">
        <v>489068.85</v>
      </c>
      <c r="G51" s="123">
        <f ca="1">SUMIFS(tb_rec_uni[2025-01-01],
INDIRECT("tb_rec_uni[natureza]"),"taxa.extra",
INDIRECT("tb_rec_uni[empresa]"),G$6)</f>
        <v>0</v>
      </c>
      <c r="H51" s="111"/>
      <c r="I51" s="123">
        <f ca="1">SUMIFS(
  m.vb[valor],
  m.vb[nucleo],$B$1,
  m.vb[variavel],I$7,
  m.vb[mes],$A51
)</f>
        <v>0</v>
      </c>
      <c r="J51" s="123">
        <f ca="1">SUMIFS(
  m.vb[valor],
  m.vb[nucleo],$B$1,
  m.vb[variavel],J$7,
  m.vb[mes],$A51
)</f>
        <v>0</v>
      </c>
      <c r="K51" s="123">
        <f ca="1">SUMIFS(
  m.vb[valor],
  m.vb[nucleo],$B$1,
  m.vb[variavel],K$7,
  m.vb[mes],$A51
)</f>
        <v>0</v>
      </c>
      <c r="L51" s="123">
        <f ca="1">SUMIFS(
  m.vb[valor],
  m.vb[nucleo],$B$1,
  m.vb[variavel],L$7,
  m.vb[mes],$A51
)</f>
        <v>0</v>
      </c>
      <c r="M51" s="124">
        <f ca="1">SUMIFS(
  m.vb[valor],
  m.vb[nucleo],$B$1,
  m.vb[variavel],M$7,
  m.vb[mes],$A51
)</f>
        <v>0</v>
      </c>
      <c r="N51" s="122">
        <f>COUNTIFS(
    tb_estq[empresa], N$6,
    tb_estq[Data da venda / reserva], "&gt;=" &amp; $A51,
    tb_estq[Data da venda / reserva], "&lt;"  &amp; EOMONTH($A51,0) + 1
)</f>
        <v>0</v>
      </c>
      <c r="O51" s="123">
        <f ca="1">SUMIFS(tb_rec_uni[2025-01-01],
INDIRECT("tb_rec_uni[natureza]"),"pro.soluto",
INDIRECT("tb_rec_uni[empresa]"),O$6)</f>
        <v>0</v>
      </c>
      <c r="P51" s="123">
        <f ca="1">SUMIFS(tb_rec_uni[2025-01-01],
INDIRECT("tb_rec_uni[natureza]"),"repasse.cef.obra",
INDIRECT("tb_rec_uni[empresa]"),P$6)</f>
        <v>0</v>
      </c>
      <c r="Q51" s="123">
        <f ca="1">SUMIFS(tb_rec_uni[2025-01-01],
INDIRECT("tb_rec_uni[natureza]"),"repasse.cef.terreno",
INDIRECT("tb_rec_uni[empresa]"),Q$6)</f>
        <v>0</v>
      </c>
      <c r="R51" s="123">
        <v>0</v>
      </c>
      <c r="S51" s="123">
        <f ca="1">SUMIFS(tb_rec_uni[2025-01-01],
INDIRECT("tb_rec_uni[natureza]"),"taxa.extra",
INDIRECT("tb_rec_uni[empresa]"),S$6)</f>
        <v>0</v>
      </c>
      <c r="T51" s="111"/>
      <c r="U51" s="123">
        <f ca="1">SUMIFS(
  m.vb[valor],
  m.vb[nucleo],$N$1,
  m.vb[variavel],U$7,
  m.vb[mes],$A51
)</f>
        <v>0</v>
      </c>
      <c r="V51" s="123">
        <f ca="1">SUMIFS(
  m.vb[valor],
  m.vb[nucleo],$N$1,
  m.vb[variavel],V$7,
  m.vb[mes],$A51
)</f>
        <v>0</v>
      </c>
      <c r="W51" s="123">
        <f ca="1">SUMIFS(
  m.vb[valor],
  m.vb[nucleo],$N$1,
  m.vb[variavel],W$7,
  m.vb[mes],$A51
)</f>
        <v>0</v>
      </c>
      <c r="X51" s="123">
        <f ca="1">SUMIFS(
  m.vb[valor],
  m.vb[nucleo],$N$1,
  m.vb[variavel],X$7,
  m.vb[mes],$A51
)</f>
        <v>0</v>
      </c>
      <c r="Y51" s="124">
        <f ca="1">SUMIFS(
  m.vb[valor],
  m.vb[nucleo],$N$1,
  m.vb[variavel],Y$7,
  m.vb[mes],$A51
)</f>
        <v>0</v>
      </c>
      <c r="Z51" s="122">
        <f>COUNTIFS(
    tb_estq[empresa], Z$6,
    tb_estq[Data da venda / reserva], "&gt;=" &amp; $A51,
    tb_estq[Data da venda / reserva], "&lt;"  &amp; EOMONTH($A51,0) + 1
)</f>
        <v>0</v>
      </c>
      <c r="AA51" s="123">
        <f ca="1">SUMIFS(tb_rec_uni[2025-01-01],
INDIRECT("tb_rec_uni[natureza]"),"pro.soluto",
INDIRECT("tb_rec_uni[empresa]"),AA$6)</f>
        <v>0</v>
      </c>
      <c r="AB51" s="123">
        <f ca="1">SUMIFS(tb_rec_uni[2025-01-01],
INDIRECT("tb_rec_uni[natureza]"),"parcela.fin.total.ik",
INDIRECT("tb_rec_uni[empresa]"),AB$6)</f>
        <v>0</v>
      </c>
      <c r="AC51" s="123">
        <f ca="1">SUMIFS(tb_rec_uni[2025-01-01],
INDIRECT("tb_rec_uni[natureza]"),"taxa.extra",
INDIRECT("tb_rec_uni[empresa]"),AC$6)</f>
        <v>0</v>
      </c>
      <c r="AD51" s="111"/>
      <c r="AE51" s="123">
        <f ca="1">SUMIFS(
  m.vb[valor],
  m.vb[nucleo],$Z$1,
  m.vb[variavel],AE$7,
  m.vb[mes],$A51
)</f>
        <v>0</v>
      </c>
      <c r="AF51" s="123">
        <f ca="1">SUMIFS(
  m.vb[valor],
  m.vb[nucleo],$Z$1,
  m.vb[variavel],AF$7,
  m.vb[mes],$A51
)</f>
        <v>0</v>
      </c>
      <c r="AG51" s="123">
        <f ca="1">SUMIFS(
  m.vb[valor],
  m.vb[nucleo],$Z$1,
  m.vb[variavel],AG$7,
  m.vb[mes],$A51
)</f>
        <v>0</v>
      </c>
      <c r="AH51" s="123">
        <f ca="1">SUMIFS(
  m.vb[valor],
  m.vb[nucleo],$Z$1,
  m.vb[variavel],AH$7,
  m.vb[mes],$A51
)</f>
        <v>0</v>
      </c>
      <c r="AI51" s="124">
        <f ca="1">SUMIFS(
  m.vb[valor],
  m.vb[nucleo],$Z$1,
  m.vb[variavel],AI$7,
  m.vb[mes],$A51
)</f>
        <v>0</v>
      </c>
      <c r="AJ51" s="122">
        <f>COUNTIFS(
    tb_estq[empresa], AJ$6,
    tb_estq[Data da venda / reserva], "&gt;=" &amp; $A51,
    tb_estq[Data da venda / reserva], "&lt;"  &amp; EOMONTH($A51,0) + 1
)</f>
        <v>0</v>
      </c>
      <c r="AK51" s="123">
        <f ca="1">SUMIFS(tb_rec_uni[2025-01-01],
INDIRECT("tb_rec_uni[natureza]"),"pro.soluto",
INDIRECT("tb_rec_uni[empresa]"),AK$6)</f>
        <v>0</v>
      </c>
      <c r="AL51" s="123">
        <f ca="1">SUMIFS(tb_rec_uni[2025-01-01],
INDIRECT("tb_rec_uni[natureza]"),"repasse.cef.obra",
INDIRECT("tb_rec_uni[empresa]"),AL$6)</f>
        <v>0</v>
      </c>
      <c r="AM51" s="123">
        <f ca="1">SUMIFS(tb_rec_uni[2025-01-01],
INDIRECT("tb_rec_uni[natureza]"),"repasse.cef.terreno",
INDIRECT("tb_rec_uni[empresa]"),AM$6)</f>
        <v>0</v>
      </c>
      <c r="AN51" s="123">
        <v>0</v>
      </c>
      <c r="AO51" s="123">
        <f ca="1">SUMIFS(tb_rec_uni[2025-01-01],
INDIRECT("tb_rec_uni[natureza]"),"taxa.extra",
INDIRECT("tb_rec_uni[empresa]"),AO$6)</f>
        <v>0</v>
      </c>
      <c r="AP51" s="111"/>
      <c r="AQ51" s="123">
        <f ca="1">SUMIFS(
  m.vb[valor],
  m.vb[nucleo],$AJ$1,
  m.vb[variavel],AQ$7,
  m.vb[mes],$A51
)</f>
        <v>0</v>
      </c>
      <c r="AR51" s="123">
        <f ca="1">SUMIFS(
  m.vb[valor],
  m.vb[nucleo],$AJ$1,
  m.vb[variavel],AR$7,
  m.vb[mes],$A51
)</f>
        <v>0</v>
      </c>
      <c r="AS51" s="123">
        <f ca="1">SUMIFS(
  m.vb[valor],
  m.vb[nucleo],$AJ$1,
  m.vb[variavel],AS$7,
  m.vb[mes],$A51
)</f>
        <v>0</v>
      </c>
      <c r="AT51" s="123">
        <f ca="1">SUMIFS(
  m.vb[valor],
  m.vb[nucleo],$AJ$1,
  m.vb[variavel],AT$7,
  m.vb[mes],$A51
)</f>
        <v>0</v>
      </c>
      <c r="AU51" s="124">
        <f ca="1">SUMIFS(
  m.vb[valor],
  m.vb[nucleo],$AJ$1,
  m.vb[variavel],AU$7,
  m.vb[mes],$A51
)</f>
        <v>0</v>
      </c>
      <c r="AV51" s="122">
        <f>COUNTIFS(
    tb_estq[empresa], AV$6,
    tb_estq[Data da venda / reserva], "&gt;=" &amp; $A51,
    tb_estq[Data da venda / reserva], "&lt;"  &amp; EOMONTH($A51,0) + 1
)</f>
        <v>0</v>
      </c>
      <c r="AW51" s="123">
        <f ca="1">SUMIFS(tb_rec_uni[2025-01-01],
INDIRECT("tb_rec_uni[natureza]"),"pro.soluto",
INDIRECT("tb_rec_uni[empresa]"),AW$6)</f>
        <v>0</v>
      </c>
      <c r="AX51" s="123">
        <f ca="1">SUMIFS(tb_rec_uni[2025-01-01],
INDIRECT("tb_rec_uni[natureza]"),"repasse.cef.obra",
INDIRECT("tb_rec_uni[empresa]"),AX$6)</f>
        <v>0</v>
      </c>
      <c r="AY51" s="123">
        <f ca="1">SUMIFS(tb_rec_uni[2025-01-01],
INDIRECT("tb_rec_uni[natureza]"),"repasse.cef.terreno",
INDIRECT("tb_rec_uni[empresa]"),AY$6)</f>
        <v>0</v>
      </c>
      <c r="AZ51" s="123">
        <v>0</v>
      </c>
      <c r="BA51" s="123">
        <f ca="1">SUMIFS(tb_rec_uni[2025-01-01],
INDIRECT("tb_rec_uni[natureza]"),"taxa.extra",
INDIRECT("tb_rec_uni[empresa]"),BA$6)</f>
        <v>0</v>
      </c>
      <c r="BB51" s="111"/>
      <c r="BC51" s="123">
        <f ca="1">SUMIFS(
  m.vb[valor],
  m.vb[nucleo],$AV$1,
  m.vb[variavel],BC$7,
  m.vb[mes],$A51
)</f>
        <v>0</v>
      </c>
      <c r="BD51" s="123">
        <f ca="1">SUMIFS(
  m.vb[valor],
  m.vb[nucleo],$AV$1,
  m.vb[variavel],BD$7,
  m.vb[mes],$A51
)</f>
        <v>0</v>
      </c>
      <c r="BE51" s="123">
        <f ca="1">SUMIFS(
  m.vb[valor],
  m.vb[nucleo],$AV$1,
  m.vb[variavel],BE$7,
  m.vb[mes],$A51
)</f>
        <v>0</v>
      </c>
      <c r="BF51" s="123">
        <f ca="1">SUMIFS(
  m.vb[valor],
  m.vb[nucleo],$AV$1,
  m.vb[variavel],BF$7,
  m.vb[mes],$A51
)</f>
        <v>0</v>
      </c>
      <c r="BG51" s="124">
        <f ca="1">SUMIFS(
  m.vb[valor],
  m.vb[nucleo],$AV$1,
  m.vb[variavel],BG$7,
  m.vb[mes],$A51
)</f>
        <v>0</v>
      </c>
      <c r="BH51" s="122">
        <f>COUNTIFS(
    tb_estq[empresa], BH$6,
    tb_estq[Data da venda / reserva], "&gt;=" &amp; $A51,
    tb_estq[Data da venda / reserva], "&lt;"  &amp; EOMONTH($A51,0) + 1
)</f>
        <v>0</v>
      </c>
      <c r="BI51" s="123">
        <f ca="1">SUMIFS(tb_rec_uni[2025-01-01],
INDIRECT("tb_rec_uni[natureza]"),"pro.soluto",
INDIRECT("tb_rec_uni[empresa]"),BI$6)</f>
        <v>0</v>
      </c>
      <c r="BJ51" s="111">
        <f>0.7*94736</f>
        <v>66315.199999999997</v>
      </c>
      <c r="BK51" s="123">
        <f ca="1">SUMIFS(tb_rec_uni[2025-01-01],
INDIRECT("tb_rec_uni[natureza]"),"taxa.extra",
INDIRECT("tb_rec_uni[empresa]"),BK$6)</f>
        <v>0</v>
      </c>
      <c r="BL51" s="111"/>
      <c r="BM51" s="123">
        <f ca="1">SUMIFS(
  m.vb[valor],
  m.vb[nucleo],$BH$1,
  m.vb[variavel],BM$7,
  m.vb[mes],$A51
)</f>
        <v>0</v>
      </c>
      <c r="BN51" s="123">
        <f ca="1">SUMIFS(
  m.vb[valor],
  m.vb[nucleo],$BH$1,
  m.vb[variavel],BN$7,
  m.vb[mes],$A51
)</f>
        <v>0</v>
      </c>
      <c r="BO51" s="123">
        <f ca="1">SUMIFS(
  m.vb[valor],
  m.vb[nucleo],$BH$1,
  m.vb[variavel],BO$7,
  m.vb[mes],$A51
)</f>
        <v>0</v>
      </c>
      <c r="BP51" s="123">
        <f ca="1">SUMIFS(
  m.vb[valor],
  m.vb[nucleo],$BH$1,
  m.vb[variavel],BP$7,
  m.vb[mes],$A51
)</f>
        <v>0</v>
      </c>
      <c r="BQ51" s="124">
        <f ca="1">SUMIFS(
  m.vb[valor],
  m.vb[nucleo],$BH$1,
  m.vb[variavel],BQ$7,
  m.vb[mes],$A51
)</f>
        <v>0</v>
      </c>
      <c r="BR51" s="122">
        <f>COUNTIFS(
    tb_estq[empresa], BR$6,
    tb_estq[Data da venda / reserva], "&gt;=" &amp; $A51,
    tb_estq[Data da venda / reserva], "&lt;"  &amp; EOMONTH($A51,0) + 1
)</f>
        <v>0</v>
      </c>
      <c r="BS51" s="123">
        <f ca="1">SUMIFS(tb_rec_uni[2025-01-01],
INDIRECT("tb_rec_uni[natureza]"),"pro.soluto",
INDIRECT("tb_rec_uni[empresa]"),BS$6)</f>
        <v>0</v>
      </c>
      <c r="BT51" s="123">
        <f ca="1">SUMIFS(tb_rec_uni[2025-01-01],
INDIRECT("tb_rec_uni[natureza]"),"parcela.fin.total.ik",
INDIRECT("tb_rec_uni[empresa]"),BT$6)</f>
        <v>0</v>
      </c>
      <c r="BU51" s="123">
        <f ca="1">SUMIFS(tb_rec_uni[2025-01-01],
INDIRECT("tb_rec_uni[natureza]"),"taxa.extra",
INDIRECT("tb_rec_uni[empresa]"),BU$6)</f>
        <v>0</v>
      </c>
      <c r="BV51" s="111"/>
      <c r="BW51" s="123">
        <f ca="1">SUMIFS(
  m.vb[valor],
  m.vb[nucleo],$BR$1,
  m.vb[variavel],BW$7,
  m.vb[mes],$A51
)</f>
        <v>0</v>
      </c>
      <c r="BX51" s="123">
        <f ca="1">SUMIFS(
  m.vb[valor],
  m.vb[nucleo],$BR$1,
  m.vb[variavel],BX$7,
  m.vb[mes],$A51
)</f>
        <v>0</v>
      </c>
      <c r="BY51" s="123">
        <f ca="1">SUMIFS(
  m.vb[valor],
  m.vb[nucleo],$BR$1,
  m.vb[variavel],BY$7,
  m.vb[mes],$A51
)</f>
        <v>0</v>
      </c>
      <c r="BZ51" s="123">
        <f ca="1">SUMIFS(
  m.vb[valor],
  m.vb[nucleo],$BR$1,
  m.vb[variavel],BZ$7,
  m.vb[mes],$A51
)</f>
        <v>0</v>
      </c>
      <c r="CA51" s="124">
        <f ca="1">SUMIFS(
  m.vb[valor],
  m.vb[nucleo],$BR$1,
  m.vb[variavel],CA$7,
  m.vb[mes],$A51
)</f>
        <v>0</v>
      </c>
      <c r="CB51" s="122">
        <f>COUNTIFS(
    tb_estq[empresa], CB$6,
    tb_estq[Data da venda / reserva], "&gt;=" &amp; $A51,
    tb_estq[Data da venda / reserva], "&lt;"  &amp; EOMONTH($A51,0) + 1
)</f>
        <v>0</v>
      </c>
      <c r="CC51" s="123">
        <f ca="1">SUMIFS(tb_rec_uni[2025-01-01],
INDIRECT("tb_rec_uni[natureza]"),"pro.soluto",
INDIRECT("tb_rec_uni[empresa]"),CC$6)</f>
        <v>0</v>
      </c>
      <c r="CD51" s="123">
        <f ca="1">SUMIFS(tb_rec_uni[2025-01-01],
INDIRECT("tb_rec_uni[natureza]"),"repasse.cef.obra",
INDIRECT("tb_rec_uni[empresa]"),CD$6)</f>
        <v>0</v>
      </c>
      <c r="CE51" s="123">
        <f ca="1">SUMIFS(tb_rec_uni[2025-01-01],
INDIRECT("tb_rec_uni[natureza]"),"repasse.cef.terreno",
INDIRECT("tb_rec_uni[empresa]"),CE$6)</f>
        <v>0</v>
      </c>
      <c r="CF51" s="123">
        <v>0</v>
      </c>
      <c r="CG51" s="123">
        <f ca="1">SUMIFS(tb_rec_uni[2025-01-01],
INDIRECT("tb_rec_uni[natureza]"),"taxa.extra",
INDIRECT("tb_rec_uni[empresa]"),CG$6)</f>
        <v>0</v>
      </c>
      <c r="CH51" s="111"/>
      <c r="CI51" s="123">
        <f ca="1">SUMIFS(
  m.vb[valor],
  m.vb[nucleo],$CB$1,
  m.vb[variavel],CI$7,
  m.vb[mes],$A51
)</f>
        <v>0</v>
      </c>
      <c r="CJ51" s="123">
        <f ca="1">SUMIFS(
  m.vb[valor],
  m.vb[nucleo],$CB$1,
  m.vb[variavel],CJ$7,
  m.vb[mes],$A51
)</f>
        <v>0</v>
      </c>
      <c r="CK51" s="123">
        <f ca="1">SUMIFS(
  m.vb[valor],
  m.vb[nucleo],$CB$1,
  m.vb[variavel],CK$7,
  m.vb[mes],$A51
)</f>
        <v>0</v>
      </c>
      <c r="CL51" s="123">
        <f ca="1">SUMIFS(
  m.vb[valor],
  m.vb[nucleo],$CB$1,
  m.vb[variavel],CL$7,
  m.vb[mes],$A51
)</f>
        <v>0</v>
      </c>
      <c r="CM51" s="124">
        <f ca="1">SUMIFS(
  m.vb[valor],
  m.vb[nucleo],$CB$1,
  m.vb[variavel],CM$7,
  m.vb[mes],$A51
)</f>
        <v>0</v>
      </c>
      <c r="CN51" s="122">
        <f>COUNTIFS(
    tb_estq[empresa], CN$6,
    tb_estq[Data da venda / reserva], "&gt;=" &amp; $A51,
    tb_estq[Data da venda / reserva], "&lt;"  &amp; EOMONTH($A51,0) + 1
)</f>
        <v>0</v>
      </c>
      <c r="CO51" s="123">
        <f ca="1">SUMIFS(tb_rec_uni[2025-01-01],
INDIRECT("tb_rec_uni[natureza]"),"pro.soluto",
INDIRECT("tb_rec_uni[empresa]"),CO$6)</f>
        <v>0</v>
      </c>
      <c r="CP51" s="123">
        <f ca="1">SUMIFS(tb_rec_uni[2025-01-01],
INDIRECT("tb_rec_uni[natureza]"),"repasse.cef.obra",
INDIRECT("tb_rec_uni[empresa]"),CP$6)</f>
        <v>0</v>
      </c>
      <c r="CQ51" s="123">
        <f ca="1">SUMIFS(tb_rec_uni[2025-01-01],
INDIRECT("tb_rec_uni[natureza]"),"repasse.cef.terreno",
INDIRECT("tb_rec_uni[empresa]"),CQ$6)</f>
        <v>0</v>
      </c>
      <c r="CR51" s="123">
        <v>0</v>
      </c>
      <c r="CS51" s="123">
        <f ca="1">SUMIFS(tb_rec_uni[2025-01-01],
INDIRECT("tb_rec_uni[natureza]"),"taxa.extra",
INDIRECT("tb_rec_uni[empresa]"),CS$6)</f>
        <v>0</v>
      </c>
      <c r="CT51" s="111"/>
      <c r="CU51" s="123">
        <f ca="1">SUMIFS(
  m.vb[valor],
  m.vb[nucleo],$CN$1,
  m.vb[variavel],CU$7,
  m.vb[mes],$A51
)</f>
        <v>0</v>
      </c>
      <c r="CV51" s="123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3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3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5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21">
        <v>45689</v>
      </c>
      <c r="B52" s="122">
        <f>COUNTIFS(
    tb_estq[empresa], B$6,
    tb_estq[Data da venda / reserva], "&gt;=" &amp; $A52,
    tb_estq[Data da venda / reserva], "&lt;"  &amp; EOMONTH($A52,0) + 1
)</f>
        <v>0</v>
      </c>
      <c r="C52" s="123">
        <f ca="1">SUMIFS(tb_rec_uni[2025-02-01],
INDIRECT("tb_rec_uni[natureza]"),"pro.soluto",
INDIRECT("tb_rec_uni[empresa]"),C$6)</f>
        <v>0</v>
      </c>
      <c r="D52" s="123">
        <f ca="1">SUMIFS(tb_rec_uni[2025-02-01],
INDIRECT("tb_rec_uni[natureza]"),"repasse.cef.obra",
INDIRECT("tb_rec_uni[empresa]"),D$6)</f>
        <v>0</v>
      </c>
      <c r="E52" s="123">
        <f ca="1">SUMIFS(tb_rec_uni[2025-02-01],
INDIRECT("tb_rec_uni[natureza]"),"repasse.cef.terreno",
INDIRECT("tb_rec_uni[empresa]"),E$6)</f>
        <v>0</v>
      </c>
      <c r="F52" s="123">
        <v>0</v>
      </c>
      <c r="G52" s="123">
        <f ca="1">SUMIFS(tb_rec_uni[2025-02-01],
INDIRECT("tb_rec_uni[natureza]"),"taxa.extra",
INDIRECT("tb_rec_uni[empresa]"),G$6)</f>
        <v>0</v>
      </c>
      <c r="H52" s="111"/>
      <c r="I52" s="123">
        <f ca="1">SUMIFS(
  m.vb[valor],
  m.vb[nucleo],$B$1,
  m.vb[variavel],I$7,
  m.vb[mes],$A52
)</f>
        <v>0</v>
      </c>
      <c r="J52" s="123">
        <f ca="1">SUMIFS(
  m.vb[valor],
  m.vb[nucleo],$B$1,
  m.vb[variavel],J$7,
  m.vb[mes],$A52
)</f>
        <v>0</v>
      </c>
      <c r="K52" s="123">
        <f ca="1">SUMIFS(
  m.vb[valor],
  m.vb[nucleo],$B$1,
  m.vb[variavel],K$7,
  m.vb[mes],$A52
)</f>
        <v>0</v>
      </c>
      <c r="L52" s="123">
        <f ca="1">SUMIFS(
  m.vb[valor],
  m.vb[nucleo],$B$1,
  m.vb[variavel],L$7,
  m.vb[mes],$A52
)</f>
        <v>0</v>
      </c>
      <c r="M52" s="124">
        <f ca="1">SUMIFS(
  m.vb[valor],
  m.vb[nucleo],$B$1,
  m.vb[variavel],M$7,
  m.vb[mes],$A52
)</f>
        <v>0</v>
      </c>
      <c r="N52" s="122">
        <f>COUNTIFS(
    tb_estq[empresa], N$6,
    tb_estq[Data da venda / reserva], "&gt;=" &amp; $A52,
    tb_estq[Data da venda / reserva], "&lt;"  &amp; EOMONTH($A52,0) + 1
)</f>
        <v>0</v>
      </c>
      <c r="O52" s="123">
        <f ca="1">SUMIFS(tb_rec_uni[2025-02-01],
INDIRECT("tb_rec_uni[natureza]"),"pro.soluto",
INDIRECT("tb_rec_uni[empresa]"),O$6)</f>
        <v>0</v>
      </c>
      <c r="P52" s="123">
        <f ca="1">SUMIFS(tb_rec_uni[2025-02-01],
INDIRECT("tb_rec_uni[natureza]"),"repasse.cef.obra",
INDIRECT("tb_rec_uni[empresa]"),P$6)</f>
        <v>0</v>
      </c>
      <c r="Q52" s="123">
        <f ca="1">SUMIFS(tb_rec_uni[2025-02-01],
INDIRECT("tb_rec_uni[natureza]"),"repasse.cef.terreno",
INDIRECT("tb_rec_uni[empresa]"),Q$6)</f>
        <v>0</v>
      </c>
      <c r="R52" s="123">
        <v>0</v>
      </c>
      <c r="S52" s="123">
        <f ca="1">SUMIFS(tb_rec_uni[2025-02-01],
INDIRECT("tb_rec_uni[natureza]"),"taxa.extra",
INDIRECT("tb_rec_uni[empresa]"),S$6)</f>
        <v>0</v>
      </c>
      <c r="T52" s="111"/>
      <c r="U52" s="123">
        <f ca="1">SUMIFS(
  m.vb[valor],
  m.vb[nucleo],$N$1,
  m.vb[variavel],U$7,
  m.vb[mes],$A52
)</f>
        <v>0</v>
      </c>
      <c r="V52" s="123">
        <f ca="1">SUMIFS(
  m.vb[valor],
  m.vb[nucleo],$N$1,
  m.vb[variavel],V$7,
  m.vb[mes],$A52
)</f>
        <v>0</v>
      </c>
      <c r="W52" s="123">
        <f ca="1">SUMIFS(
  m.vb[valor],
  m.vb[nucleo],$N$1,
  m.vb[variavel],W$7,
  m.vb[mes],$A52
)</f>
        <v>0</v>
      </c>
      <c r="X52" s="123">
        <f ca="1">SUMIFS(
  m.vb[valor],
  m.vb[nucleo],$N$1,
  m.vb[variavel],X$7,
  m.vb[mes],$A52
)</f>
        <v>0</v>
      </c>
      <c r="Y52" s="124">
        <f ca="1">SUMIFS(
  m.vb[valor],
  m.vb[nucleo],$N$1,
  m.vb[variavel],Y$7,
  m.vb[mes],$A52
)</f>
        <v>0</v>
      </c>
      <c r="Z52" s="122">
        <f>COUNTIFS(
    tb_estq[empresa], Z$6,
    tb_estq[Data da venda / reserva], "&gt;=" &amp; $A52,
    tb_estq[Data da venda / reserva], "&lt;"  &amp; EOMONTH($A52,0) + 1
)</f>
        <v>0</v>
      </c>
      <c r="AA52" s="123">
        <f ca="1">SUMIFS(tb_rec_uni[2025-02-01],
INDIRECT("tb_rec_uni[natureza]"),"pro.soluto",
INDIRECT("tb_rec_uni[empresa]"),AA$6)</f>
        <v>0</v>
      </c>
      <c r="AB52" s="123">
        <f ca="1">SUMIFS(tb_rec_uni[2025-02-01],
INDIRECT("tb_rec_uni[natureza]"),"parcela.fin.total.ik",
INDIRECT("tb_rec_uni[empresa]"),AB$6)</f>
        <v>0</v>
      </c>
      <c r="AC52" s="123">
        <f ca="1">SUMIFS(tb_rec_uni[2025-02-01],
INDIRECT("tb_rec_uni[natureza]"),"taxa.extra",
INDIRECT("tb_rec_uni[empresa]"),AC$6)</f>
        <v>0</v>
      </c>
      <c r="AD52" s="111"/>
      <c r="AE52" s="123">
        <f ca="1">SUMIFS(
  m.vb[valor],
  m.vb[nucleo],$Z$1,
  m.vb[variavel],AE$7,
  m.vb[mes],$A52
)</f>
        <v>0</v>
      </c>
      <c r="AF52" s="123">
        <f ca="1">SUMIFS(
  m.vb[valor],
  m.vb[nucleo],$Z$1,
  m.vb[variavel],AF$7,
  m.vb[mes],$A52
)</f>
        <v>0</v>
      </c>
      <c r="AG52" s="123">
        <f ca="1">SUMIFS(
  m.vb[valor],
  m.vb[nucleo],$Z$1,
  m.vb[variavel],AG$7,
  m.vb[mes],$A52
)</f>
        <v>0</v>
      </c>
      <c r="AH52" s="123">
        <f ca="1">SUMIFS(
  m.vb[valor],
  m.vb[nucleo],$Z$1,
  m.vb[variavel],AH$7,
  m.vb[mes],$A52
)</f>
        <v>0</v>
      </c>
      <c r="AI52" s="124">
        <f ca="1">SUMIFS(
  m.vb[valor],
  m.vb[nucleo],$Z$1,
  m.vb[variavel],AI$7,
  m.vb[mes],$A52
)</f>
        <v>0</v>
      </c>
      <c r="AJ52" s="122">
        <f>COUNTIFS(
    tb_estq[empresa], AJ$6,
    tb_estq[Data da venda / reserva], "&gt;=" &amp; $A52,
    tb_estq[Data da venda / reserva], "&lt;"  &amp; EOMONTH($A52,0) + 1
)</f>
        <v>0</v>
      </c>
      <c r="AK52" s="123">
        <f ca="1">SUMIFS(tb_rec_uni[2025-02-01],
INDIRECT("tb_rec_uni[natureza]"),"pro.soluto",
INDIRECT("tb_rec_uni[empresa]"),AK$6)</f>
        <v>0</v>
      </c>
      <c r="AL52" s="123">
        <f ca="1">SUMIFS(tb_rec_uni[2025-02-01],
INDIRECT("tb_rec_uni[natureza]"),"repasse.cef.obra",
INDIRECT("tb_rec_uni[empresa]"),AL$6)</f>
        <v>0</v>
      </c>
      <c r="AM52" s="123">
        <f ca="1">SUMIFS(tb_rec_uni[2025-02-01],
INDIRECT("tb_rec_uni[natureza]"),"repasse.cef.terreno",
INDIRECT("tb_rec_uni[empresa]"),AM$6)</f>
        <v>0</v>
      </c>
      <c r="AN52" s="123">
        <v>0</v>
      </c>
      <c r="AO52" s="123">
        <f ca="1">SUMIFS(tb_rec_uni[2025-02-01],
INDIRECT("tb_rec_uni[natureza]"),"taxa.extra",
INDIRECT("tb_rec_uni[empresa]"),AO$6)</f>
        <v>0</v>
      </c>
      <c r="AP52" s="111"/>
      <c r="AQ52" s="123">
        <f ca="1">SUMIFS(
  m.vb[valor],
  m.vb[nucleo],$AJ$1,
  m.vb[variavel],AQ$7,
  m.vb[mes],$A52
)</f>
        <v>0</v>
      </c>
      <c r="AR52" s="123">
        <f ca="1">SUMIFS(
  m.vb[valor],
  m.vb[nucleo],$AJ$1,
  m.vb[variavel],AR$7,
  m.vb[mes],$A52
)</f>
        <v>0</v>
      </c>
      <c r="AS52" s="123">
        <f ca="1">SUMIFS(
  m.vb[valor],
  m.vb[nucleo],$AJ$1,
  m.vb[variavel],AS$7,
  m.vb[mes],$A52
)</f>
        <v>0</v>
      </c>
      <c r="AT52" s="123">
        <f ca="1">SUMIFS(
  m.vb[valor],
  m.vb[nucleo],$AJ$1,
  m.vb[variavel],AT$7,
  m.vb[mes],$A52
)</f>
        <v>0</v>
      </c>
      <c r="AU52" s="124">
        <f ca="1">SUMIFS(
  m.vb[valor],
  m.vb[nucleo],$AJ$1,
  m.vb[variavel],AU$7,
  m.vb[mes],$A52
)</f>
        <v>0</v>
      </c>
      <c r="AV52" s="122">
        <f>COUNTIFS(
    tb_estq[empresa], AV$6,
    tb_estq[Data da venda / reserva], "&gt;=" &amp; $A52,
    tb_estq[Data da venda / reserva], "&lt;"  &amp; EOMONTH($A52,0) + 1
)</f>
        <v>0</v>
      </c>
      <c r="AW52" s="123">
        <f ca="1">SUMIFS(tb_rec_uni[2025-02-01],
INDIRECT("tb_rec_uni[natureza]"),"pro.soluto",
INDIRECT("tb_rec_uni[empresa]"),AW$6)</f>
        <v>0</v>
      </c>
      <c r="AX52" s="123">
        <f ca="1">SUMIFS(tb_rec_uni[2025-02-01],
INDIRECT("tb_rec_uni[natureza]"),"repasse.cef.obra",
INDIRECT("tb_rec_uni[empresa]"),AX$6)</f>
        <v>0</v>
      </c>
      <c r="AY52" s="123">
        <f ca="1">SUMIFS(tb_rec_uni[2025-02-01],
INDIRECT("tb_rec_uni[natureza]"),"repasse.cef.terreno",
INDIRECT("tb_rec_uni[empresa]"),AY$6)</f>
        <v>0</v>
      </c>
      <c r="AZ52" s="123">
        <v>0</v>
      </c>
      <c r="BA52" s="123">
        <f ca="1">SUMIFS(tb_rec_uni[2025-02-01],
INDIRECT("tb_rec_uni[natureza]"),"taxa.extra",
INDIRECT("tb_rec_uni[empresa]"),BA$6)</f>
        <v>0</v>
      </c>
      <c r="BB52" s="111"/>
      <c r="BC52" s="123">
        <f ca="1">SUMIFS(
  m.vb[valor],
  m.vb[nucleo],$AV$1,
  m.vb[variavel],BC$7,
  m.vb[mes],$A52
)</f>
        <v>0</v>
      </c>
      <c r="BD52" s="123">
        <f ca="1">SUMIFS(
  m.vb[valor],
  m.vb[nucleo],$AV$1,
  m.vb[variavel],BD$7,
  m.vb[mes],$A52
)</f>
        <v>0</v>
      </c>
      <c r="BE52" s="123">
        <f ca="1">SUMIFS(
  m.vb[valor],
  m.vb[nucleo],$AV$1,
  m.vb[variavel],BE$7,
  m.vb[mes],$A52
)</f>
        <v>0</v>
      </c>
      <c r="BF52" s="123">
        <f ca="1">SUMIFS(
  m.vb[valor],
  m.vb[nucleo],$AV$1,
  m.vb[variavel],BF$7,
  m.vb[mes],$A52
)</f>
        <v>0</v>
      </c>
      <c r="BG52" s="124">
        <f ca="1">SUMIFS(
  m.vb[valor],
  m.vb[nucleo],$AV$1,
  m.vb[variavel],BG$7,
  m.vb[mes],$A52
)</f>
        <v>0</v>
      </c>
      <c r="BH52" s="122">
        <f>COUNTIFS(
    tb_estq[empresa], BH$6,
    tb_estq[Data da venda / reserva], "&gt;=" &amp; $A52,
    tb_estq[Data da venda / reserva], "&lt;"  &amp; EOMONTH($A52,0) + 1
)</f>
        <v>0</v>
      </c>
      <c r="BI52" s="123">
        <f ca="1">SUMIFS(tb_rec_uni[2025-02-01],
INDIRECT("tb_rec_uni[natureza]"),"pro.soluto",
INDIRECT("tb_rec_uni[empresa]"),BI$6)</f>
        <v>0</v>
      </c>
      <c r="BJ52" s="111">
        <f>1.08*94736</f>
        <v>102314.88</v>
      </c>
      <c r="BK52" s="123">
        <f ca="1">SUMIFS(tb_rec_uni[2025-02-01],
INDIRECT("tb_rec_uni[natureza]"),"taxa.extra",
INDIRECT("tb_rec_uni[empresa]"),BK$6)</f>
        <v>0</v>
      </c>
      <c r="BL52" s="111"/>
      <c r="BM52" s="123">
        <f ca="1">SUMIFS(
  m.vb[valor],
  m.vb[nucleo],$BH$1,
  m.vb[variavel],BM$7,
  m.vb[mes],$A52
)</f>
        <v>0</v>
      </c>
      <c r="BN52" s="123">
        <f ca="1">SUMIFS(
  m.vb[valor],
  m.vb[nucleo],$BH$1,
  m.vb[variavel],BN$7,
  m.vb[mes],$A52
)</f>
        <v>0</v>
      </c>
      <c r="BO52" s="123">
        <f ca="1">SUMIFS(
  m.vb[valor],
  m.vb[nucleo],$BH$1,
  m.vb[variavel],BO$7,
  m.vb[mes],$A52
)</f>
        <v>0</v>
      </c>
      <c r="BP52" s="123">
        <f ca="1">SUMIFS(
  m.vb[valor],
  m.vb[nucleo],$BH$1,
  m.vb[variavel],BP$7,
  m.vb[mes],$A52
)</f>
        <v>0</v>
      </c>
      <c r="BQ52" s="124">
        <f ca="1">SUMIFS(
  m.vb[valor],
  m.vb[nucleo],$BH$1,
  m.vb[variavel],BQ$7,
  m.vb[mes],$A52
)</f>
        <v>0</v>
      </c>
      <c r="BR52" s="122">
        <f>COUNTIFS(
    tb_estq[empresa], BR$6,
    tb_estq[Data da venda / reserva], "&gt;=" &amp; $A52,
    tb_estq[Data da venda / reserva], "&lt;"  &amp; EOMONTH($A52,0) + 1
)</f>
        <v>0</v>
      </c>
      <c r="BS52" s="123">
        <f ca="1">SUMIFS(tb_rec_uni[2025-02-01],
INDIRECT("tb_rec_uni[natureza]"),"pro.soluto",
INDIRECT("tb_rec_uni[empresa]"),BS$6)</f>
        <v>0</v>
      </c>
      <c r="BT52" s="123">
        <f ca="1">SUMIFS(tb_rec_uni[2025-02-01],
INDIRECT("tb_rec_uni[natureza]"),"parcela.fin.total.ik",
INDIRECT("tb_rec_uni[empresa]"),BT$6)</f>
        <v>0</v>
      </c>
      <c r="BU52" s="123">
        <f ca="1">SUMIFS(tb_rec_uni[2025-02-01],
INDIRECT("tb_rec_uni[natureza]"),"taxa.extra",
INDIRECT("tb_rec_uni[empresa]"),BU$6)</f>
        <v>0</v>
      </c>
      <c r="BV52" s="111"/>
      <c r="BW52" s="123">
        <f ca="1">SUMIFS(
  m.vb[valor],
  m.vb[nucleo],$BR$1,
  m.vb[variavel],BW$7,
  m.vb[mes],$A52
)</f>
        <v>0</v>
      </c>
      <c r="BX52" s="123">
        <f ca="1">SUMIFS(
  m.vb[valor],
  m.vb[nucleo],$BR$1,
  m.vb[variavel],BX$7,
  m.vb[mes],$A52
)</f>
        <v>0</v>
      </c>
      <c r="BY52" s="123">
        <f ca="1">SUMIFS(
  m.vb[valor],
  m.vb[nucleo],$BR$1,
  m.vb[variavel],BY$7,
  m.vb[mes],$A52
)</f>
        <v>0</v>
      </c>
      <c r="BZ52" s="123">
        <f ca="1">SUMIFS(
  m.vb[valor],
  m.vb[nucleo],$BR$1,
  m.vb[variavel],BZ$7,
  m.vb[mes],$A52
)</f>
        <v>0</v>
      </c>
      <c r="CA52" s="124">
        <f ca="1">SUMIFS(
  m.vb[valor],
  m.vb[nucleo],$BR$1,
  m.vb[variavel],CA$7,
  m.vb[mes],$A52
)</f>
        <v>0</v>
      </c>
      <c r="CB52" s="122">
        <f>COUNTIFS(
    tb_estq[empresa], CB$6,
    tb_estq[Data da venda / reserva], "&gt;=" &amp; $A52,
    tb_estq[Data da venda / reserva], "&lt;"  &amp; EOMONTH($A52,0) + 1
)</f>
        <v>0</v>
      </c>
      <c r="CC52" s="123">
        <f ca="1">SUMIFS(tb_rec_uni[2025-02-01],
INDIRECT("tb_rec_uni[natureza]"),"pro.soluto",
INDIRECT("tb_rec_uni[empresa]"),CC$6)</f>
        <v>0</v>
      </c>
      <c r="CD52" s="123">
        <f ca="1">SUMIFS(tb_rec_uni[2025-02-01],
INDIRECT("tb_rec_uni[natureza]"),"repasse.cef.obra",
INDIRECT("tb_rec_uni[empresa]"),CD$6)</f>
        <v>0</v>
      </c>
      <c r="CE52" s="123">
        <f ca="1">SUMIFS(tb_rec_uni[2025-02-01],
INDIRECT("tb_rec_uni[natureza]"),"repasse.cef.terreno",
INDIRECT("tb_rec_uni[empresa]"),CE$6)</f>
        <v>0</v>
      </c>
      <c r="CF52" s="123">
        <v>0</v>
      </c>
      <c r="CG52" s="123">
        <f ca="1">SUMIFS(tb_rec_uni[2025-02-01],
INDIRECT("tb_rec_uni[natureza]"),"taxa.extra",
INDIRECT("tb_rec_uni[empresa]"),CG$6)</f>
        <v>0</v>
      </c>
      <c r="CH52" s="111"/>
      <c r="CI52" s="123">
        <f ca="1">SUMIFS(
  m.vb[valor],
  m.vb[nucleo],$CB$1,
  m.vb[variavel],CI$7,
  m.vb[mes],$A52
)</f>
        <v>0</v>
      </c>
      <c r="CJ52" s="123">
        <f ca="1">SUMIFS(
  m.vb[valor],
  m.vb[nucleo],$CB$1,
  m.vb[variavel],CJ$7,
  m.vb[mes],$A52
)</f>
        <v>0</v>
      </c>
      <c r="CK52" s="123">
        <f ca="1">SUMIFS(
  m.vb[valor],
  m.vb[nucleo],$CB$1,
  m.vb[variavel],CK$7,
  m.vb[mes],$A52
)</f>
        <v>0</v>
      </c>
      <c r="CL52" s="123">
        <f ca="1">SUMIFS(
  m.vb[valor],
  m.vb[nucleo],$CB$1,
  m.vb[variavel],CL$7,
  m.vb[mes],$A52
)</f>
        <v>0</v>
      </c>
      <c r="CM52" s="124">
        <f ca="1">SUMIFS(
  m.vb[valor],
  m.vb[nucleo],$CB$1,
  m.vb[variavel],CM$7,
  m.vb[mes],$A52
)</f>
        <v>0</v>
      </c>
      <c r="CN52" s="122">
        <f>COUNTIFS(
    tb_estq[empresa], CN$6,
    tb_estq[Data da venda / reserva], "&gt;=" &amp; $A52,
    tb_estq[Data da venda / reserva], "&lt;"  &amp; EOMONTH($A52,0) + 1
)</f>
        <v>0</v>
      </c>
      <c r="CO52" s="123">
        <f ca="1">SUMIFS(tb_rec_uni[2025-02-01],
INDIRECT("tb_rec_uni[natureza]"),"pro.soluto",
INDIRECT("tb_rec_uni[empresa]"),CO$6)</f>
        <v>0</v>
      </c>
      <c r="CP52" s="123">
        <f ca="1">SUMIFS(tb_rec_uni[2025-02-01],
INDIRECT("tb_rec_uni[natureza]"),"repasse.cef.obra",
INDIRECT("tb_rec_uni[empresa]"),CP$6)</f>
        <v>0</v>
      </c>
      <c r="CQ52" s="123">
        <f ca="1">SUMIFS(tb_rec_uni[2025-02-01],
INDIRECT("tb_rec_uni[natureza]"),"repasse.cef.terreno",
INDIRECT("tb_rec_uni[empresa]"),CQ$6)</f>
        <v>0</v>
      </c>
      <c r="CR52" s="123">
        <v>0</v>
      </c>
      <c r="CS52" s="123">
        <f ca="1">SUMIFS(tb_rec_uni[2025-02-01],
INDIRECT("tb_rec_uni[natureza]"),"taxa.extra",
INDIRECT("tb_rec_uni[empresa]"),CS$6)</f>
        <v>0</v>
      </c>
      <c r="CT52" s="111"/>
      <c r="CU52" s="123">
        <f ca="1">SUMIFS(
  m.vb[valor],
  m.vb[nucleo],$CN$1,
  m.vb[variavel],CU$7,
  m.vb[mes],$A52
)</f>
        <v>0</v>
      </c>
      <c r="CV52" s="123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3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3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5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21">
        <v>45717</v>
      </c>
      <c r="B53" s="122">
        <f>COUNTIFS(
    tb_estq[empresa], B$6,
    tb_estq[Data da venda / reserva], "&gt;=" &amp; $A53,
    tb_estq[Data da venda / reserva], "&lt;"  &amp; EOMONTH($A53,0) + 1
)</f>
        <v>0</v>
      </c>
      <c r="C53" s="123">
        <f ca="1">SUMIFS(tb_rec_uni[2025-03-01],
INDIRECT("tb_rec_uni[natureza]"),"pro.soluto",
INDIRECT("tb_rec_uni[empresa]"),C$6)</f>
        <v>0</v>
      </c>
      <c r="D53" s="123">
        <f ca="1">SUMIFS(tb_rec_uni[2025-03-01],
INDIRECT("tb_rec_uni[natureza]"),"repasse.cef.obra",
INDIRECT("tb_rec_uni[empresa]"),D$6)</f>
        <v>0</v>
      </c>
      <c r="E53" s="123">
        <f ca="1">SUMIFS(tb_rec_uni[2025-03-01],
INDIRECT("tb_rec_uni[natureza]"),"repasse.cef.terreno",
INDIRECT("tb_rec_uni[empresa]"),E$6)</f>
        <v>0</v>
      </c>
      <c r="F53" s="123">
        <v>385006.39</v>
      </c>
      <c r="G53" s="123">
        <f ca="1">SUMIFS(tb_rec_uni[2025-03-01],
INDIRECT("tb_rec_uni[natureza]"),"taxa.extra",
INDIRECT("tb_rec_uni[empresa]"),G$6)</f>
        <v>0</v>
      </c>
      <c r="H53" s="111"/>
      <c r="I53" s="123">
        <f ca="1">SUMIFS(
  m.vb[valor],
  m.vb[nucleo],$B$1,
  m.vb[variavel],I$7,
  m.vb[mes],$A53
)</f>
        <v>0</v>
      </c>
      <c r="J53" s="123">
        <f ca="1">SUMIFS(
  m.vb[valor],
  m.vb[nucleo],$B$1,
  m.vb[variavel],J$7,
  m.vb[mes],$A53
)</f>
        <v>0</v>
      </c>
      <c r="K53" s="123">
        <f ca="1">SUMIFS(
  m.vb[valor],
  m.vb[nucleo],$B$1,
  m.vb[variavel],K$7,
  m.vb[mes],$A53
)</f>
        <v>0</v>
      </c>
      <c r="L53" s="123">
        <f ca="1">SUMIFS(
  m.vb[valor],
  m.vb[nucleo],$B$1,
  m.vb[variavel],L$7,
  m.vb[mes],$A53
)</f>
        <v>0</v>
      </c>
      <c r="M53" s="124">
        <f ca="1">SUMIFS(
  m.vb[valor],
  m.vb[nucleo],$B$1,
  m.vb[variavel],M$7,
  m.vb[mes],$A53
)</f>
        <v>0</v>
      </c>
      <c r="N53" s="122">
        <f>COUNTIFS(
    tb_estq[empresa], N$6,
    tb_estq[Data da venda / reserva], "&gt;=" &amp; $A53,
    tb_estq[Data da venda / reserva], "&lt;"  &amp; EOMONTH($A53,0) + 1
)</f>
        <v>0</v>
      </c>
      <c r="O53" s="123">
        <f ca="1">SUMIFS(tb_rec_uni[2025-03-01],
INDIRECT("tb_rec_uni[natureza]"),"pro.soluto",
INDIRECT("tb_rec_uni[empresa]"),O$6)</f>
        <v>0</v>
      </c>
      <c r="P53" s="123">
        <f ca="1">SUMIFS(tb_rec_uni[2025-03-01],
INDIRECT("tb_rec_uni[natureza]"),"repasse.cef.obra",
INDIRECT("tb_rec_uni[empresa]"),P$6)</f>
        <v>0</v>
      </c>
      <c r="Q53" s="123">
        <f ca="1">SUMIFS(tb_rec_uni[2025-03-01],
INDIRECT("tb_rec_uni[natureza]"),"repasse.cef.terreno",
INDIRECT("tb_rec_uni[empresa]"),Q$6)</f>
        <v>0</v>
      </c>
      <c r="R53" s="123">
        <v>0</v>
      </c>
      <c r="S53" s="123">
        <f ca="1">SUMIFS(tb_rec_uni[2025-03-01],
INDIRECT("tb_rec_uni[natureza]"),"taxa.extra",
INDIRECT("tb_rec_uni[empresa]"),S$6)</f>
        <v>0</v>
      </c>
      <c r="T53" s="111"/>
      <c r="U53" s="123">
        <f ca="1">SUMIFS(
  m.vb[valor],
  m.vb[nucleo],$N$1,
  m.vb[variavel],U$7,
  m.vb[mes],$A53
)</f>
        <v>0</v>
      </c>
      <c r="V53" s="123">
        <f ca="1">SUMIFS(
  m.vb[valor],
  m.vb[nucleo],$N$1,
  m.vb[variavel],V$7,
  m.vb[mes],$A53
)</f>
        <v>0</v>
      </c>
      <c r="W53" s="123">
        <f ca="1">SUMIFS(
  m.vb[valor],
  m.vb[nucleo],$N$1,
  m.vb[variavel],W$7,
  m.vb[mes],$A53
)</f>
        <v>0</v>
      </c>
      <c r="X53" s="123">
        <f ca="1">SUMIFS(
  m.vb[valor],
  m.vb[nucleo],$N$1,
  m.vb[variavel],X$7,
  m.vb[mes],$A53
)</f>
        <v>0</v>
      </c>
      <c r="Y53" s="124">
        <f ca="1">SUMIFS(
  m.vb[valor],
  m.vb[nucleo],$N$1,
  m.vb[variavel],Y$7,
  m.vb[mes],$A53
)</f>
        <v>0</v>
      </c>
      <c r="Z53" s="122">
        <f>COUNTIFS(
    tb_estq[empresa], Z$6,
    tb_estq[Data da venda / reserva], "&gt;=" &amp; $A53,
    tb_estq[Data da venda / reserva], "&lt;"  &amp; EOMONTH($A53,0) + 1
)</f>
        <v>0</v>
      </c>
      <c r="AA53" s="123">
        <f ca="1">SUMIFS(tb_rec_uni[2025-03-01],
INDIRECT("tb_rec_uni[natureza]"),"pro.soluto",
INDIRECT("tb_rec_uni[empresa]"),AA$6)</f>
        <v>0</v>
      </c>
      <c r="AB53" s="123">
        <f ca="1">SUMIFS(tb_rec_uni[2025-03-01],
INDIRECT("tb_rec_uni[natureza]"),"parcela.fin.total.ik",
INDIRECT("tb_rec_uni[empresa]"),AB$6)</f>
        <v>0</v>
      </c>
      <c r="AC53" s="123">
        <f ca="1">SUMIFS(tb_rec_uni[2025-03-01],
INDIRECT("tb_rec_uni[natureza]"),"taxa.extra",
INDIRECT("tb_rec_uni[empresa]"),AC$6)</f>
        <v>0</v>
      </c>
      <c r="AD53" s="111"/>
      <c r="AE53" s="123">
        <f ca="1">SUMIFS(
  m.vb[valor],
  m.vb[nucleo],$Z$1,
  m.vb[variavel],AE$7,
  m.vb[mes],$A53
)</f>
        <v>0</v>
      </c>
      <c r="AF53" s="123">
        <f ca="1">SUMIFS(
  m.vb[valor],
  m.vb[nucleo],$Z$1,
  m.vb[variavel],AF$7,
  m.vb[mes],$A53
)</f>
        <v>0</v>
      </c>
      <c r="AG53" s="123">
        <f ca="1">SUMIFS(
  m.vb[valor],
  m.vb[nucleo],$Z$1,
  m.vb[variavel],AG$7,
  m.vb[mes],$A53
)</f>
        <v>0</v>
      </c>
      <c r="AH53" s="123">
        <f ca="1">SUMIFS(
  m.vb[valor],
  m.vb[nucleo],$Z$1,
  m.vb[variavel],AH$7,
  m.vb[mes],$A53
)</f>
        <v>0</v>
      </c>
      <c r="AI53" s="124">
        <f ca="1">SUMIFS(
  m.vb[valor],
  m.vb[nucleo],$Z$1,
  m.vb[variavel],AI$7,
  m.vb[mes],$A53
)</f>
        <v>0</v>
      </c>
      <c r="AJ53" s="122">
        <f>COUNTIFS(
    tb_estq[empresa], AJ$6,
    tb_estq[Data da venda / reserva], "&gt;=" &amp; $A53,
    tb_estq[Data da venda / reserva], "&lt;"  &amp; EOMONTH($A53,0) + 1
)</f>
        <v>0</v>
      </c>
      <c r="AK53" s="123">
        <f ca="1">SUMIFS(tb_rec_uni[2025-03-01],
INDIRECT("tb_rec_uni[natureza]"),"pro.soluto",
INDIRECT("tb_rec_uni[empresa]"),AK$6)</f>
        <v>0</v>
      </c>
      <c r="AL53" s="123">
        <f ca="1">SUMIFS(tb_rec_uni[2025-03-01],
INDIRECT("tb_rec_uni[natureza]"),"repasse.cef.obra",
INDIRECT("tb_rec_uni[empresa]"),AL$6)</f>
        <v>0</v>
      </c>
      <c r="AM53" s="123">
        <f ca="1">SUMIFS(tb_rec_uni[2025-03-01],
INDIRECT("tb_rec_uni[natureza]"),"repasse.cef.terreno",
INDIRECT("tb_rec_uni[empresa]"),AM$6)</f>
        <v>0</v>
      </c>
      <c r="AN53" s="123">
        <v>0</v>
      </c>
      <c r="AO53" s="123">
        <f ca="1">SUMIFS(tb_rec_uni[2025-03-01],
INDIRECT("tb_rec_uni[natureza]"),"taxa.extra",
INDIRECT("tb_rec_uni[empresa]"),AO$6)</f>
        <v>0</v>
      </c>
      <c r="AP53" s="111"/>
      <c r="AQ53" s="123">
        <f ca="1">SUMIFS(
  m.vb[valor],
  m.vb[nucleo],$AJ$1,
  m.vb[variavel],AQ$7,
  m.vb[mes],$A53
)</f>
        <v>0</v>
      </c>
      <c r="AR53" s="123">
        <f ca="1">SUMIFS(
  m.vb[valor],
  m.vb[nucleo],$AJ$1,
  m.vb[variavel],AR$7,
  m.vb[mes],$A53
)</f>
        <v>0</v>
      </c>
      <c r="AS53" s="123">
        <f ca="1">SUMIFS(
  m.vb[valor],
  m.vb[nucleo],$AJ$1,
  m.vb[variavel],AS$7,
  m.vb[mes],$A53
)</f>
        <v>0</v>
      </c>
      <c r="AT53" s="123">
        <f ca="1">SUMIFS(
  m.vb[valor],
  m.vb[nucleo],$AJ$1,
  m.vb[variavel],AT$7,
  m.vb[mes],$A53
)</f>
        <v>0</v>
      </c>
      <c r="AU53" s="124">
        <f ca="1">SUMIFS(
  m.vb[valor],
  m.vb[nucleo],$AJ$1,
  m.vb[variavel],AU$7,
  m.vb[mes],$A53
)</f>
        <v>0</v>
      </c>
      <c r="AV53" s="122">
        <f>COUNTIFS(
    tb_estq[empresa], AV$6,
    tb_estq[Data da venda / reserva], "&gt;=" &amp; $A53,
    tb_estq[Data da venda / reserva], "&lt;"  &amp; EOMONTH($A53,0) + 1
)</f>
        <v>0</v>
      </c>
      <c r="AW53" s="123">
        <f ca="1">SUMIFS(tb_rec_uni[2025-03-01],
INDIRECT("tb_rec_uni[natureza]"),"pro.soluto",
INDIRECT("tb_rec_uni[empresa]"),AW$6)</f>
        <v>0</v>
      </c>
      <c r="AX53" s="123">
        <f ca="1">SUMIFS(tb_rec_uni[2025-03-01],
INDIRECT("tb_rec_uni[natureza]"),"repasse.cef.obra",
INDIRECT("tb_rec_uni[empresa]"),AX$6)</f>
        <v>0</v>
      </c>
      <c r="AY53" s="123">
        <f ca="1">SUMIFS(tb_rec_uni[2025-03-01],
INDIRECT("tb_rec_uni[natureza]"),"repasse.cef.terreno",
INDIRECT("tb_rec_uni[empresa]"),AY$6)</f>
        <v>0</v>
      </c>
      <c r="AZ53" s="123">
        <v>0</v>
      </c>
      <c r="BA53" s="123">
        <f ca="1">SUMIFS(tb_rec_uni[2025-03-01],
INDIRECT("tb_rec_uni[natureza]"),"taxa.extra",
INDIRECT("tb_rec_uni[empresa]"),BA$6)</f>
        <v>0</v>
      </c>
      <c r="BB53" s="111"/>
      <c r="BC53" s="123">
        <f ca="1">SUMIFS(
  m.vb[valor],
  m.vb[nucleo],$AV$1,
  m.vb[variavel],BC$7,
  m.vb[mes],$A53
)</f>
        <v>0</v>
      </c>
      <c r="BD53" s="123">
        <f ca="1">SUMIFS(
  m.vb[valor],
  m.vb[nucleo],$AV$1,
  m.vb[variavel],BD$7,
  m.vb[mes],$A53
)</f>
        <v>0</v>
      </c>
      <c r="BE53" s="123">
        <f ca="1">SUMIFS(
  m.vb[valor],
  m.vb[nucleo],$AV$1,
  m.vb[variavel],BE$7,
  m.vb[mes],$A53
)</f>
        <v>0</v>
      </c>
      <c r="BF53" s="123">
        <f ca="1">SUMIFS(
  m.vb[valor],
  m.vb[nucleo],$AV$1,
  m.vb[variavel],BF$7,
  m.vb[mes],$A53
)</f>
        <v>0</v>
      </c>
      <c r="BG53" s="124">
        <f ca="1">SUMIFS(
  m.vb[valor],
  m.vb[nucleo],$AV$1,
  m.vb[variavel],BG$7,
  m.vb[mes],$A53
)</f>
        <v>0</v>
      </c>
      <c r="BH53" s="122">
        <f>COUNTIFS(
    tb_estq[empresa], BH$6,
    tb_estq[Data da venda / reserva], "&gt;=" &amp; $A53,
    tb_estq[Data da venda / reserva], "&lt;"  &amp; EOMONTH($A53,0) + 1
)</f>
        <v>0</v>
      </c>
      <c r="BI53" s="123">
        <f ca="1">SUMIFS(tb_rec_uni[2025-03-01],
INDIRECT("tb_rec_uni[natureza]"),"pro.soluto",
INDIRECT("tb_rec_uni[empresa]"),BI$6)</f>
        <v>0</v>
      </c>
      <c r="BJ53" s="111">
        <f>2.61*94736</f>
        <v>247260.96</v>
      </c>
      <c r="BK53" s="123">
        <f ca="1">SUMIFS(tb_rec_uni[2025-03-01],
INDIRECT("tb_rec_uni[natureza]"),"taxa.extra",
INDIRECT("tb_rec_uni[empresa]"),BK$6)</f>
        <v>0</v>
      </c>
      <c r="BL53" s="111"/>
      <c r="BM53" s="123">
        <f ca="1">SUMIFS(
  m.vb[valor],
  m.vb[nucleo],$BH$1,
  m.vb[variavel],BM$7,
  m.vb[mes],$A53
)</f>
        <v>0</v>
      </c>
      <c r="BN53" s="123">
        <f ca="1">SUMIFS(
  m.vb[valor],
  m.vb[nucleo],$BH$1,
  m.vb[variavel],BN$7,
  m.vb[mes],$A53
)</f>
        <v>0</v>
      </c>
      <c r="BO53" s="123">
        <f ca="1">SUMIFS(
  m.vb[valor],
  m.vb[nucleo],$BH$1,
  m.vb[variavel],BO$7,
  m.vb[mes],$A53
)</f>
        <v>0</v>
      </c>
      <c r="BP53" s="123">
        <f ca="1">SUMIFS(
  m.vb[valor],
  m.vb[nucleo],$BH$1,
  m.vb[variavel],BP$7,
  m.vb[mes],$A53
)</f>
        <v>0</v>
      </c>
      <c r="BQ53" s="124">
        <f ca="1">SUMIFS(
  m.vb[valor],
  m.vb[nucleo],$BH$1,
  m.vb[variavel],BQ$7,
  m.vb[mes],$A53
)</f>
        <v>0</v>
      </c>
      <c r="BR53" s="122">
        <f>COUNTIFS(
    tb_estq[empresa], BR$6,
    tb_estq[Data da venda / reserva], "&gt;=" &amp; $A53,
    tb_estq[Data da venda / reserva], "&lt;"  &amp; EOMONTH($A53,0) + 1
)</f>
        <v>0</v>
      </c>
      <c r="BS53" s="123">
        <f ca="1">SUMIFS(tb_rec_uni[2025-03-01],
INDIRECT("tb_rec_uni[natureza]"),"pro.soluto",
INDIRECT("tb_rec_uni[empresa]"),BS$6)</f>
        <v>0</v>
      </c>
      <c r="BT53" s="123">
        <f ca="1">SUMIFS(tb_rec_uni[2025-03-01],
INDIRECT("tb_rec_uni[natureza]"),"parcela.fin.total.ik",
INDIRECT("tb_rec_uni[empresa]"),BT$6)</f>
        <v>0</v>
      </c>
      <c r="BU53" s="123">
        <f ca="1">SUMIFS(tb_rec_uni[2025-03-01],
INDIRECT("tb_rec_uni[natureza]"),"taxa.extra",
INDIRECT("tb_rec_uni[empresa]"),BU$6)</f>
        <v>0</v>
      </c>
      <c r="BV53" s="111"/>
      <c r="BW53" s="123">
        <f ca="1">SUMIFS(
  m.vb[valor],
  m.vb[nucleo],$BR$1,
  m.vb[variavel],BW$7,
  m.vb[mes],$A53
)</f>
        <v>0</v>
      </c>
      <c r="BX53" s="123">
        <f ca="1">SUMIFS(
  m.vb[valor],
  m.vb[nucleo],$BR$1,
  m.vb[variavel],BX$7,
  m.vb[mes],$A53
)</f>
        <v>0</v>
      </c>
      <c r="BY53" s="123">
        <f ca="1">SUMIFS(
  m.vb[valor],
  m.vb[nucleo],$BR$1,
  m.vb[variavel],BY$7,
  m.vb[mes],$A53
)</f>
        <v>0</v>
      </c>
      <c r="BZ53" s="123">
        <f ca="1">SUMIFS(
  m.vb[valor],
  m.vb[nucleo],$BR$1,
  m.vb[variavel],BZ$7,
  m.vb[mes],$A53
)</f>
        <v>0</v>
      </c>
      <c r="CA53" s="124">
        <f ca="1">SUMIFS(
  m.vb[valor],
  m.vb[nucleo],$BR$1,
  m.vb[variavel],CA$7,
  m.vb[mes],$A53
)</f>
        <v>0</v>
      </c>
      <c r="CB53" s="122">
        <f>COUNTIFS(
    tb_estq[empresa], CB$6,
    tb_estq[Data da venda / reserva], "&gt;=" &amp; $A53,
    tb_estq[Data da venda / reserva], "&lt;"  &amp; EOMONTH($A53,0) + 1
)</f>
        <v>0</v>
      </c>
      <c r="CC53" s="123">
        <f ca="1">SUMIFS(tb_rec_uni[2025-03-01],
INDIRECT("tb_rec_uni[natureza]"),"pro.soluto",
INDIRECT("tb_rec_uni[empresa]"),CC$6)</f>
        <v>0</v>
      </c>
      <c r="CD53" s="123">
        <f ca="1">SUMIFS(tb_rec_uni[2025-03-01],
INDIRECT("tb_rec_uni[natureza]"),"repasse.cef.obra",
INDIRECT("tb_rec_uni[empresa]"),CD$6)</f>
        <v>0</v>
      </c>
      <c r="CE53" s="123">
        <f ca="1">SUMIFS(tb_rec_uni[2025-03-01],
INDIRECT("tb_rec_uni[natureza]"),"repasse.cef.terreno",
INDIRECT("tb_rec_uni[empresa]"),CE$6)</f>
        <v>0</v>
      </c>
      <c r="CF53" s="123">
        <v>236708.67</v>
      </c>
      <c r="CG53" s="123">
        <f ca="1">SUMIFS(tb_rec_uni[2025-03-01],
INDIRECT("tb_rec_uni[natureza]"),"taxa.extra",
INDIRECT("tb_rec_uni[empresa]"),CG$6)</f>
        <v>0</v>
      </c>
      <c r="CH53" s="111"/>
      <c r="CI53" s="123">
        <f ca="1">SUMIFS(
  m.vb[valor],
  m.vb[nucleo],$CB$1,
  m.vb[variavel],CI$7,
  m.vb[mes],$A53
)</f>
        <v>0</v>
      </c>
      <c r="CJ53" s="123">
        <f ca="1">SUMIFS(
  m.vb[valor],
  m.vb[nucleo],$CB$1,
  m.vb[variavel],CJ$7,
  m.vb[mes],$A53
)</f>
        <v>0</v>
      </c>
      <c r="CK53" s="123">
        <f ca="1">SUMIFS(
  m.vb[valor],
  m.vb[nucleo],$CB$1,
  m.vb[variavel],CK$7,
  m.vb[mes],$A53
)</f>
        <v>0</v>
      </c>
      <c r="CL53" s="123">
        <f ca="1">SUMIFS(
  m.vb[valor],
  m.vb[nucleo],$CB$1,
  m.vb[variavel],CL$7,
  m.vb[mes],$A53
)</f>
        <v>0</v>
      </c>
      <c r="CM53" s="124">
        <f ca="1">SUMIFS(
  m.vb[valor],
  m.vb[nucleo],$CB$1,
  m.vb[variavel],CM$7,
  m.vb[mes],$A53
)</f>
        <v>0</v>
      </c>
      <c r="CN53" s="122">
        <f>COUNTIFS(
    tb_estq[empresa], CN$6,
    tb_estq[Data da venda / reserva], "&gt;=" &amp; $A53,
    tb_estq[Data da venda / reserva], "&lt;"  &amp; EOMONTH($A53,0) + 1
)</f>
        <v>0</v>
      </c>
      <c r="CO53" s="123">
        <f ca="1">SUMIFS(tb_rec_uni[2025-03-01],
INDIRECT("tb_rec_uni[natureza]"),"pro.soluto",
INDIRECT("tb_rec_uni[empresa]"),CO$6)</f>
        <v>0</v>
      </c>
      <c r="CP53" s="123">
        <f ca="1">SUMIFS(tb_rec_uni[2025-03-01],
INDIRECT("tb_rec_uni[natureza]"),"repasse.cef.obra",
INDIRECT("tb_rec_uni[empresa]"),CP$6)</f>
        <v>0</v>
      </c>
      <c r="CQ53" s="123">
        <f ca="1">SUMIFS(tb_rec_uni[2025-03-01],
INDIRECT("tb_rec_uni[natureza]"),"repasse.cef.terreno",
INDIRECT("tb_rec_uni[empresa]"),CQ$6)</f>
        <v>0</v>
      </c>
      <c r="CR53" s="123">
        <v>0</v>
      </c>
      <c r="CS53" s="123">
        <f ca="1">SUMIFS(tb_rec_uni[2025-03-01],
INDIRECT("tb_rec_uni[natureza]"),"taxa.extra",
INDIRECT("tb_rec_uni[empresa]"),CS$6)</f>
        <v>0</v>
      </c>
      <c r="CT53" s="111"/>
      <c r="CU53" s="123">
        <f ca="1">SUMIFS(
  m.vb[valor],
  m.vb[nucleo],$CN$1,
  m.vb[variavel],CU$7,
  m.vb[mes],$A53
)</f>
        <v>0</v>
      </c>
      <c r="CV53" s="123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3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3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5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21">
        <v>45748</v>
      </c>
      <c r="B54" s="122">
        <f>COUNTIFS(
    tb_estq[empresa], B$6,
    tb_estq[Data da venda / reserva], "&gt;=" &amp; $A54,
    tb_estq[Data da venda / reserva], "&lt;"  &amp; EOMONTH($A54,0) + 1
)</f>
        <v>0</v>
      </c>
      <c r="C54" s="123">
        <f ca="1">SUMIFS(tb_rec_uni[2025-04-01],
INDIRECT("tb_rec_uni[natureza]"),"pro.soluto",
INDIRECT("tb_rec_uni[empresa]"),C$6)</f>
        <v>0</v>
      </c>
      <c r="D54" s="123">
        <f ca="1">SUMIFS(tb_rec_uni[2025-04-01],
INDIRECT("tb_rec_uni[natureza]"),"repasse.cef.obra",
INDIRECT("tb_rec_uni[empresa]"),D$6)</f>
        <v>0</v>
      </c>
      <c r="E54" s="123">
        <f ca="1">SUMIFS(tb_rec_uni[2025-04-01],
INDIRECT("tb_rec_uni[natureza]"),"repasse.cef.terreno",
INDIRECT("tb_rec_uni[empresa]"),E$6)</f>
        <v>0</v>
      </c>
      <c r="F54" s="123">
        <v>223853.73</v>
      </c>
      <c r="G54" s="123">
        <f ca="1">SUMIFS(tb_rec_uni[2025-04-01],
INDIRECT("tb_rec_uni[natureza]"),"taxa.extra",
INDIRECT("tb_rec_uni[empresa]"),G$6)</f>
        <v>0</v>
      </c>
      <c r="H54" s="111"/>
      <c r="I54" s="123">
        <f ca="1">SUMIFS(
  m.vb[valor],
  m.vb[nucleo],$B$1,
  m.vb[variavel],I$7,
  m.vb[mes],$A54
)</f>
        <v>0</v>
      </c>
      <c r="J54" s="123">
        <f ca="1">SUMIFS(
  m.vb[valor],
  m.vb[nucleo],$B$1,
  m.vb[variavel],J$7,
  m.vb[mes],$A54
)</f>
        <v>0</v>
      </c>
      <c r="K54" s="123">
        <f ca="1">SUMIFS(
  m.vb[valor],
  m.vb[nucleo],$B$1,
  m.vb[variavel],K$7,
  m.vb[mes],$A54
)</f>
        <v>0</v>
      </c>
      <c r="L54" s="123">
        <f ca="1">SUMIFS(
  m.vb[valor],
  m.vb[nucleo],$B$1,
  m.vb[variavel],L$7,
  m.vb[mes],$A54
)</f>
        <v>0</v>
      </c>
      <c r="M54" s="124">
        <f ca="1">SUMIFS(
  m.vb[valor],
  m.vb[nucleo],$B$1,
  m.vb[variavel],M$7,
  m.vb[mes],$A54
)</f>
        <v>0</v>
      </c>
      <c r="N54" s="122">
        <f>COUNTIFS(
    tb_estq[empresa], N$6,
    tb_estq[Data da venda / reserva], "&gt;=" &amp; $A54,
    tb_estq[Data da venda / reserva], "&lt;"  &amp; EOMONTH($A54,0) + 1
)</f>
        <v>0</v>
      </c>
      <c r="O54" s="123">
        <f ca="1">SUMIFS(tb_rec_uni[2025-04-01],
INDIRECT("tb_rec_uni[natureza]"),"pro.soluto",
INDIRECT("tb_rec_uni[empresa]"),O$6)</f>
        <v>0</v>
      </c>
      <c r="P54" s="123">
        <f ca="1">SUMIFS(tb_rec_uni[2025-04-01],
INDIRECT("tb_rec_uni[natureza]"),"repasse.cef.obra",
INDIRECT("tb_rec_uni[empresa]"),P$6)</f>
        <v>0</v>
      </c>
      <c r="Q54" s="123">
        <f ca="1">SUMIFS(tb_rec_uni[2025-04-01],
INDIRECT("tb_rec_uni[natureza]"),"repasse.cef.terreno",
INDIRECT("tb_rec_uni[empresa]"),Q$6)</f>
        <v>0</v>
      </c>
      <c r="R54" s="123">
        <v>0</v>
      </c>
      <c r="S54" s="123">
        <f ca="1">SUMIFS(tb_rec_uni[2025-04-01],
INDIRECT("tb_rec_uni[natureza]"),"taxa.extra",
INDIRECT("tb_rec_uni[empresa]"),S$6)</f>
        <v>0</v>
      </c>
      <c r="T54" s="111"/>
      <c r="U54" s="123">
        <f ca="1">SUMIFS(
  m.vb[valor],
  m.vb[nucleo],$N$1,
  m.vb[variavel],U$7,
  m.vb[mes],$A54
)</f>
        <v>0</v>
      </c>
      <c r="V54" s="123">
        <f ca="1">SUMIFS(
  m.vb[valor],
  m.vb[nucleo],$N$1,
  m.vb[variavel],V$7,
  m.vb[mes],$A54
)</f>
        <v>0</v>
      </c>
      <c r="W54" s="123">
        <f ca="1">SUMIFS(
  m.vb[valor],
  m.vb[nucleo],$N$1,
  m.vb[variavel],W$7,
  m.vb[mes],$A54
)</f>
        <v>0</v>
      </c>
      <c r="X54" s="123">
        <f ca="1">SUMIFS(
  m.vb[valor],
  m.vb[nucleo],$N$1,
  m.vb[variavel],X$7,
  m.vb[mes],$A54
)</f>
        <v>0</v>
      </c>
      <c r="Y54" s="124">
        <f ca="1">SUMIFS(
  m.vb[valor],
  m.vb[nucleo],$N$1,
  m.vb[variavel],Y$7,
  m.vb[mes],$A54
)</f>
        <v>0</v>
      </c>
      <c r="Z54" s="122">
        <f>COUNTIFS(
    tb_estq[empresa], Z$6,
    tb_estq[Data da venda / reserva], "&gt;=" &amp; $A54,
    tb_estq[Data da venda / reserva], "&lt;"  &amp; EOMONTH($A54,0) + 1
)</f>
        <v>0</v>
      </c>
      <c r="AA54" s="123">
        <f ca="1">SUMIFS(tb_rec_uni[2025-04-01],
INDIRECT("tb_rec_uni[natureza]"),"pro.soluto",
INDIRECT("tb_rec_uni[empresa]"),AA$6)</f>
        <v>0</v>
      </c>
      <c r="AB54" s="123">
        <f ca="1">SUMIFS(tb_rec_uni[2025-04-01],
INDIRECT("tb_rec_uni[natureza]"),"parcela.fin.total.ik",
INDIRECT("tb_rec_uni[empresa]"),AB$6)</f>
        <v>0</v>
      </c>
      <c r="AC54" s="123">
        <f ca="1">SUMIFS(tb_rec_uni[2025-04-01],
INDIRECT("tb_rec_uni[natureza]"),"taxa.extra",
INDIRECT("tb_rec_uni[empresa]"),AC$6)</f>
        <v>0</v>
      </c>
      <c r="AD54" s="111"/>
      <c r="AE54" s="123">
        <f ca="1">SUMIFS(
  m.vb[valor],
  m.vb[nucleo],$Z$1,
  m.vb[variavel],AE$7,
  m.vb[mes],$A54
)</f>
        <v>0</v>
      </c>
      <c r="AF54" s="123">
        <f ca="1">SUMIFS(
  m.vb[valor],
  m.vb[nucleo],$Z$1,
  m.vb[variavel],AF$7,
  m.vb[mes],$A54
)</f>
        <v>0</v>
      </c>
      <c r="AG54" s="123">
        <f ca="1">SUMIFS(
  m.vb[valor],
  m.vb[nucleo],$Z$1,
  m.vb[variavel],AG$7,
  m.vb[mes],$A54
)</f>
        <v>0</v>
      </c>
      <c r="AH54" s="123">
        <f ca="1">SUMIFS(
  m.vb[valor],
  m.vb[nucleo],$Z$1,
  m.vb[variavel],AH$7,
  m.vb[mes],$A54
)</f>
        <v>0</v>
      </c>
      <c r="AI54" s="124">
        <f ca="1">SUMIFS(
  m.vb[valor],
  m.vb[nucleo],$Z$1,
  m.vb[variavel],AI$7,
  m.vb[mes],$A54
)</f>
        <v>0</v>
      </c>
      <c r="AJ54" s="122">
        <f>COUNTIFS(
    tb_estq[empresa], AJ$6,
    tb_estq[Data da venda / reserva], "&gt;=" &amp; $A54,
    tb_estq[Data da venda / reserva], "&lt;"  &amp; EOMONTH($A54,0) + 1
)</f>
        <v>0</v>
      </c>
      <c r="AK54" s="123">
        <f ca="1">SUMIFS(tb_rec_uni[2025-04-01],
INDIRECT("tb_rec_uni[natureza]"),"pro.soluto",
INDIRECT("tb_rec_uni[empresa]"),AK$6)</f>
        <v>0</v>
      </c>
      <c r="AL54" s="123">
        <f ca="1">SUMIFS(tb_rec_uni[2025-04-01],
INDIRECT("tb_rec_uni[natureza]"),"repasse.cef.obra",
INDIRECT("tb_rec_uni[empresa]"),AL$6)</f>
        <v>0</v>
      </c>
      <c r="AM54" s="123">
        <f ca="1">SUMIFS(tb_rec_uni[2025-04-01],
INDIRECT("tb_rec_uni[natureza]"),"repasse.cef.terreno",
INDIRECT("tb_rec_uni[empresa]"),AM$6)</f>
        <v>0</v>
      </c>
      <c r="AN54" s="123">
        <v>0</v>
      </c>
      <c r="AO54" s="123">
        <f ca="1">SUMIFS(tb_rec_uni[2025-04-01],
INDIRECT("tb_rec_uni[natureza]"),"taxa.extra",
INDIRECT("tb_rec_uni[empresa]"),AO$6)</f>
        <v>0</v>
      </c>
      <c r="AP54" s="111"/>
      <c r="AQ54" s="123">
        <f ca="1">SUMIFS(
  m.vb[valor],
  m.vb[nucleo],$AJ$1,
  m.vb[variavel],AQ$7,
  m.vb[mes],$A54
)</f>
        <v>0</v>
      </c>
      <c r="AR54" s="123">
        <f ca="1">SUMIFS(
  m.vb[valor],
  m.vb[nucleo],$AJ$1,
  m.vb[variavel],AR$7,
  m.vb[mes],$A54
)</f>
        <v>0</v>
      </c>
      <c r="AS54" s="123">
        <f ca="1">SUMIFS(
  m.vb[valor],
  m.vb[nucleo],$AJ$1,
  m.vb[variavel],AS$7,
  m.vb[mes],$A54
)</f>
        <v>0</v>
      </c>
      <c r="AT54" s="123">
        <f ca="1">SUMIFS(
  m.vb[valor],
  m.vb[nucleo],$AJ$1,
  m.vb[variavel],AT$7,
  m.vb[mes],$A54
)</f>
        <v>0</v>
      </c>
      <c r="AU54" s="124">
        <f ca="1">SUMIFS(
  m.vb[valor],
  m.vb[nucleo],$AJ$1,
  m.vb[variavel],AU$7,
  m.vb[mes],$A54
)</f>
        <v>0</v>
      </c>
      <c r="AV54" s="122">
        <f>COUNTIFS(
    tb_estq[empresa], AV$6,
    tb_estq[Data da venda / reserva], "&gt;=" &amp; $A54,
    tb_estq[Data da venda / reserva], "&lt;"  &amp; EOMONTH($A54,0) + 1
)</f>
        <v>0</v>
      </c>
      <c r="AW54" s="123">
        <f ca="1">SUMIFS(tb_rec_uni[2025-04-01],
INDIRECT("tb_rec_uni[natureza]"),"pro.soluto",
INDIRECT("tb_rec_uni[empresa]"),AW$6)</f>
        <v>0</v>
      </c>
      <c r="AX54" s="123">
        <f ca="1">SUMIFS(tb_rec_uni[2025-04-01],
INDIRECT("tb_rec_uni[natureza]"),"repasse.cef.obra",
INDIRECT("tb_rec_uni[empresa]"),AX$6)</f>
        <v>0</v>
      </c>
      <c r="AY54" s="123">
        <f ca="1">SUMIFS(tb_rec_uni[2025-04-01],
INDIRECT("tb_rec_uni[natureza]"),"repasse.cef.terreno",
INDIRECT("tb_rec_uni[empresa]"),AY$6)</f>
        <v>0</v>
      </c>
      <c r="AZ54" s="123">
        <v>0</v>
      </c>
      <c r="BA54" s="123">
        <f ca="1">SUMIFS(tb_rec_uni[2025-04-01],
INDIRECT("tb_rec_uni[natureza]"),"taxa.extra",
INDIRECT("tb_rec_uni[empresa]"),BA$6)</f>
        <v>0</v>
      </c>
      <c r="BB54" s="111"/>
      <c r="BC54" s="123">
        <f ca="1">SUMIFS(
  m.vb[valor],
  m.vb[nucleo],$AV$1,
  m.vb[variavel],BC$7,
  m.vb[mes],$A54
)</f>
        <v>0</v>
      </c>
      <c r="BD54" s="123">
        <f ca="1">SUMIFS(
  m.vb[valor],
  m.vb[nucleo],$AV$1,
  m.vb[variavel],BD$7,
  m.vb[mes],$A54
)</f>
        <v>0</v>
      </c>
      <c r="BE54" s="123">
        <f ca="1">SUMIFS(
  m.vb[valor],
  m.vb[nucleo],$AV$1,
  m.vb[variavel],BE$7,
  m.vb[mes],$A54
)</f>
        <v>0</v>
      </c>
      <c r="BF54" s="123">
        <f ca="1">SUMIFS(
  m.vb[valor],
  m.vb[nucleo],$AV$1,
  m.vb[variavel],BF$7,
  m.vb[mes],$A54
)</f>
        <v>0</v>
      </c>
      <c r="BG54" s="124">
        <f ca="1">SUMIFS(
  m.vb[valor],
  m.vb[nucleo],$AV$1,
  m.vb[variavel],BG$7,
  m.vb[mes],$A54
)</f>
        <v>0</v>
      </c>
      <c r="BH54" s="122">
        <f>COUNTIFS(
    tb_estq[empresa], BH$6,
    tb_estq[Data da venda / reserva], "&gt;=" &amp; $A54,
    tb_estq[Data da venda / reserva], "&lt;"  &amp; EOMONTH($A54,0) + 1
)</f>
        <v>0</v>
      </c>
      <c r="BI54" s="123">
        <f ca="1">SUMIFS(tb_rec_uni[2025-04-01],
INDIRECT("tb_rec_uni[natureza]"),"pro.soluto",
INDIRECT("tb_rec_uni[empresa]"),BI$6)</f>
        <v>0</v>
      </c>
      <c r="BJ54" s="111">
        <f>3.82*94736</f>
        <v>361891.51999999996</v>
      </c>
      <c r="BK54" s="123">
        <f ca="1">SUMIFS(tb_rec_uni[2025-04-01],
INDIRECT("tb_rec_uni[natureza]"),"taxa.extra",
INDIRECT("tb_rec_uni[empresa]"),BK$6)</f>
        <v>0</v>
      </c>
      <c r="BL54" s="111"/>
      <c r="BM54" s="123">
        <f ca="1">SUMIFS(
  m.vb[valor],
  m.vb[nucleo],$BH$1,
  m.vb[variavel],BM$7,
  m.vb[mes],$A54
)</f>
        <v>0</v>
      </c>
      <c r="BN54" s="123">
        <f ca="1">SUMIFS(
  m.vb[valor],
  m.vb[nucleo],$BH$1,
  m.vb[variavel],BN$7,
  m.vb[mes],$A54
)</f>
        <v>0</v>
      </c>
      <c r="BO54" s="123">
        <f ca="1">SUMIFS(
  m.vb[valor],
  m.vb[nucleo],$BH$1,
  m.vb[variavel],BO$7,
  m.vb[mes],$A54
)</f>
        <v>0</v>
      </c>
      <c r="BP54" s="123">
        <f ca="1">SUMIFS(
  m.vb[valor],
  m.vb[nucleo],$BH$1,
  m.vb[variavel],BP$7,
  m.vb[mes],$A54
)</f>
        <v>0</v>
      </c>
      <c r="BQ54" s="124">
        <f ca="1">SUMIFS(
  m.vb[valor],
  m.vb[nucleo],$BH$1,
  m.vb[variavel],BQ$7,
  m.vb[mes],$A54
)</f>
        <v>0</v>
      </c>
      <c r="BR54" s="122">
        <f>COUNTIFS(
    tb_estq[empresa], BR$6,
    tb_estq[Data da venda / reserva], "&gt;=" &amp; $A54,
    tb_estq[Data da venda / reserva], "&lt;"  &amp; EOMONTH($A54,0) + 1
)</f>
        <v>0</v>
      </c>
      <c r="BS54" s="123">
        <f ca="1">SUMIFS(tb_rec_uni[2025-04-01],
INDIRECT("tb_rec_uni[natureza]"),"pro.soluto",
INDIRECT("tb_rec_uni[empresa]"),BS$6)</f>
        <v>0</v>
      </c>
      <c r="BT54" s="123">
        <f ca="1">SUMIFS(tb_rec_uni[2025-04-01],
INDIRECT("tb_rec_uni[natureza]"),"parcela.fin.total.ik",
INDIRECT("tb_rec_uni[empresa]"),BT$6)</f>
        <v>0</v>
      </c>
      <c r="BU54" s="123">
        <f ca="1">SUMIFS(tb_rec_uni[2025-04-01],
INDIRECT("tb_rec_uni[natureza]"),"taxa.extra",
INDIRECT("tb_rec_uni[empresa]"),BU$6)</f>
        <v>0</v>
      </c>
      <c r="BV54" s="111"/>
      <c r="BW54" s="123">
        <f ca="1">SUMIFS(
  m.vb[valor],
  m.vb[nucleo],$BR$1,
  m.vb[variavel],BW$7,
  m.vb[mes],$A54
)</f>
        <v>0</v>
      </c>
      <c r="BX54" s="123">
        <f ca="1">SUMIFS(
  m.vb[valor],
  m.vb[nucleo],$BR$1,
  m.vb[variavel],BX$7,
  m.vb[mes],$A54
)</f>
        <v>0</v>
      </c>
      <c r="BY54" s="123">
        <f ca="1">SUMIFS(
  m.vb[valor],
  m.vb[nucleo],$BR$1,
  m.vb[variavel],BY$7,
  m.vb[mes],$A54
)</f>
        <v>0</v>
      </c>
      <c r="BZ54" s="123">
        <f ca="1">SUMIFS(
  m.vb[valor],
  m.vb[nucleo],$BR$1,
  m.vb[variavel],BZ$7,
  m.vb[mes],$A54
)</f>
        <v>0</v>
      </c>
      <c r="CA54" s="124">
        <f ca="1">SUMIFS(
  m.vb[valor],
  m.vb[nucleo],$BR$1,
  m.vb[variavel],CA$7,
  m.vb[mes],$A54
)</f>
        <v>0</v>
      </c>
      <c r="CB54" s="122">
        <f>COUNTIFS(
    tb_estq[empresa], CB$6,
    tb_estq[Data da venda / reserva], "&gt;=" &amp; $A54,
    tb_estq[Data da venda / reserva], "&lt;"  &amp; EOMONTH($A54,0) + 1
)</f>
        <v>0</v>
      </c>
      <c r="CC54" s="123">
        <f ca="1">SUMIFS(tb_rec_uni[2025-04-01],
INDIRECT("tb_rec_uni[natureza]"),"pro.soluto",
INDIRECT("tb_rec_uni[empresa]"),CC$6)</f>
        <v>0</v>
      </c>
      <c r="CD54" s="123">
        <f ca="1">SUMIFS(tb_rec_uni[2025-04-01],
INDIRECT("tb_rec_uni[natureza]"),"repasse.cef.obra",
INDIRECT("tb_rec_uni[empresa]"),CD$6)</f>
        <v>0</v>
      </c>
      <c r="CE54" s="123">
        <f ca="1">SUMIFS(tb_rec_uni[2025-04-01],
INDIRECT("tb_rec_uni[natureza]"),"repasse.cef.terreno",
INDIRECT("tb_rec_uni[empresa]"),CE$6)</f>
        <v>0</v>
      </c>
      <c r="CF54" s="123">
        <v>273233.02</v>
      </c>
      <c r="CG54" s="123">
        <f ca="1">SUMIFS(tb_rec_uni[2025-04-01],
INDIRECT("tb_rec_uni[natureza]"),"taxa.extra",
INDIRECT("tb_rec_uni[empresa]"),CG$6)</f>
        <v>0</v>
      </c>
      <c r="CH54" s="111"/>
      <c r="CI54" s="123">
        <f ca="1">SUMIFS(
  m.vb[valor],
  m.vb[nucleo],$CB$1,
  m.vb[variavel],CI$7,
  m.vb[mes],$A54
)</f>
        <v>0</v>
      </c>
      <c r="CJ54" s="123">
        <f ca="1">SUMIFS(
  m.vb[valor],
  m.vb[nucleo],$CB$1,
  m.vb[variavel],CJ$7,
  m.vb[mes],$A54
)</f>
        <v>0</v>
      </c>
      <c r="CK54" s="123">
        <f ca="1">SUMIFS(
  m.vb[valor],
  m.vb[nucleo],$CB$1,
  m.vb[variavel],CK$7,
  m.vb[mes],$A54
)</f>
        <v>0</v>
      </c>
      <c r="CL54" s="123">
        <f ca="1">SUMIFS(
  m.vb[valor],
  m.vb[nucleo],$CB$1,
  m.vb[variavel],CL$7,
  m.vb[mes],$A54
)</f>
        <v>0</v>
      </c>
      <c r="CM54" s="124">
        <f ca="1">SUMIFS(
  m.vb[valor],
  m.vb[nucleo],$CB$1,
  m.vb[variavel],CM$7,
  m.vb[mes],$A54
)</f>
        <v>0</v>
      </c>
      <c r="CN54" s="122">
        <f>COUNTIFS(
    tb_estq[empresa], CN$6,
    tb_estq[Data da venda / reserva], "&gt;=" &amp; $A54,
    tb_estq[Data da venda / reserva], "&lt;"  &amp; EOMONTH($A54,0) + 1
)</f>
        <v>0</v>
      </c>
      <c r="CO54" s="123">
        <f ca="1">SUMIFS(tb_rec_uni[2025-04-01],
INDIRECT("tb_rec_uni[natureza]"),"pro.soluto",
INDIRECT("tb_rec_uni[empresa]"),CO$6)</f>
        <v>0</v>
      </c>
      <c r="CP54" s="123">
        <f ca="1">SUMIFS(tb_rec_uni[2025-04-01],
INDIRECT("tb_rec_uni[natureza]"),"repasse.cef.obra",
INDIRECT("tb_rec_uni[empresa]"),CP$6)</f>
        <v>0</v>
      </c>
      <c r="CQ54" s="123">
        <f ca="1">SUMIFS(tb_rec_uni[2025-04-01],
INDIRECT("tb_rec_uni[natureza]"),"repasse.cef.terreno",
INDIRECT("tb_rec_uni[empresa]"),CQ$6)</f>
        <v>0</v>
      </c>
      <c r="CR54" s="123">
        <v>0</v>
      </c>
      <c r="CS54" s="123">
        <f ca="1">SUMIFS(tb_rec_uni[2025-04-01],
INDIRECT("tb_rec_uni[natureza]"),"taxa.extra",
INDIRECT("tb_rec_uni[empresa]"),CS$6)</f>
        <v>0</v>
      </c>
      <c r="CT54" s="111"/>
      <c r="CU54" s="123">
        <f ca="1">SUMIFS(
  m.vb[valor],
  m.vb[nucleo],$CN$1,
  m.vb[variavel],CU$7,
  m.vb[mes],$A54
)</f>
        <v>0</v>
      </c>
      <c r="CV54" s="123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3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3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5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21">
        <v>45778</v>
      </c>
      <c r="B55" s="122">
        <f>COUNTIFS(
    tb_estq[empresa], B$6,
    tb_estq[Data da venda / reserva], "&gt;=" &amp; $A55,
    tb_estq[Data da venda / reserva], "&lt;"  &amp; EOMONTH($A55,0) + 1
)</f>
        <v>0</v>
      </c>
      <c r="C55" s="123">
        <f ca="1">SUMIFS(tb_rec_uni[2025-05-01],
INDIRECT("tb_rec_uni[natureza]"),"pro.soluto",
INDIRECT("tb_rec_uni[empresa]"),C$6)</f>
        <v>0</v>
      </c>
      <c r="D55" s="123">
        <f ca="1">SUMIFS(tb_rec_uni[2025-05-01],
INDIRECT("tb_rec_uni[natureza]"),"repasse.cef.obra",
INDIRECT("tb_rec_uni[empresa]"),D$6)</f>
        <v>0</v>
      </c>
      <c r="E55" s="123">
        <f ca="1">SUMIFS(tb_rec_uni[2025-05-01],
INDIRECT("tb_rec_uni[natureza]"),"repasse.cef.terreno",
INDIRECT("tb_rec_uni[empresa]"),E$6)</f>
        <v>0</v>
      </c>
      <c r="F55" s="123">
        <v>134752.4</v>
      </c>
      <c r="G55" s="123">
        <f ca="1">SUMIFS(tb_rec_uni[2025-05-01],
INDIRECT("tb_rec_uni[natureza]"),"taxa.extra",
INDIRECT("tb_rec_uni[empresa]"),G$6)</f>
        <v>0</v>
      </c>
      <c r="H55" s="111"/>
      <c r="I55" s="123">
        <f ca="1">SUMIFS(
  m.vb[valor],
  m.vb[nucleo],$B$1,
  m.vb[variavel],I$7,
  m.vb[mes],$A55
)</f>
        <v>0</v>
      </c>
      <c r="J55" s="123">
        <f ca="1">SUMIFS(
  m.vb[valor],
  m.vb[nucleo],$B$1,
  m.vb[variavel],J$7,
  m.vb[mes],$A55
)</f>
        <v>0</v>
      </c>
      <c r="K55" s="123">
        <f ca="1">SUMIFS(
  m.vb[valor],
  m.vb[nucleo],$B$1,
  m.vb[variavel],K$7,
  m.vb[mes],$A55
)</f>
        <v>0</v>
      </c>
      <c r="L55" s="123">
        <f ca="1">SUMIFS(
  m.vb[valor],
  m.vb[nucleo],$B$1,
  m.vb[variavel],L$7,
  m.vb[mes],$A55
)</f>
        <v>0</v>
      </c>
      <c r="M55" s="124">
        <f ca="1">SUMIFS(
  m.vb[valor],
  m.vb[nucleo],$B$1,
  m.vb[variavel],M$7,
  m.vb[mes],$A55
)</f>
        <v>0</v>
      </c>
      <c r="N55" s="122">
        <f>COUNTIFS(
    tb_estq[empresa], N$6,
    tb_estq[Data da venda / reserva], "&gt;=" &amp; $A55,
    tb_estq[Data da venda / reserva], "&lt;"  &amp; EOMONTH($A55,0) + 1
)</f>
        <v>0</v>
      </c>
      <c r="O55" s="123">
        <f ca="1">SUMIFS(tb_rec_uni[2025-05-01],
INDIRECT("tb_rec_uni[natureza]"),"pro.soluto",
INDIRECT("tb_rec_uni[empresa]"),O$6)</f>
        <v>0</v>
      </c>
      <c r="P55" s="123">
        <f ca="1">SUMIFS(tb_rec_uni[2025-05-01],
INDIRECT("tb_rec_uni[natureza]"),"repasse.cef.obra",
INDIRECT("tb_rec_uni[empresa]"),P$6)</f>
        <v>0</v>
      </c>
      <c r="Q55" s="123">
        <f ca="1">SUMIFS(tb_rec_uni[2025-05-01],
INDIRECT("tb_rec_uni[natureza]"),"repasse.cef.terreno",
INDIRECT("tb_rec_uni[empresa]"),Q$6)</f>
        <v>0</v>
      </c>
      <c r="R55" s="123">
        <v>0</v>
      </c>
      <c r="S55" s="123">
        <f ca="1">SUMIFS(tb_rec_uni[2025-05-01],
INDIRECT("tb_rec_uni[natureza]"),"taxa.extra",
INDIRECT("tb_rec_uni[empresa]"),S$6)</f>
        <v>0</v>
      </c>
      <c r="T55" s="111"/>
      <c r="U55" s="123">
        <f ca="1">SUMIFS(
  m.vb[valor],
  m.vb[nucleo],$N$1,
  m.vb[variavel],U$7,
  m.vb[mes],$A55
)</f>
        <v>0</v>
      </c>
      <c r="V55" s="123">
        <f ca="1">SUMIFS(
  m.vb[valor],
  m.vb[nucleo],$N$1,
  m.vb[variavel],V$7,
  m.vb[mes],$A55
)</f>
        <v>0</v>
      </c>
      <c r="W55" s="123">
        <f ca="1">SUMIFS(
  m.vb[valor],
  m.vb[nucleo],$N$1,
  m.vb[variavel],W$7,
  m.vb[mes],$A55
)</f>
        <v>0</v>
      </c>
      <c r="X55" s="123">
        <f ca="1">SUMIFS(
  m.vb[valor],
  m.vb[nucleo],$N$1,
  m.vb[variavel],X$7,
  m.vb[mes],$A55
)</f>
        <v>0</v>
      </c>
      <c r="Y55" s="124">
        <f ca="1">SUMIFS(
  m.vb[valor],
  m.vb[nucleo],$N$1,
  m.vb[variavel],Y$7,
  m.vb[mes],$A55
)</f>
        <v>0</v>
      </c>
      <c r="Z55" s="122">
        <f>COUNTIFS(
    tb_estq[empresa], Z$6,
    tb_estq[Data da venda / reserva], "&gt;=" &amp; $A55,
    tb_estq[Data da venda / reserva], "&lt;"  &amp; EOMONTH($A55,0) + 1
)</f>
        <v>0</v>
      </c>
      <c r="AA55" s="123">
        <f ca="1">SUMIFS(tb_rec_uni[2025-05-01],
INDIRECT("tb_rec_uni[natureza]"),"pro.soluto",
INDIRECT("tb_rec_uni[empresa]"),AA$6)</f>
        <v>0</v>
      </c>
      <c r="AB55" s="123">
        <f ca="1">SUMIFS(tb_rec_uni[2025-05-01],
INDIRECT("tb_rec_uni[natureza]"),"parcela.fin.total.ik",
INDIRECT("tb_rec_uni[empresa]"),AB$6)</f>
        <v>0</v>
      </c>
      <c r="AC55" s="123">
        <f ca="1">SUMIFS(tb_rec_uni[2025-05-01],
INDIRECT("tb_rec_uni[natureza]"),"taxa.extra",
INDIRECT("tb_rec_uni[empresa]"),AC$6)</f>
        <v>0</v>
      </c>
      <c r="AD55" s="111"/>
      <c r="AE55" s="123">
        <f ca="1">SUMIFS(
  m.vb[valor],
  m.vb[nucleo],$Z$1,
  m.vb[variavel],AE$7,
  m.vb[mes],$A55
)</f>
        <v>0</v>
      </c>
      <c r="AF55" s="123">
        <f ca="1">SUMIFS(
  m.vb[valor],
  m.vb[nucleo],$Z$1,
  m.vb[variavel],AF$7,
  m.vb[mes],$A55
)</f>
        <v>0</v>
      </c>
      <c r="AG55" s="123">
        <f ca="1">SUMIFS(
  m.vb[valor],
  m.vb[nucleo],$Z$1,
  m.vb[variavel],AG$7,
  m.vb[mes],$A55
)</f>
        <v>0</v>
      </c>
      <c r="AH55" s="123">
        <f ca="1">SUMIFS(
  m.vb[valor],
  m.vb[nucleo],$Z$1,
  m.vb[variavel],AH$7,
  m.vb[mes],$A55
)</f>
        <v>0</v>
      </c>
      <c r="AI55" s="124">
        <f ca="1">SUMIFS(
  m.vb[valor],
  m.vb[nucleo],$Z$1,
  m.vb[variavel],AI$7,
  m.vb[mes],$A55
)</f>
        <v>0</v>
      </c>
      <c r="AJ55" s="122">
        <f>COUNTIFS(
    tb_estq[empresa], AJ$6,
    tb_estq[Data da venda / reserva], "&gt;=" &amp; $A55,
    tb_estq[Data da venda / reserva], "&lt;"  &amp; EOMONTH($A55,0) + 1
)</f>
        <v>0</v>
      </c>
      <c r="AK55" s="123">
        <f ca="1">SUMIFS(tb_rec_uni[2025-05-01],
INDIRECT("tb_rec_uni[natureza]"),"pro.soluto",
INDIRECT("tb_rec_uni[empresa]"),AK$6)</f>
        <v>0</v>
      </c>
      <c r="AL55" s="123">
        <f ca="1">SUMIFS(tb_rec_uni[2025-05-01],
INDIRECT("tb_rec_uni[natureza]"),"repasse.cef.obra",
INDIRECT("tb_rec_uni[empresa]"),AL$6)</f>
        <v>0</v>
      </c>
      <c r="AM55" s="123">
        <f ca="1">SUMIFS(tb_rec_uni[2025-05-01],
INDIRECT("tb_rec_uni[natureza]"),"repasse.cef.terreno",
INDIRECT("tb_rec_uni[empresa]"),AM$6)</f>
        <v>0</v>
      </c>
      <c r="AN55" s="123">
        <v>0</v>
      </c>
      <c r="AO55" s="123">
        <f ca="1">SUMIFS(tb_rec_uni[2025-05-01],
INDIRECT("tb_rec_uni[natureza]"),"taxa.extra",
INDIRECT("tb_rec_uni[empresa]"),AO$6)</f>
        <v>0</v>
      </c>
      <c r="AP55" s="111"/>
      <c r="AQ55" s="123">
        <f ca="1">SUMIFS(
  m.vb[valor],
  m.vb[nucleo],$AJ$1,
  m.vb[variavel],AQ$7,
  m.vb[mes],$A55
)</f>
        <v>0</v>
      </c>
      <c r="AR55" s="123">
        <f ca="1">SUMIFS(
  m.vb[valor],
  m.vb[nucleo],$AJ$1,
  m.vb[variavel],AR$7,
  m.vb[mes],$A55
)</f>
        <v>0</v>
      </c>
      <c r="AS55" s="123">
        <f ca="1">SUMIFS(
  m.vb[valor],
  m.vb[nucleo],$AJ$1,
  m.vb[variavel],AS$7,
  m.vb[mes],$A55
)</f>
        <v>0</v>
      </c>
      <c r="AT55" s="123">
        <f ca="1">SUMIFS(
  m.vb[valor],
  m.vb[nucleo],$AJ$1,
  m.vb[variavel],AT$7,
  m.vb[mes],$A55
)</f>
        <v>0</v>
      </c>
      <c r="AU55" s="124">
        <f ca="1">SUMIFS(
  m.vb[valor],
  m.vb[nucleo],$AJ$1,
  m.vb[variavel],AU$7,
  m.vb[mes],$A55
)</f>
        <v>0</v>
      </c>
      <c r="AV55" s="122">
        <f>COUNTIFS(
    tb_estq[empresa], AV$6,
    tb_estq[Data da venda / reserva], "&gt;=" &amp; $A55,
    tb_estq[Data da venda / reserva], "&lt;"  &amp; EOMONTH($A55,0) + 1
)</f>
        <v>0</v>
      </c>
      <c r="AW55" s="123">
        <f ca="1">SUMIFS(tb_rec_uni[2025-05-01],
INDIRECT("tb_rec_uni[natureza]"),"pro.soluto",
INDIRECT("tb_rec_uni[empresa]"),AW$6)</f>
        <v>0</v>
      </c>
      <c r="AX55" s="123">
        <f ca="1">SUMIFS(tb_rec_uni[2025-05-01],
INDIRECT("tb_rec_uni[natureza]"),"repasse.cef.obra",
INDIRECT("tb_rec_uni[empresa]"),AX$6)</f>
        <v>0</v>
      </c>
      <c r="AY55" s="123">
        <f ca="1">SUMIFS(tb_rec_uni[2025-05-01],
INDIRECT("tb_rec_uni[natureza]"),"repasse.cef.terreno",
INDIRECT("tb_rec_uni[empresa]"),AY$6)</f>
        <v>0</v>
      </c>
      <c r="AZ55" s="123">
        <v>0</v>
      </c>
      <c r="BA55" s="123">
        <f ca="1">SUMIFS(tb_rec_uni[2025-05-01],
INDIRECT("tb_rec_uni[natureza]"),"taxa.extra",
INDIRECT("tb_rec_uni[empresa]"),BA$6)</f>
        <v>0</v>
      </c>
      <c r="BB55" s="111"/>
      <c r="BC55" s="123">
        <f ca="1">SUMIFS(
  m.vb[valor],
  m.vb[nucleo],$AV$1,
  m.vb[variavel],BC$7,
  m.vb[mes],$A55
)</f>
        <v>0</v>
      </c>
      <c r="BD55" s="123">
        <f ca="1">SUMIFS(
  m.vb[valor],
  m.vb[nucleo],$AV$1,
  m.vb[variavel],BD$7,
  m.vb[mes],$A55
)</f>
        <v>0</v>
      </c>
      <c r="BE55" s="123">
        <f ca="1">SUMIFS(
  m.vb[valor],
  m.vb[nucleo],$AV$1,
  m.vb[variavel],BE$7,
  m.vb[mes],$A55
)</f>
        <v>0</v>
      </c>
      <c r="BF55" s="123">
        <f ca="1">SUMIFS(
  m.vb[valor],
  m.vb[nucleo],$AV$1,
  m.vb[variavel],BF$7,
  m.vb[mes],$A55
)</f>
        <v>0</v>
      </c>
      <c r="BG55" s="124">
        <f ca="1">SUMIFS(
  m.vb[valor],
  m.vb[nucleo],$AV$1,
  m.vb[variavel],BG$7,
  m.vb[mes],$A55
)</f>
        <v>0</v>
      </c>
      <c r="BH55" s="122">
        <f>COUNTIFS(
    tb_estq[empresa], BH$6,
    tb_estq[Data da venda / reserva], "&gt;=" &amp; $A55,
    tb_estq[Data da venda / reserva], "&lt;"  &amp; EOMONTH($A55,0) + 1
)</f>
        <v>0</v>
      </c>
      <c r="BI55" s="123">
        <f ca="1">SUMIFS(tb_rec_uni[2025-05-01],
INDIRECT("tb_rec_uni[natureza]"),"pro.soluto",
INDIRECT("tb_rec_uni[empresa]"),BI$6)</f>
        <v>0</v>
      </c>
      <c r="BJ55" s="111">
        <f>8.51*94736</f>
        <v>806203.36</v>
      </c>
      <c r="BK55" s="123">
        <f ca="1">SUMIFS(tb_rec_uni[2025-05-01],
INDIRECT("tb_rec_uni[natureza]"),"taxa.extra",
INDIRECT("tb_rec_uni[empresa]"),BK$6)</f>
        <v>0</v>
      </c>
      <c r="BL55" s="111"/>
      <c r="BM55" s="123">
        <f ca="1">SUMIFS(
  m.vb[valor],
  m.vb[nucleo],$BH$1,
  m.vb[variavel],BM$7,
  m.vb[mes],$A55
)</f>
        <v>0</v>
      </c>
      <c r="BN55" s="123">
        <f ca="1">SUMIFS(
  m.vb[valor],
  m.vb[nucleo],$BH$1,
  m.vb[variavel],BN$7,
  m.vb[mes],$A55
)</f>
        <v>0</v>
      </c>
      <c r="BO55" s="123">
        <f ca="1">SUMIFS(
  m.vb[valor],
  m.vb[nucleo],$BH$1,
  m.vb[variavel],BO$7,
  m.vb[mes],$A55
)</f>
        <v>0</v>
      </c>
      <c r="BP55" s="123">
        <f ca="1">SUMIFS(
  m.vb[valor],
  m.vb[nucleo],$BH$1,
  m.vb[variavel],BP$7,
  m.vb[mes],$A55
)</f>
        <v>0</v>
      </c>
      <c r="BQ55" s="124">
        <f ca="1">SUMIFS(
  m.vb[valor],
  m.vb[nucleo],$BH$1,
  m.vb[variavel],BQ$7,
  m.vb[mes],$A55
)</f>
        <v>0</v>
      </c>
      <c r="BR55" s="122">
        <f>COUNTIFS(
    tb_estq[empresa], BR$6,
    tb_estq[Data da venda / reserva], "&gt;=" &amp; $A55,
    tb_estq[Data da venda / reserva], "&lt;"  &amp; EOMONTH($A55,0) + 1
)</f>
        <v>0</v>
      </c>
      <c r="BS55" s="123">
        <f ca="1">SUMIFS(tb_rec_uni[2025-05-01],
INDIRECT("tb_rec_uni[natureza]"),"pro.soluto",
INDIRECT("tb_rec_uni[empresa]"),BS$6)</f>
        <v>0</v>
      </c>
      <c r="BT55" s="123">
        <f ca="1">SUMIFS(tb_rec_uni[2025-05-01],
INDIRECT("tb_rec_uni[natureza]"),"parcela.fin.total.ik",
INDIRECT("tb_rec_uni[empresa]"),BT$6)</f>
        <v>0</v>
      </c>
      <c r="BU55" s="123">
        <f ca="1">SUMIFS(tb_rec_uni[2025-05-01],
INDIRECT("tb_rec_uni[natureza]"),"taxa.extra",
INDIRECT("tb_rec_uni[empresa]"),BU$6)</f>
        <v>0</v>
      </c>
      <c r="BV55" s="111"/>
      <c r="BW55" s="123">
        <f ca="1">SUMIFS(
  m.vb[valor],
  m.vb[nucleo],$BR$1,
  m.vb[variavel],BW$7,
  m.vb[mes],$A55
)</f>
        <v>0</v>
      </c>
      <c r="BX55" s="123">
        <f ca="1">SUMIFS(
  m.vb[valor],
  m.vb[nucleo],$BR$1,
  m.vb[variavel],BX$7,
  m.vb[mes],$A55
)</f>
        <v>0</v>
      </c>
      <c r="BY55" s="123">
        <f ca="1">SUMIFS(
  m.vb[valor],
  m.vb[nucleo],$BR$1,
  m.vb[variavel],BY$7,
  m.vb[mes],$A55
)</f>
        <v>0</v>
      </c>
      <c r="BZ55" s="123">
        <f ca="1">SUMIFS(
  m.vb[valor],
  m.vb[nucleo],$BR$1,
  m.vb[variavel],BZ$7,
  m.vb[mes],$A55
)</f>
        <v>0</v>
      </c>
      <c r="CA55" s="124">
        <f ca="1">SUMIFS(
  m.vb[valor],
  m.vb[nucleo],$BR$1,
  m.vb[variavel],CA$7,
  m.vb[mes],$A55
)</f>
        <v>0</v>
      </c>
      <c r="CB55" s="122">
        <f>COUNTIFS(
    tb_estq[empresa], CB$6,
    tb_estq[Data da venda / reserva], "&gt;=" &amp; $A55,
    tb_estq[Data da venda / reserva], "&lt;"  &amp; EOMONTH($A55,0) + 1
)</f>
        <v>0</v>
      </c>
      <c r="CC55" s="123">
        <f ca="1">SUMIFS(tb_rec_uni[2025-05-01],
INDIRECT("tb_rec_uni[natureza]"),"pro.soluto",
INDIRECT("tb_rec_uni[empresa]"),CC$6)</f>
        <v>0</v>
      </c>
      <c r="CD55" s="123">
        <f ca="1">SUMIFS(tb_rec_uni[2025-05-01],
INDIRECT("tb_rec_uni[natureza]"),"repasse.cef.obra",
INDIRECT("tb_rec_uni[empresa]"),CD$6)</f>
        <v>0</v>
      </c>
      <c r="CE55" s="123">
        <f ca="1">SUMIFS(tb_rec_uni[2025-05-01],
INDIRECT("tb_rec_uni[natureza]"),"repasse.cef.terreno",
INDIRECT("tb_rec_uni[empresa]"),CE$6)</f>
        <v>0</v>
      </c>
      <c r="CF55" s="123">
        <v>0</v>
      </c>
      <c r="CG55" s="123">
        <f ca="1">SUMIFS(tb_rec_uni[2025-05-01],
INDIRECT("tb_rec_uni[natureza]"),"taxa.extra",
INDIRECT("tb_rec_uni[empresa]"),CG$6)</f>
        <v>0</v>
      </c>
      <c r="CH55" s="111"/>
      <c r="CI55" s="123">
        <f ca="1">SUMIFS(
  m.vb[valor],
  m.vb[nucleo],$CB$1,
  m.vb[variavel],CI$7,
  m.vb[mes],$A55
)</f>
        <v>0</v>
      </c>
      <c r="CJ55" s="123">
        <f ca="1">SUMIFS(
  m.vb[valor],
  m.vb[nucleo],$CB$1,
  m.vb[variavel],CJ$7,
  m.vb[mes],$A55
)</f>
        <v>0</v>
      </c>
      <c r="CK55" s="123">
        <f ca="1">SUMIFS(
  m.vb[valor],
  m.vb[nucleo],$CB$1,
  m.vb[variavel],CK$7,
  m.vb[mes],$A55
)</f>
        <v>0</v>
      </c>
      <c r="CL55" s="123">
        <f ca="1">SUMIFS(
  m.vb[valor],
  m.vb[nucleo],$CB$1,
  m.vb[variavel],CL$7,
  m.vb[mes],$A55
)</f>
        <v>0</v>
      </c>
      <c r="CM55" s="124">
        <f ca="1">SUMIFS(
  m.vb[valor],
  m.vb[nucleo],$CB$1,
  m.vb[variavel],CM$7,
  m.vb[mes],$A55
)</f>
        <v>0</v>
      </c>
      <c r="CN55" s="122">
        <f>COUNTIFS(
    tb_estq[empresa], CN$6,
    tb_estq[Data da venda / reserva], "&gt;=" &amp; $A55,
    tb_estq[Data da venda / reserva], "&lt;"  &amp; EOMONTH($A55,0) + 1
)</f>
        <v>0</v>
      </c>
      <c r="CO55" s="123">
        <f ca="1">SUMIFS(tb_rec_uni[2025-05-01],
INDIRECT("tb_rec_uni[natureza]"),"pro.soluto",
INDIRECT("tb_rec_uni[empresa]"),CO$6)</f>
        <v>0</v>
      </c>
      <c r="CP55" s="123">
        <f ca="1">SUMIFS(tb_rec_uni[2025-05-01],
INDIRECT("tb_rec_uni[natureza]"),"repasse.cef.obra",
INDIRECT("tb_rec_uni[empresa]"),CP$6)</f>
        <v>0</v>
      </c>
      <c r="CQ55" s="123">
        <f ca="1">SUMIFS(tb_rec_uni[2025-05-01],
INDIRECT("tb_rec_uni[natureza]"),"repasse.cef.terreno",
INDIRECT("tb_rec_uni[empresa]"),CQ$6)</f>
        <v>0</v>
      </c>
      <c r="CR55" s="123">
        <v>0</v>
      </c>
      <c r="CS55" s="123">
        <f ca="1">SUMIFS(tb_rec_uni[2025-05-01],
INDIRECT("tb_rec_uni[natureza]"),"taxa.extra",
INDIRECT("tb_rec_uni[empresa]"),CS$6)</f>
        <v>0</v>
      </c>
      <c r="CT55" s="111"/>
      <c r="CU55" s="123">
        <f ca="1">SUMIFS(
  m.vb[valor],
  m.vb[nucleo],$CN$1,
  m.vb[variavel],CU$7,
  m.vb[mes],$A55
)</f>
        <v>0</v>
      </c>
      <c r="CV55" s="123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3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3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5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21">
        <v>45809</v>
      </c>
      <c r="B56" s="122">
        <f>COUNTIFS(
    tb_estq[empresa], B$6,
    tb_estq[Data da venda / reserva], "&gt;=" &amp; $A56,
    tb_estq[Data da venda / reserva], "&lt;"  &amp; EOMONTH($A56,0) + 1
)</f>
        <v>0</v>
      </c>
      <c r="C56" s="123">
        <f ca="1">SUMIFS(tb_rec_uni[2025-06-01],
INDIRECT("tb_rec_uni[natureza]"),"pro.soluto",
INDIRECT("tb_rec_uni[empresa]"),C$6)</f>
        <v>0</v>
      </c>
      <c r="D56" s="123">
        <f ca="1">SUMIFS(tb_rec_uni[2025-06-01],
INDIRECT("tb_rec_uni[natureza]"),"repasse.cef.obra",
INDIRECT("tb_rec_uni[empresa]"),D$6)</f>
        <v>0</v>
      </c>
      <c r="E56" s="123">
        <f ca="1">SUMIFS(tb_rec_uni[2025-06-01],
INDIRECT("tb_rec_uni[natureza]"),"repasse.cef.terreno",
INDIRECT("tb_rec_uni[empresa]"),E$6)</f>
        <v>0</v>
      </c>
      <c r="F56" s="123">
        <v>289304.8</v>
      </c>
      <c r="G56" s="123">
        <f ca="1">SUMIFS(tb_rec_uni[2025-06-01],
INDIRECT("tb_rec_uni[natureza]"),"taxa.extra",
INDIRECT("tb_rec_uni[empresa]"),G$6)</f>
        <v>0</v>
      </c>
      <c r="H56" s="111"/>
      <c r="I56" s="123">
        <f ca="1">SUMIFS(
  m.vb[valor],
  m.vb[nucleo],$B$1,
  m.vb[variavel],I$7,
  m.vb[mes],$A56
)</f>
        <v>0</v>
      </c>
      <c r="J56" s="123">
        <f ca="1">SUMIFS(
  m.vb[valor],
  m.vb[nucleo],$B$1,
  m.vb[variavel],J$7,
  m.vb[mes],$A56
)</f>
        <v>0</v>
      </c>
      <c r="K56" s="123">
        <f ca="1">SUMIFS(
  m.vb[valor],
  m.vb[nucleo],$B$1,
  m.vb[variavel],K$7,
  m.vb[mes],$A56
)</f>
        <v>0</v>
      </c>
      <c r="L56" s="123">
        <f ca="1">SUMIFS(
  m.vb[valor],
  m.vb[nucleo],$B$1,
  m.vb[variavel],L$7,
  m.vb[mes],$A56
)</f>
        <v>0</v>
      </c>
      <c r="M56" s="124">
        <f ca="1">SUMIFS(
  m.vb[valor],
  m.vb[nucleo],$B$1,
  m.vb[variavel],M$7,
  m.vb[mes],$A56
)</f>
        <v>0</v>
      </c>
      <c r="N56" s="122">
        <f>COUNTIFS(
    tb_estq[empresa], N$6,
    tb_estq[Data da venda / reserva], "&gt;=" &amp; $A56,
    tb_estq[Data da venda / reserva], "&lt;"  &amp; EOMONTH($A56,0) + 1
)</f>
        <v>0</v>
      </c>
      <c r="O56" s="123">
        <f ca="1">SUMIFS(tb_rec_uni[2025-06-01],
INDIRECT("tb_rec_uni[natureza]"),"pro.soluto",
INDIRECT("tb_rec_uni[empresa]"),O$6)</f>
        <v>0</v>
      </c>
      <c r="P56" s="123">
        <f ca="1">SUMIFS(tb_rec_uni[2025-06-01],
INDIRECT("tb_rec_uni[natureza]"),"repasse.cef.obra",
INDIRECT("tb_rec_uni[empresa]"),P$6)</f>
        <v>0</v>
      </c>
      <c r="Q56" s="123">
        <f ca="1">SUMIFS(tb_rec_uni[2025-06-01],
INDIRECT("tb_rec_uni[natureza]"),"repasse.cef.terreno",
INDIRECT("tb_rec_uni[empresa]"),Q$6)</f>
        <v>0</v>
      </c>
      <c r="R56" s="123">
        <v>0</v>
      </c>
      <c r="S56" s="123">
        <f ca="1">SUMIFS(tb_rec_uni[2025-06-01],
INDIRECT("tb_rec_uni[natureza]"),"taxa.extra",
INDIRECT("tb_rec_uni[empresa]"),S$6)</f>
        <v>0</v>
      </c>
      <c r="T56" s="111"/>
      <c r="U56" s="123">
        <f ca="1">SUMIFS(
  m.vb[valor],
  m.vb[nucleo],$N$1,
  m.vb[variavel],U$7,
  m.vb[mes],$A56
)</f>
        <v>0</v>
      </c>
      <c r="V56" s="123">
        <f ca="1">SUMIFS(
  m.vb[valor],
  m.vb[nucleo],$N$1,
  m.vb[variavel],V$7,
  m.vb[mes],$A56
)</f>
        <v>0</v>
      </c>
      <c r="W56" s="123">
        <f ca="1">SUMIFS(
  m.vb[valor],
  m.vb[nucleo],$N$1,
  m.vb[variavel],W$7,
  m.vb[mes],$A56
)</f>
        <v>0</v>
      </c>
      <c r="X56" s="123">
        <f ca="1">SUMIFS(
  m.vb[valor],
  m.vb[nucleo],$N$1,
  m.vb[variavel],X$7,
  m.vb[mes],$A56
)</f>
        <v>0</v>
      </c>
      <c r="Y56" s="124">
        <f ca="1">SUMIFS(
  m.vb[valor],
  m.vb[nucleo],$N$1,
  m.vb[variavel],Y$7,
  m.vb[mes],$A56
)</f>
        <v>0</v>
      </c>
      <c r="Z56" s="122">
        <f>COUNTIFS(
    tb_estq[empresa], Z$6,
    tb_estq[Data da venda / reserva], "&gt;=" &amp; $A56,
    tb_estq[Data da venda / reserva], "&lt;"  &amp; EOMONTH($A56,0) + 1
)</f>
        <v>0</v>
      </c>
      <c r="AA56" s="123">
        <f ca="1">SUMIFS(tb_rec_uni[2025-06-01],
INDIRECT("tb_rec_uni[natureza]"),"pro.soluto",
INDIRECT("tb_rec_uni[empresa]"),AA$6)</f>
        <v>0</v>
      </c>
      <c r="AB56" s="123">
        <f ca="1">SUMIFS(tb_rec_uni[2025-06-01],
INDIRECT("tb_rec_uni[natureza]"),"parcela.fin.total.ik",
INDIRECT("tb_rec_uni[empresa]"),AB$6)</f>
        <v>0</v>
      </c>
      <c r="AC56" s="123">
        <f ca="1">SUMIFS(tb_rec_uni[2025-06-01],
INDIRECT("tb_rec_uni[natureza]"),"taxa.extra",
INDIRECT("tb_rec_uni[empresa]"),AC$6)</f>
        <v>0</v>
      </c>
      <c r="AD56" s="111"/>
      <c r="AE56" s="123">
        <f ca="1">SUMIFS(
  m.vb[valor],
  m.vb[nucleo],$Z$1,
  m.vb[variavel],AE$7,
  m.vb[mes],$A56
)</f>
        <v>0</v>
      </c>
      <c r="AF56" s="123">
        <f ca="1">SUMIFS(
  m.vb[valor],
  m.vb[nucleo],$Z$1,
  m.vb[variavel],AF$7,
  m.vb[mes],$A56
)</f>
        <v>0</v>
      </c>
      <c r="AG56" s="123">
        <f ca="1">SUMIFS(
  m.vb[valor],
  m.vb[nucleo],$Z$1,
  m.vb[variavel],AG$7,
  m.vb[mes],$A56
)</f>
        <v>0</v>
      </c>
      <c r="AH56" s="123">
        <f ca="1">SUMIFS(
  m.vb[valor],
  m.vb[nucleo],$Z$1,
  m.vb[variavel],AH$7,
  m.vb[mes],$A56
)</f>
        <v>0</v>
      </c>
      <c r="AI56" s="124">
        <f ca="1">SUMIFS(
  m.vb[valor],
  m.vb[nucleo],$Z$1,
  m.vb[variavel],AI$7,
  m.vb[mes],$A56
)</f>
        <v>0</v>
      </c>
      <c r="AJ56" s="122">
        <f>COUNTIFS(
    tb_estq[empresa], AJ$6,
    tb_estq[Data da venda / reserva], "&gt;=" &amp; $A56,
    tb_estq[Data da venda / reserva], "&lt;"  &amp; EOMONTH($A56,0) + 1
)</f>
        <v>0</v>
      </c>
      <c r="AK56" s="123">
        <f ca="1">SUMIFS(tb_rec_uni[2025-06-01],
INDIRECT("tb_rec_uni[natureza]"),"pro.soluto",
INDIRECT("tb_rec_uni[empresa]"),AK$6)</f>
        <v>0</v>
      </c>
      <c r="AL56" s="123">
        <f ca="1">SUMIFS(tb_rec_uni[2025-06-01],
INDIRECT("tb_rec_uni[natureza]"),"repasse.cef.obra",
INDIRECT("tb_rec_uni[empresa]"),AL$6)</f>
        <v>0</v>
      </c>
      <c r="AM56" s="123">
        <f ca="1">SUMIFS(tb_rec_uni[2025-06-01],
INDIRECT("tb_rec_uni[natureza]"),"repasse.cef.terreno",
INDIRECT("tb_rec_uni[empresa]"),AM$6)</f>
        <v>0</v>
      </c>
      <c r="AN56" s="123">
        <v>0</v>
      </c>
      <c r="AO56" s="123">
        <f ca="1">SUMIFS(tb_rec_uni[2025-06-01],
INDIRECT("tb_rec_uni[natureza]"),"taxa.extra",
INDIRECT("tb_rec_uni[empresa]"),AO$6)</f>
        <v>0</v>
      </c>
      <c r="AP56" s="111"/>
      <c r="AQ56" s="123">
        <f ca="1">SUMIFS(
  m.vb[valor],
  m.vb[nucleo],$AJ$1,
  m.vb[variavel],AQ$7,
  m.vb[mes],$A56
)</f>
        <v>0</v>
      </c>
      <c r="AR56" s="123">
        <f ca="1">SUMIFS(
  m.vb[valor],
  m.vb[nucleo],$AJ$1,
  m.vb[variavel],AR$7,
  m.vb[mes],$A56
)</f>
        <v>0</v>
      </c>
      <c r="AS56" s="123">
        <f ca="1">SUMIFS(
  m.vb[valor],
  m.vb[nucleo],$AJ$1,
  m.vb[variavel],AS$7,
  m.vb[mes],$A56
)</f>
        <v>0</v>
      </c>
      <c r="AT56" s="123">
        <f ca="1">SUMIFS(
  m.vb[valor],
  m.vb[nucleo],$AJ$1,
  m.vb[variavel],AT$7,
  m.vb[mes],$A56
)</f>
        <v>0</v>
      </c>
      <c r="AU56" s="124">
        <f ca="1">SUMIFS(
  m.vb[valor],
  m.vb[nucleo],$AJ$1,
  m.vb[variavel],AU$7,
  m.vb[mes],$A56
)</f>
        <v>0</v>
      </c>
      <c r="AV56" s="122">
        <f>COUNTIFS(
    tb_estq[empresa], AV$6,
    tb_estq[Data da venda / reserva], "&gt;=" &amp; $A56,
    tb_estq[Data da venda / reserva], "&lt;"  &amp; EOMONTH($A56,0) + 1
)</f>
        <v>0</v>
      </c>
      <c r="AW56" s="123">
        <f ca="1">SUMIFS(tb_rec_uni[2025-06-01],
INDIRECT("tb_rec_uni[natureza]"),"pro.soluto",
INDIRECT("tb_rec_uni[empresa]"),AW$6)</f>
        <v>0</v>
      </c>
      <c r="AX56" s="123">
        <f ca="1">SUMIFS(tb_rec_uni[2025-06-01],
INDIRECT("tb_rec_uni[natureza]"),"repasse.cef.obra",
INDIRECT("tb_rec_uni[empresa]"),AX$6)</f>
        <v>0</v>
      </c>
      <c r="AY56" s="123">
        <f ca="1">SUMIFS(tb_rec_uni[2025-06-01],
INDIRECT("tb_rec_uni[natureza]"),"repasse.cef.terreno",
INDIRECT("tb_rec_uni[empresa]"),AY$6)</f>
        <v>0</v>
      </c>
      <c r="AZ56" s="123">
        <v>0</v>
      </c>
      <c r="BA56" s="123">
        <f ca="1">SUMIFS(tb_rec_uni[2025-06-01],
INDIRECT("tb_rec_uni[natureza]"),"taxa.extra",
INDIRECT("tb_rec_uni[empresa]"),BA$6)</f>
        <v>0</v>
      </c>
      <c r="BB56" s="111"/>
      <c r="BC56" s="123">
        <f ca="1">SUMIFS(
  m.vb[valor],
  m.vb[nucleo],$AV$1,
  m.vb[variavel],BC$7,
  m.vb[mes],$A56
)</f>
        <v>0</v>
      </c>
      <c r="BD56" s="123">
        <f ca="1">SUMIFS(
  m.vb[valor],
  m.vb[nucleo],$AV$1,
  m.vb[variavel],BD$7,
  m.vb[mes],$A56
)</f>
        <v>0</v>
      </c>
      <c r="BE56" s="123">
        <f ca="1">SUMIFS(
  m.vb[valor],
  m.vb[nucleo],$AV$1,
  m.vb[variavel],BE$7,
  m.vb[mes],$A56
)</f>
        <v>0</v>
      </c>
      <c r="BF56" s="123">
        <f ca="1">SUMIFS(
  m.vb[valor],
  m.vb[nucleo],$AV$1,
  m.vb[variavel],BF$7,
  m.vb[mes],$A56
)</f>
        <v>0</v>
      </c>
      <c r="BG56" s="124">
        <f ca="1">SUMIFS(
  m.vb[valor],
  m.vb[nucleo],$AV$1,
  m.vb[variavel],BG$7,
  m.vb[mes],$A56
)</f>
        <v>0</v>
      </c>
      <c r="BH56" s="122">
        <f>COUNTIFS(
    tb_estq[empresa], BH$6,
    tb_estq[Data da venda / reserva], "&gt;=" &amp; $A56,
    tb_estq[Data da venda / reserva], "&lt;"  &amp; EOMONTH($A56,0) + 1
)</f>
        <v>0</v>
      </c>
      <c r="BI56" s="123">
        <f ca="1">SUMIFS(tb_rec_uni[2025-06-01],
INDIRECT("tb_rec_uni[natureza]"),"pro.soluto",
INDIRECT("tb_rec_uni[empresa]"),BI$6)</f>
        <v>0</v>
      </c>
      <c r="BJ56" s="111">
        <f>8.13*94736</f>
        <v>770203.68</v>
      </c>
      <c r="BK56" s="123">
        <f ca="1">SUMIFS(tb_rec_uni[2025-06-01],
INDIRECT("tb_rec_uni[natureza]"),"taxa.extra",
INDIRECT("tb_rec_uni[empresa]"),BK$6)</f>
        <v>0</v>
      </c>
      <c r="BL56" s="111"/>
      <c r="BM56" s="123">
        <f ca="1">SUMIFS(
  m.vb[valor],
  m.vb[nucleo],$BH$1,
  m.vb[variavel],BM$7,
  m.vb[mes],$A56
)</f>
        <v>0</v>
      </c>
      <c r="BN56" s="123">
        <f ca="1">SUMIFS(
  m.vb[valor],
  m.vb[nucleo],$BH$1,
  m.vb[variavel],BN$7,
  m.vb[mes],$A56
)</f>
        <v>0</v>
      </c>
      <c r="BO56" s="123">
        <f ca="1">SUMIFS(
  m.vb[valor],
  m.vb[nucleo],$BH$1,
  m.vb[variavel],BO$7,
  m.vb[mes],$A56
)</f>
        <v>0</v>
      </c>
      <c r="BP56" s="123">
        <f ca="1">SUMIFS(
  m.vb[valor],
  m.vb[nucleo],$BH$1,
  m.vb[variavel],BP$7,
  m.vb[mes],$A56
)</f>
        <v>0</v>
      </c>
      <c r="BQ56" s="124">
        <f ca="1">SUMIFS(
  m.vb[valor],
  m.vb[nucleo],$BH$1,
  m.vb[variavel],BQ$7,
  m.vb[mes],$A56
)</f>
        <v>0</v>
      </c>
      <c r="BR56" s="122">
        <f>COUNTIFS(
    tb_estq[empresa], BR$6,
    tb_estq[Data da venda / reserva], "&gt;=" &amp; $A56,
    tb_estq[Data da venda / reserva], "&lt;"  &amp; EOMONTH($A56,0) + 1
)</f>
        <v>0</v>
      </c>
      <c r="BS56" s="123">
        <f ca="1">SUMIFS(tb_rec_uni[2025-06-01],
INDIRECT("tb_rec_uni[natureza]"),"pro.soluto",
INDIRECT("tb_rec_uni[empresa]"),BS$6)</f>
        <v>0</v>
      </c>
      <c r="BT56" s="123">
        <f ca="1">SUMIFS(tb_rec_uni[2025-06-01],
INDIRECT("tb_rec_uni[natureza]"),"parcela.fin.total.ik",
INDIRECT("tb_rec_uni[empresa]"),BT$6)</f>
        <v>0</v>
      </c>
      <c r="BU56" s="123">
        <f ca="1">SUMIFS(tb_rec_uni[2025-06-01],
INDIRECT("tb_rec_uni[natureza]"),"taxa.extra",
INDIRECT("tb_rec_uni[empresa]"),BU$6)</f>
        <v>0</v>
      </c>
      <c r="BV56" s="111"/>
      <c r="BW56" s="123">
        <f ca="1">SUMIFS(
  m.vb[valor],
  m.vb[nucleo],$BR$1,
  m.vb[variavel],BW$7,
  m.vb[mes],$A56
)</f>
        <v>0</v>
      </c>
      <c r="BX56" s="123">
        <f ca="1">SUMIFS(
  m.vb[valor],
  m.vb[nucleo],$BR$1,
  m.vb[variavel],BX$7,
  m.vb[mes],$A56
)</f>
        <v>0</v>
      </c>
      <c r="BY56" s="123">
        <f ca="1">SUMIFS(
  m.vb[valor],
  m.vb[nucleo],$BR$1,
  m.vb[variavel],BY$7,
  m.vb[mes],$A56
)</f>
        <v>0</v>
      </c>
      <c r="BZ56" s="123">
        <f ca="1">SUMIFS(
  m.vb[valor],
  m.vb[nucleo],$BR$1,
  m.vb[variavel],BZ$7,
  m.vb[mes],$A56
)</f>
        <v>0</v>
      </c>
      <c r="CA56" s="124">
        <f ca="1">SUMIFS(
  m.vb[valor],
  m.vb[nucleo],$BR$1,
  m.vb[variavel],CA$7,
  m.vb[mes],$A56
)</f>
        <v>0</v>
      </c>
      <c r="CB56" s="122">
        <f>COUNTIFS(
    tb_estq[empresa], CB$6,
    tb_estq[Data da venda / reserva], "&gt;=" &amp; $A56,
    tb_estq[Data da venda / reserva], "&lt;"  &amp; EOMONTH($A56,0) + 1
)</f>
        <v>0</v>
      </c>
      <c r="CC56" s="123">
        <f ca="1">SUMIFS(tb_rec_uni[2025-06-01],
INDIRECT("tb_rec_uni[natureza]"),"pro.soluto",
INDIRECT("tb_rec_uni[empresa]"),CC$6)</f>
        <v>0</v>
      </c>
      <c r="CD56" s="123">
        <f ca="1">SUMIFS(tb_rec_uni[2025-06-01],
INDIRECT("tb_rec_uni[natureza]"),"repasse.cef.obra",
INDIRECT("tb_rec_uni[empresa]"),CD$6)</f>
        <v>0</v>
      </c>
      <c r="CE56" s="123">
        <f ca="1">SUMIFS(tb_rec_uni[2025-06-01],
INDIRECT("tb_rec_uni[natureza]"),"repasse.cef.terreno",
INDIRECT("tb_rec_uni[empresa]"),CE$6)</f>
        <v>0</v>
      </c>
      <c r="CF56" s="123">
        <v>0</v>
      </c>
      <c r="CG56" s="123">
        <f ca="1">SUMIFS(tb_rec_uni[2025-06-01],
INDIRECT("tb_rec_uni[natureza]"),"taxa.extra",
INDIRECT("tb_rec_uni[empresa]"),CG$6)</f>
        <v>0</v>
      </c>
      <c r="CH56" s="111"/>
      <c r="CI56" s="123">
        <f ca="1">SUMIFS(
  m.vb[valor],
  m.vb[nucleo],$CB$1,
  m.vb[variavel],CI$7,
  m.vb[mes],$A56
)</f>
        <v>0</v>
      </c>
      <c r="CJ56" s="123">
        <f ca="1">SUMIFS(
  m.vb[valor],
  m.vb[nucleo],$CB$1,
  m.vb[variavel],CJ$7,
  m.vb[mes],$A56
)</f>
        <v>0</v>
      </c>
      <c r="CK56" s="123">
        <f ca="1">SUMIFS(
  m.vb[valor],
  m.vb[nucleo],$CB$1,
  m.vb[variavel],CK$7,
  m.vb[mes],$A56
)</f>
        <v>0</v>
      </c>
      <c r="CL56" s="123">
        <f ca="1">SUMIFS(
  m.vb[valor],
  m.vb[nucleo],$CB$1,
  m.vb[variavel],CL$7,
  m.vb[mes],$A56
)</f>
        <v>0</v>
      </c>
      <c r="CM56" s="124">
        <f ca="1">SUMIFS(
  m.vb[valor],
  m.vb[nucleo],$CB$1,
  m.vb[variavel],CM$7,
  m.vb[mes],$A56
)</f>
        <v>0</v>
      </c>
      <c r="CN56" s="122">
        <f>COUNTIFS(
    tb_estq[empresa], CN$6,
    tb_estq[Data da venda / reserva], "&gt;=" &amp; $A56,
    tb_estq[Data da venda / reserva], "&lt;"  &amp; EOMONTH($A56,0) + 1
)</f>
        <v>0</v>
      </c>
      <c r="CO56" s="123">
        <f ca="1">SUMIFS(tb_rec_uni[2025-06-01],
INDIRECT("tb_rec_uni[natureza]"),"pro.soluto",
INDIRECT("tb_rec_uni[empresa]"),CO$6)</f>
        <v>0</v>
      </c>
      <c r="CP56" s="123">
        <f ca="1">SUMIFS(tb_rec_uni[2025-06-01],
INDIRECT("tb_rec_uni[natureza]"),"repasse.cef.obra",
INDIRECT("tb_rec_uni[empresa]"),CP$6)</f>
        <v>0</v>
      </c>
      <c r="CQ56" s="123">
        <f ca="1">SUMIFS(tb_rec_uni[2025-06-01],
INDIRECT("tb_rec_uni[natureza]"),"repasse.cef.terreno",
INDIRECT("tb_rec_uni[empresa]"),CQ$6)</f>
        <v>0</v>
      </c>
      <c r="CR56" s="123">
        <v>0</v>
      </c>
      <c r="CS56" s="123">
        <f ca="1">SUMIFS(tb_rec_uni[2025-06-01],
INDIRECT("tb_rec_uni[natureza]"),"taxa.extra",
INDIRECT("tb_rec_uni[empresa]"),CS$6)</f>
        <v>0</v>
      </c>
      <c r="CT56" s="111"/>
      <c r="CU56" s="123">
        <f ca="1">SUMIFS(
  m.vb[valor],
  m.vb[nucleo],$CN$1,
  m.vb[variavel],CU$7,
  m.vb[mes],$A56
)</f>
        <v>0</v>
      </c>
      <c r="CV56" s="123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3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3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5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21">
        <v>45839</v>
      </c>
      <c r="B57" s="122">
        <f>COUNTIFS(
    tb_estq[empresa], B$6,
    tb_estq[Data da venda / reserva], "&gt;=" &amp; $A57,
    tb_estq[Data da venda / reserva], "&lt;"  &amp; EOMONTH($A57,0) + 1
)</f>
        <v>0</v>
      </c>
      <c r="C57" s="123">
        <f ca="1">SUMIFS(tb_rec_uni[2025-07-01],
INDIRECT("tb_rec_uni[natureza]"),"pro.soluto",
INDIRECT("tb_rec_uni[empresa]"),C$6)</f>
        <v>0</v>
      </c>
      <c r="D57" s="123">
        <f ca="1">SUMIFS(tb_rec_uni[2025-07-01],
INDIRECT("tb_rec_uni[natureza]"),"repasse.cef.obra",
INDIRECT("tb_rec_uni[empresa]"),D$6)</f>
        <v>0</v>
      </c>
      <c r="E57" s="123">
        <f ca="1">SUMIFS(tb_rec_uni[2025-07-01],
INDIRECT("tb_rec_uni[natureza]"),"repasse.cef.terreno",
INDIRECT("tb_rec_uni[empresa]"),E$6)</f>
        <v>0</v>
      </c>
      <c r="F57" s="123">
        <v>171602.91</v>
      </c>
      <c r="G57" s="123">
        <f ca="1">SUMIFS(tb_rec_uni[2025-07-01],
INDIRECT("tb_rec_uni[natureza]"),"taxa.extra",
INDIRECT("tb_rec_uni[empresa]"),G$6)</f>
        <v>0</v>
      </c>
      <c r="H57" s="111"/>
      <c r="I57" s="123">
        <f ca="1">SUMIFS(
  m.vb[valor],
  m.vb[nucleo],$B$1,
  m.vb[variavel],I$7,
  m.vb[mes],$A57
)</f>
        <v>0</v>
      </c>
      <c r="J57" s="123">
        <f ca="1">SUMIFS(
  m.vb[valor],
  m.vb[nucleo],$B$1,
  m.vb[variavel],J$7,
  m.vb[mes],$A57
)</f>
        <v>0</v>
      </c>
      <c r="K57" s="123">
        <f ca="1">SUMIFS(
  m.vb[valor],
  m.vb[nucleo],$B$1,
  m.vb[variavel],K$7,
  m.vb[mes],$A57
)</f>
        <v>0</v>
      </c>
      <c r="L57" s="123">
        <f ca="1">SUMIFS(
  m.vb[valor],
  m.vb[nucleo],$B$1,
  m.vb[variavel],L$7,
  m.vb[mes],$A57
)</f>
        <v>0</v>
      </c>
      <c r="M57" s="124">
        <f ca="1">SUMIFS(
  m.vb[valor],
  m.vb[nucleo],$B$1,
  m.vb[variavel],M$7,
  m.vb[mes],$A57
)</f>
        <v>0</v>
      </c>
      <c r="N57" s="122">
        <f>COUNTIFS(
    tb_estq[empresa], N$6,
    tb_estq[Data da venda / reserva], "&gt;=" &amp; $A57,
    tb_estq[Data da venda / reserva], "&lt;"  &amp; EOMONTH($A57,0) + 1
)</f>
        <v>0</v>
      </c>
      <c r="O57" s="123">
        <f ca="1">SUMIFS(tb_rec_uni[2025-07-01],
INDIRECT("tb_rec_uni[natureza]"),"pro.soluto",
INDIRECT("tb_rec_uni[empresa]"),O$6)</f>
        <v>0</v>
      </c>
      <c r="P57" s="123">
        <f ca="1">SUMIFS(tb_rec_uni[2025-07-01],
INDIRECT("tb_rec_uni[natureza]"),"repasse.cef.obra",
INDIRECT("tb_rec_uni[empresa]"),P$6)</f>
        <v>0</v>
      </c>
      <c r="Q57" s="123">
        <f ca="1">SUMIFS(tb_rec_uni[2025-07-01],
INDIRECT("tb_rec_uni[natureza]"),"repasse.cef.terreno",
INDIRECT("tb_rec_uni[empresa]"),Q$6)</f>
        <v>0</v>
      </c>
      <c r="R57" s="123">
        <v>0</v>
      </c>
      <c r="S57" s="123">
        <f ca="1">SUMIFS(tb_rec_uni[2025-07-01],
INDIRECT("tb_rec_uni[natureza]"),"taxa.extra",
INDIRECT("tb_rec_uni[empresa]"),S$6)</f>
        <v>0</v>
      </c>
      <c r="T57" s="111"/>
      <c r="U57" s="123">
        <f ca="1">SUMIFS(
  m.vb[valor],
  m.vb[nucleo],$N$1,
  m.vb[variavel],U$7,
  m.vb[mes],$A57
)</f>
        <v>0</v>
      </c>
      <c r="V57" s="123">
        <f ca="1">SUMIFS(
  m.vb[valor],
  m.vb[nucleo],$N$1,
  m.vb[variavel],V$7,
  m.vb[mes],$A57
)</f>
        <v>0</v>
      </c>
      <c r="W57" s="123">
        <f ca="1">SUMIFS(
  m.vb[valor],
  m.vb[nucleo],$N$1,
  m.vb[variavel],W$7,
  m.vb[mes],$A57
)</f>
        <v>0</v>
      </c>
      <c r="X57" s="123">
        <f ca="1">SUMIFS(
  m.vb[valor],
  m.vb[nucleo],$N$1,
  m.vb[variavel],X$7,
  m.vb[mes],$A57
)</f>
        <v>0</v>
      </c>
      <c r="Y57" s="124">
        <f ca="1">SUMIFS(
  m.vb[valor],
  m.vb[nucleo],$N$1,
  m.vb[variavel],Y$7,
  m.vb[mes],$A57
)</f>
        <v>0</v>
      </c>
      <c r="Z57" s="122">
        <f>COUNTIFS(
    tb_estq[empresa], Z$6,
    tb_estq[Data da venda / reserva], "&gt;=" &amp; $A57,
    tb_estq[Data da venda / reserva], "&lt;"  &amp; EOMONTH($A57,0) + 1
)</f>
        <v>0</v>
      </c>
      <c r="AA57" s="123">
        <f ca="1">SUMIFS(tb_rec_uni[2025-07-01],
INDIRECT("tb_rec_uni[natureza]"),"pro.soluto",
INDIRECT("tb_rec_uni[empresa]"),AA$6)</f>
        <v>0</v>
      </c>
      <c r="AB57" s="123">
        <f ca="1">SUMIFS(tb_rec_uni[2025-07-01],
INDIRECT("tb_rec_uni[natureza]"),"parcela.fin.total.ik",
INDIRECT("tb_rec_uni[empresa]"),AB$6)</f>
        <v>0</v>
      </c>
      <c r="AC57" s="123">
        <f ca="1">SUMIFS(tb_rec_uni[2025-07-01],
INDIRECT("tb_rec_uni[natureza]"),"taxa.extra",
INDIRECT("tb_rec_uni[empresa]"),AC$6)</f>
        <v>0</v>
      </c>
      <c r="AD57" s="111"/>
      <c r="AE57" s="123">
        <f ca="1">SUMIFS(
  m.vb[valor],
  m.vb[nucleo],$Z$1,
  m.vb[variavel],AE$7,
  m.vb[mes],$A57
)</f>
        <v>0</v>
      </c>
      <c r="AF57" s="123">
        <f ca="1">SUMIFS(
  m.vb[valor],
  m.vb[nucleo],$Z$1,
  m.vb[variavel],AF$7,
  m.vb[mes],$A57
)</f>
        <v>0</v>
      </c>
      <c r="AG57" s="123">
        <f ca="1">SUMIFS(
  m.vb[valor],
  m.vb[nucleo],$Z$1,
  m.vb[variavel],AG$7,
  m.vb[mes],$A57
)</f>
        <v>0</v>
      </c>
      <c r="AH57" s="123">
        <f ca="1">SUMIFS(
  m.vb[valor],
  m.vb[nucleo],$Z$1,
  m.vb[variavel],AH$7,
  m.vb[mes],$A57
)</f>
        <v>0</v>
      </c>
      <c r="AI57" s="124">
        <f ca="1">SUMIFS(
  m.vb[valor],
  m.vb[nucleo],$Z$1,
  m.vb[variavel],AI$7,
  m.vb[mes],$A57
)</f>
        <v>0</v>
      </c>
      <c r="AJ57" s="122">
        <f>COUNTIFS(
    tb_estq[empresa], AJ$6,
    tb_estq[Data da venda / reserva], "&gt;=" &amp; $A57,
    tb_estq[Data da venda / reserva], "&lt;"  &amp; EOMONTH($A57,0) + 1
)</f>
        <v>0</v>
      </c>
      <c r="AK57" s="123">
        <f ca="1">SUMIFS(tb_rec_uni[2025-07-01],
INDIRECT("tb_rec_uni[natureza]"),"pro.soluto",
INDIRECT("tb_rec_uni[empresa]"),AK$6)</f>
        <v>0</v>
      </c>
      <c r="AL57" s="123">
        <f ca="1">SUMIFS(tb_rec_uni[2025-07-01],
INDIRECT("tb_rec_uni[natureza]"),"repasse.cef.obra",
INDIRECT("tb_rec_uni[empresa]"),AL$6)</f>
        <v>0</v>
      </c>
      <c r="AM57" s="123">
        <f ca="1">SUMIFS(tb_rec_uni[2025-07-01],
INDIRECT("tb_rec_uni[natureza]"),"repasse.cef.terreno",
INDIRECT("tb_rec_uni[empresa]"),AM$6)</f>
        <v>0</v>
      </c>
      <c r="AN57" s="123">
        <v>493410.63</v>
      </c>
      <c r="AO57" s="123">
        <f ca="1">SUMIFS(tb_rec_uni[2025-07-01],
INDIRECT("tb_rec_uni[natureza]"),"taxa.extra",
INDIRECT("tb_rec_uni[empresa]"),AO$6)</f>
        <v>0</v>
      </c>
      <c r="AP57" s="111"/>
      <c r="AQ57" s="123">
        <f ca="1">SUMIFS(
  m.vb[valor],
  m.vb[nucleo],$AJ$1,
  m.vb[variavel],AQ$7,
  m.vb[mes],$A57
)</f>
        <v>0</v>
      </c>
      <c r="AR57" s="123">
        <f ca="1">SUMIFS(
  m.vb[valor],
  m.vb[nucleo],$AJ$1,
  m.vb[variavel],AR$7,
  m.vb[mes],$A57
)</f>
        <v>0</v>
      </c>
      <c r="AS57" s="123">
        <f ca="1">SUMIFS(
  m.vb[valor],
  m.vb[nucleo],$AJ$1,
  m.vb[variavel],AS$7,
  m.vb[mes],$A57
)</f>
        <v>0</v>
      </c>
      <c r="AT57" s="123">
        <f ca="1">SUMIFS(
  m.vb[valor],
  m.vb[nucleo],$AJ$1,
  m.vb[variavel],AT$7,
  m.vb[mes],$A57
)</f>
        <v>0</v>
      </c>
      <c r="AU57" s="124">
        <f ca="1">SUMIFS(
  m.vb[valor],
  m.vb[nucleo],$AJ$1,
  m.vb[variavel],AU$7,
  m.vb[mes],$A57
)</f>
        <v>0</v>
      </c>
      <c r="AV57" s="122">
        <f>COUNTIFS(
    tb_estq[empresa], AV$6,
    tb_estq[Data da venda / reserva], "&gt;=" &amp; $A57,
    tb_estq[Data da venda / reserva], "&lt;"  &amp; EOMONTH($A57,0) + 1
)</f>
        <v>0</v>
      </c>
      <c r="AW57" s="123">
        <f ca="1">SUMIFS(tb_rec_uni[2025-07-01],
INDIRECT("tb_rec_uni[natureza]"),"pro.soluto",
INDIRECT("tb_rec_uni[empresa]"),AW$6)</f>
        <v>0</v>
      </c>
      <c r="AX57" s="123">
        <f ca="1">SUMIFS(tb_rec_uni[2025-07-01],
INDIRECT("tb_rec_uni[natureza]"),"repasse.cef.obra",
INDIRECT("tb_rec_uni[empresa]"),AX$6)</f>
        <v>0</v>
      </c>
      <c r="AY57" s="123">
        <f ca="1">SUMIFS(tb_rec_uni[2025-07-01],
INDIRECT("tb_rec_uni[natureza]"),"repasse.cef.terreno",
INDIRECT("tb_rec_uni[empresa]"),AY$6)</f>
        <v>0</v>
      </c>
      <c r="AZ57" s="123">
        <v>0</v>
      </c>
      <c r="BA57" s="123">
        <f ca="1">SUMIFS(tb_rec_uni[2025-07-01],
INDIRECT("tb_rec_uni[natureza]"),"taxa.extra",
INDIRECT("tb_rec_uni[empresa]"),BA$6)</f>
        <v>0</v>
      </c>
      <c r="BB57" s="111"/>
      <c r="BC57" s="123">
        <f ca="1">SUMIFS(
  m.vb[valor],
  m.vb[nucleo],$AV$1,
  m.vb[variavel],BC$7,
  m.vb[mes],$A57
)</f>
        <v>0</v>
      </c>
      <c r="BD57" s="123">
        <f ca="1">SUMIFS(
  m.vb[valor],
  m.vb[nucleo],$AV$1,
  m.vb[variavel],BD$7,
  m.vb[mes],$A57
)</f>
        <v>0</v>
      </c>
      <c r="BE57" s="123">
        <f ca="1">SUMIFS(
  m.vb[valor],
  m.vb[nucleo],$AV$1,
  m.vb[variavel],BE$7,
  m.vb[mes],$A57
)</f>
        <v>0</v>
      </c>
      <c r="BF57" s="123">
        <f ca="1">SUMIFS(
  m.vb[valor],
  m.vb[nucleo],$AV$1,
  m.vb[variavel],BF$7,
  m.vb[mes],$A57
)</f>
        <v>0</v>
      </c>
      <c r="BG57" s="124">
        <f ca="1">SUMIFS(
  m.vb[valor],
  m.vb[nucleo],$AV$1,
  m.vb[variavel],BG$7,
  m.vb[mes],$A57
)</f>
        <v>0</v>
      </c>
      <c r="BH57" s="122">
        <f>COUNTIFS(
    tb_estq[empresa], BH$6,
    tb_estq[Data da venda / reserva], "&gt;=" &amp; $A57,
    tb_estq[Data da venda / reserva], "&lt;"  &amp; EOMONTH($A57,0) + 1
)</f>
        <v>0</v>
      </c>
      <c r="BI57" s="123">
        <f ca="1">SUMIFS(tb_rec_uni[2025-07-01],
INDIRECT("tb_rec_uni[natureza]"),"pro.soluto",
INDIRECT("tb_rec_uni[empresa]"),BI$6)</f>
        <v>0</v>
      </c>
      <c r="BJ57" s="111">
        <f>10.89*94736</f>
        <v>1031675.04</v>
      </c>
      <c r="BK57" s="123">
        <f ca="1">SUMIFS(tb_rec_uni[2025-07-01],
INDIRECT("tb_rec_uni[natureza]"),"taxa.extra",
INDIRECT("tb_rec_uni[empresa]"),BK$6)</f>
        <v>0</v>
      </c>
      <c r="BL57" s="111"/>
      <c r="BM57" s="123">
        <f ca="1">SUMIFS(
  m.vb[valor],
  m.vb[nucleo],$BH$1,
  m.vb[variavel],BM$7,
  m.vb[mes],$A57
)</f>
        <v>0</v>
      </c>
      <c r="BN57" s="123">
        <f ca="1">SUMIFS(
  m.vb[valor],
  m.vb[nucleo],$BH$1,
  m.vb[variavel],BN$7,
  m.vb[mes],$A57
)</f>
        <v>0</v>
      </c>
      <c r="BO57" s="123">
        <f ca="1">SUMIFS(
  m.vb[valor],
  m.vb[nucleo],$BH$1,
  m.vb[variavel],BO$7,
  m.vb[mes],$A57
)</f>
        <v>0</v>
      </c>
      <c r="BP57" s="123">
        <f ca="1">SUMIFS(
  m.vb[valor],
  m.vb[nucleo],$BH$1,
  m.vb[variavel],BP$7,
  m.vb[mes],$A57
)</f>
        <v>0</v>
      </c>
      <c r="BQ57" s="124">
        <f ca="1">SUMIFS(
  m.vb[valor],
  m.vb[nucleo],$BH$1,
  m.vb[variavel],BQ$7,
  m.vb[mes],$A57
)</f>
        <v>0</v>
      </c>
      <c r="BR57" s="122">
        <f>COUNTIFS(
    tb_estq[empresa], BR$6,
    tb_estq[Data da venda / reserva], "&gt;=" &amp; $A57,
    tb_estq[Data da venda / reserva], "&lt;"  &amp; EOMONTH($A57,0) + 1
)</f>
        <v>0</v>
      </c>
      <c r="BS57" s="123">
        <f ca="1">SUMIFS(tb_rec_uni[2025-07-01],
INDIRECT("tb_rec_uni[natureza]"),"pro.soluto",
INDIRECT("tb_rec_uni[empresa]"),BS$6)</f>
        <v>0</v>
      </c>
      <c r="BT57" s="123">
        <f ca="1">SUMIFS(tb_rec_uni[2025-07-01],
INDIRECT("tb_rec_uni[natureza]"),"parcela.fin.total.ik",
INDIRECT("tb_rec_uni[empresa]"),BT$6)</f>
        <v>0</v>
      </c>
      <c r="BU57" s="123">
        <f ca="1">SUMIFS(tb_rec_uni[2025-07-01],
INDIRECT("tb_rec_uni[natureza]"),"taxa.extra",
INDIRECT("tb_rec_uni[empresa]"),BU$6)</f>
        <v>0</v>
      </c>
      <c r="BV57" s="111"/>
      <c r="BW57" s="123">
        <f ca="1">SUMIFS(
  m.vb[valor],
  m.vb[nucleo],$BR$1,
  m.vb[variavel],BW$7,
  m.vb[mes],$A57
)</f>
        <v>0</v>
      </c>
      <c r="BX57" s="123">
        <f ca="1">SUMIFS(
  m.vb[valor],
  m.vb[nucleo],$BR$1,
  m.vb[variavel],BX$7,
  m.vb[mes],$A57
)</f>
        <v>0</v>
      </c>
      <c r="BY57" s="123">
        <f ca="1">SUMIFS(
  m.vb[valor],
  m.vb[nucleo],$BR$1,
  m.vb[variavel],BY$7,
  m.vb[mes],$A57
)</f>
        <v>0</v>
      </c>
      <c r="BZ57" s="123">
        <f ca="1">SUMIFS(
  m.vb[valor],
  m.vb[nucleo],$BR$1,
  m.vb[variavel],BZ$7,
  m.vb[mes],$A57
)</f>
        <v>0</v>
      </c>
      <c r="CA57" s="124">
        <f ca="1">SUMIFS(
  m.vb[valor],
  m.vb[nucleo],$BR$1,
  m.vb[variavel],CA$7,
  m.vb[mes],$A57
)</f>
        <v>0</v>
      </c>
      <c r="CB57" s="122">
        <f>COUNTIFS(
    tb_estq[empresa], CB$6,
    tb_estq[Data da venda / reserva], "&gt;=" &amp; $A57,
    tb_estq[Data da venda / reserva], "&lt;"  &amp; EOMONTH($A57,0) + 1
)</f>
        <v>0</v>
      </c>
      <c r="CC57" s="123">
        <f ca="1">SUMIFS(tb_rec_uni[2025-07-01],
INDIRECT("tb_rec_uni[natureza]"),"pro.soluto",
INDIRECT("tb_rec_uni[empresa]"),CC$6)</f>
        <v>0</v>
      </c>
      <c r="CD57" s="123">
        <f ca="1">SUMIFS(tb_rec_uni[2025-07-01],
INDIRECT("tb_rec_uni[natureza]"),"repasse.cef.obra",
INDIRECT("tb_rec_uni[empresa]"),CD$6)</f>
        <v>0</v>
      </c>
      <c r="CE57" s="123">
        <f ca="1">SUMIFS(tb_rec_uni[2025-07-01],
INDIRECT("tb_rec_uni[natureza]"),"repasse.cef.terreno",
INDIRECT("tb_rec_uni[empresa]"),CE$6)</f>
        <v>0</v>
      </c>
      <c r="CF57" s="123">
        <v>504350.63</v>
      </c>
      <c r="CG57" s="123">
        <f ca="1">SUMIFS(tb_rec_uni[2025-07-01],
INDIRECT("tb_rec_uni[natureza]"),"taxa.extra",
INDIRECT("tb_rec_uni[empresa]"),CG$6)</f>
        <v>0</v>
      </c>
      <c r="CH57" s="111"/>
      <c r="CI57" s="123">
        <f ca="1">SUMIFS(
  m.vb[valor],
  m.vb[nucleo],$CB$1,
  m.vb[variavel],CI$7,
  m.vb[mes],$A57
)</f>
        <v>0</v>
      </c>
      <c r="CJ57" s="123">
        <f ca="1">SUMIFS(
  m.vb[valor],
  m.vb[nucleo],$CB$1,
  m.vb[variavel],CJ$7,
  m.vb[mes],$A57
)</f>
        <v>0</v>
      </c>
      <c r="CK57" s="123">
        <f ca="1">SUMIFS(
  m.vb[valor],
  m.vb[nucleo],$CB$1,
  m.vb[variavel],CK$7,
  m.vb[mes],$A57
)</f>
        <v>0</v>
      </c>
      <c r="CL57" s="123">
        <f ca="1">SUMIFS(
  m.vb[valor],
  m.vb[nucleo],$CB$1,
  m.vb[variavel],CL$7,
  m.vb[mes],$A57
)</f>
        <v>0</v>
      </c>
      <c r="CM57" s="124">
        <f ca="1">SUMIFS(
  m.vb[valor],
  m.vb[nucleo],$CB$1,
  m.vb[variavel],CM$7,
  m.vb[mes],$A57
)</f>
        <v>0</v>
      </c>
      <c r="CN57" s="122">
        <f>COUNTIFS(
    tb_estq[empresa], CN$6,
    tb_estq[Data da venda / reserva], "&gt;=" &amp; $A57,
    tb_estq[Data da venda / reserva], "&lt;"  &amp; EOMONTH($A57,0) + 1
)</f>
        <v>0</v>
      </c>
      <c r="CO57" s="123">
        <f ca="1">SUMIFS(tb_rec_uni[2025-07-01],
INDIRECT("tb_rec_uni[natureza]"),"pro.soluto",
INDIRECT("tb_rec_uni[empresa]"),CO$6)</f>
        <v>0</v>
      </c>
      <c r="CP57" s="123">
        <f ca="1">SUMIFS(tb_rec_uni[2025-07-01],
INDIRECT("tb_rec_uni[natureza]"),"repasse.cef.obra",
INDIRECT("tb_rec_uni[empresa]"),CP$6)</f>
        <v>0</v>
      </c>
      <c r="CQ57" s="123">
        <f ca="1">SUMIFS(tb_rec_uni[2025-07-01],
INDIRECT("tb_rec_uni[natureza]"),"repasse.cef.terreno",
INDIRECT("tb_rec_uni[empresa]"),CQ$6)</f>
        <v>0</v>
      </c>
      <c r="CR57" s="123">
        <v>0</v>
      </c>
      <c r="CS57" s="123">
        <f ca="1">SUMIFS(tb_rec_uni[2025-07-01],
INDIRECT("tb_rec_uni[natureza]"),"taxa.extra",
INDIRECT("tb_rec_uni[empresa]"),CS$6)</f>
        <v>0</v>
      </c>
      <c r="CT57" s="111"/>
      <c r="CU57" s="123">
        <f ca="1">SUMIFS(
  m.vb[valor],
  m.vb[nucleo],$CN$1,
  m.vb[variavel],CU$7,
  m.vb[mes],$A57
)</f>
        <v>0</v>
      </c>
      <c r="CV57" s="123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3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3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5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21">
        <v>45870</v>
      </c>
      <c r="B58" s="122">
        <f>COUNTIFS(
    tb_estq[empresa], B$6,
    tb_estq[Data da venda / reserva], "&gt;=" &amp; $A58,
    tb_estq[Data da venda / reserva], "&lt;"  &amp; EOMONTH($A58,0) + 1
)</f>
        <v>0</v>
      </c>
      <c r="C58" s="123">
        <f ca="1">SUMIFS(tb_rec_uni[2025-08-01],
INDIRECT("tb_rec_uni[natureza]"),"pro.soluto",
INDIRECT("tb_rec_uni[empresa]"),C$6)</f>
        <v>0</v>
      </c>
      <c r="D58" s="123">
        <f ca="1">SUMIFS(tb_rec_uni[2025-08-01],
INDIRECT("tb_rec_uni[natureza]"),"repasse.cef.obra",
INDIRECT("tb_rec_uni[empresa]"),D$6)</f>
        <v>0</v>
      </c>
      <c r="E58" s="123">
        <f ca="1">SUMIFS(tb_rec_uni[2025-08-01],
INDIRECT("tb_rec_uni[natureza]"),"repasse.cef.terreno",
INDIRECT("tb_rec_uni[empresa]"),E$6)</f>
        <v>0</v>
      </c>
      <c r="F58" s="123">
        <v>366306.04</v>
      </c>
      <c r="G58" s="123">
        <f ca="1">SUMIFS(tb_rec_uni[2025-08-01],
INDIRECT("tb_rec_uni[natureza]"),"taxa.extra",
INDIRECT("tb_rec_uni[empresa]"),G$6)</f>
        <v>0</v>
      </c>
      <c r="H58" s="111"/>
      <c r="I58" s="123">
        <f ca="1">SUMIFS(
  m.vb[valor],
  m.vb[nucleo],$B$1,
  m.vb[variavel],I$7,
  m.vb[mes],$A58
)</f>
        <v>0</v>
      </c>
      <c r="J58" s="123">
        <f ca="1">SUMIFS(
  m.vb[valor],
  m.vb[nucleo],$B$1,
  m.vb[variavel],J$7,
  m.vb[mes],$A58
)</f>
        <v>0</v>
      </c>
      <c r="K58" s="123">
        <f ca="1">SUMIFS(
  m.vb[valor],
  m.vb[nucleo],$B$1,
  m.vb[variavel],K$7,
  m.vb[mes],$A58
)</f>
        <v>0</v>
      </c>
      <c r="L58" s="123">
        <f ca="1">SUMIFS(
  m.vb[valor],
  m.vb[nucleo],$B$1,
  m.vb[variavel],L$7,
  m.vb[mes],$A58
)</f>
        <v>0</v>
      </c>
      <c r="M58" s="124">
        <f ca="1">SUMIFS(
  m.vb[valor],
  m.vb[nucleo],$B$1,
  m.vb[variavel],M$7,
  m.vb[mes],$A58
)</f>
        <v>0</v>
      </c>
      <c r="N58" s="122">
        <f>COUNTIFS(
    tb_estq[empresa], N$6,
    tb_estq[Data da venda / reserva], "&gt;=" &amp; $A58,
    tb_estq[Data da venda / reserva], "&lt;"  &amp; EOMONTH($A58,0) + 1
)</f>
        <v>0</v>
      </c>
      <c r="O58" s="123">
        <f ca="1">SUMIFS(tb_rec_uni[2025-08-01],
INDIRECT("tb_rec_uni[natureza]"),"pro.soluto",
INDIRECT("tb_rec_uni[empresa]"),O$6)</f>
        <v>0</v>
      </c>
      <c r="P58" s="123">
        <f ca="1">SUMIFS(tb_rec_uni[2025-08-01],
INDIRECT("tb_rec_uni[natureza]"),"repasse.cef.obra",
INDIRECT("tb_rec_uni[empresa]"),P$6)</f>
        <v>0</v>
      </c>
      <c r="Q58" s="123">
        <f ca="1">SUMIFS(tb_rec_uni[2025-08-01],
INDIRECT("tb_rec_uni[natureza]"),"repasse.cef.terreno",
INDIRECT("tb_rec_uni[empresa]"),Q$6)</f>
        <v>0</v>
      </c>
      <c r="R58" s="123">
        <v>0</v>
      </c>
      <c r="S58" s="123">
        <f ca="1">SUMIFS(tb_rec_uni[2025-08-01],
INDIRECT("tb_rec_uni[natureza]"),"taxa.extra",
INDIRECT("tb_rec_uni[empresa]"),S$6)</f>
        <v>0</v>
      </c>
      <c r="T58" s="111"/>
      <c r="U58" s="123">
        <f ca="1">SUMIFS(
  m.vb[valor],
  m.vb[nucleo],$N$1,
  m.vb[variavel],U$7,
  m.vb[mes],$A58
)</f>
        <v>0</v>
      </c>
      <c r="V58" s="123">
        <f ca="1">SUMIFS(
  m.vb[valor],
  m.vb[nucleo],$N$1,
  m.vb[variavel],V$7,
  m.vb[mes],$A58
)</f>
        <v>0</v>
      </c>
      <c r="W58" s="123">
        <f ca="1">SUMIFS(
  m.vb[valor],
  m.vb[nucleo],$N$1,
  m.vb[variavel],W$7,
  m.vb[mes],$A58
)</f>
        <v>0</v>
      </c>
      <c r="X58" s="123">
        <f ca="1">SUMIFS(
  m.vb[valor],
  m.vb[nucleo],$N$1,
  m.vb[variavel],X$7,
  m.vb[mes],$A58
)</f>
        <v>0</v>
      </c>
      <c r="Y58" s="124">
        <f ca="1">SUMIFS(
  m.vb[valor],
  m.vb[nucleo],$N$1,
  m.vb[variavel],Y$7,
  m.vb[mes],$A58
)</f>
        <v>0</v>
      </c>
      <c r="Z58" s="122">
        <f>COUNTIFS(
    tb_estq[empresa], Z$6,
    tb_estq[Data da venda / reserva], "&gt;=" &amp; $A58,
    tb_estq[Data da venda / reserva], "&lt;"  &amp; EOMONTH($A58,0) + 1
)</f>
        <v>0</v>
      </c>
      <c r="AA58" s="123">
        <f ca="1">SUMIFS(tb_rec_uni[2025-08-01],
INDIRECT("tb_rec_uni[natureza]"),"pro.soluto",
INDIRECT("tb_rec_uni[empresa]"),AA$6)</f>
        <v>0</v>
      </c>
      <c r="AB58" s="123">
        <f ca="1">SUMIFS(tb_rec_uni[2025-08-01],
INDIRECT("tb_rec_uni[natureza]"),"parcela.fin.total.ik",
INDIRECT("tb_rec_uni[empresa]"),AB$6)</f>
        <v>0</v>
      </c>
      <c r="AC58" s="123">
        <f ca="1">SUMIFS(tb_rec_uni[2025-08-01],
INDIRECT("tb_rec_uni[natureza]"),"taxa.extra",
INDIRECT("tb_rec_uni[empresa]"),AC$6)</f>
        <v>0</v>
      </c>
      <c r="AD58" s="111"/>
      <c r="AE58" s="123">
        <f ca="1">SUMIFS(
  m.vb[valor],
  m.vb[nucleo],$Z$1,
  m.vb[variavel],AE$7,
  m.vb[mes],$A58
)</f>
        <v>0</v>
      </c>
      <c r="AF58" s="123">
        <f ca="1">SUMIFS(
  m.vb[valor],
  m.vb[nucleo],$Z$1,
  m.vb[variavel],AF$7,
  m.vb[mes],$A58
)</f>
        <v>0</v>
      </c>
      <c r="AG58" s="123">
        <f ca="1">SUMIFS(
  m.vb[valor],
  m.vb[nucleo],$Z$1,
  m.vb[variavel],AG$7,
  m.vb[mes],$A58
)</f>
        <v>0</v>
      </c>
      <c r="AH58" s="123">
        <f ca="1">SUMIFS(
  m.vb[valor],
  m.vb[nucleo],$Z$1,
  m.vb[variavel],AH$7,
  m.vb[mes],$A58
)</f>
        <v>0</v>
      </c>
      <c r="AI58" s="124">
        <f ca="1">SUMIFS(
  m.vb[valor],
  m.vb[nucleo],$Z$1,
  m.vb[variavel],AI$7,
  m.vb[mes],$A58
)</f>
        <v>0</v>
      </c>
      <c r="AJ58" s="122">
        <f>COUNTIFS(
    tb_estq[empresa], AJ$6,
    tb_estq[Data da venda / reserva], "&gt;=" &amp; $A58,
    tb_estq[Data da venda / reserva], "&lt;"  &amp; EOMONTH($A58,0) + 1
)</f>
        <v>0</v>
      </c>
      <c r="AK58" s="123">
        <f ca="1">SUMIFS(tb_rec_uni[2025-08-01],
INDIRECT("tb_rec_uni[natureza]"),"pro.soluto",
INDIRECT("tb_rec_uni[empresa]"),AK$6)</f>
        <v>0</v>
      </c>
      <c r="AL58" s="123">
        <f ca="1">SUMIFS(tb_rec_uni[2025-08-01],
INDIRECT("tb_rec_uni[natureza]"),"repasse.cef.obra",
INDIRECT("tb_rec_uni[empresa]"),AL$6)</f>
        <v>0</v>
      </c>
      <c r="AM58" s="123">
        <f ca="1">SUMIFS(tb_rec_uni[2025-08-01],
INDIRECT("tb_rec_uni[natureza]"),"repasse.cef.terreno",
INDIRECT("tb_rec_uni[empresa]"),AM$6)</f>
        <v>0</v>
      </c>
      <c r="AN58" s="123">
        <v>831222.47</v>
      </c>
      <c r="AO58" s="123">
        <f ca="1">SUMIFS(tb_rec_uni[2025-08-01],
INDIRECT("tb_rec_uni[natureza]"),"taxa.extra",
INDIRECT("tb_rec_uni[empresa]"),AO$6)</f>
        <v>0</v>
      </c>
      <c r="AP58" s="111"/>
      <c r="AQ58" s="123">
        <f ca="1">SUMIFS(
  m.vb[valor],
  m.vb[nucleo],$AJ$1,
  m.vb[variavel],AQ$7,
  m.vb[mes],$A58
)</f>
        <v>0</v>
      </c>
      <c r="AR58" s="123">
        <f ca="1">SUMIFS(
  m.vb[valor],
  m.vb[nucleo],$AJ$1,
  m.vb[variavel],AR$7,
  m.vb[mes],$A58
)</f>
        <v>0</v>
      </c>
      <c r="AS58" s="123">
        <f ca="1">SUMIFS(
  m.vb[valor],
  m.vb[nucleo],$AJ$1,
  m.vb[variavel],AS$7,
  m.vb[mes],$A58
)</f>
        <v>0</v>
      </c>
      <c r="AT58" s="123">
        <f ca="1">SUMIFS(
  m.vb[valor],
  m.vb[nucleo],$AJ$1,
  m.vb[variavel],AT$7,
  m.vb[mes],$A58
)</f>
        <v>0</v>
      </c>
      <c r="AU58" s="124">
        <f ca="1">SUMIFS(
  m.vb[valor],
  m.vb[nucleo],$AJ$1,
  m.vb[variavel],AU$7,
  m.vb[mes],$A58
)</f>
        <v>0</v>
      </c>
      <c r="AV58" s="122">
        <f>COUNTIFS(
    tb_estq[empresa], AV$6,
    tb_estq[Data da venda / reserva], "&gt;=" &amp; $A58,
    tb_estq[Data da venda / reserva], "&lt;"  &amp; EOMONTH($A58,0) + 1
)</f>
        <v>0</v>
      </c>
      <c r="AW58" s="123">
        <f ca="1">SUMIFS(tb_rec_uni[2025-08-01],
INDIRECT("tb_rec_uni[natureza]"),"pro.soluto",
INDIRECT("tb_rec_uni[empresa]"),AW$6)</f>
        <v>0</v>
      </c>
      <c r="AX58" s="123">
        <f ca="1">SUMIFS(tb_rec_uni[2025-08-01],
INDIRECT("tb_rec_uni[natureza]"),"repasse.cef.obra",
INDIRECT("tb_rec_uni[empresa]"),AX$6)</f>
        <v>0</v>
      </c>
      <c r="AY58" s="123">
        <f ca="1">SUMIFS(tb_rec_uni[2025-08-01],
INDIRECT("tb_rec_uni[natureza]"),"repasse.cef.terreno",
INDIRECT("tb_rec_uni[empresa]"),AY$6)</f>
        <v>0</v>
      </c>
      <c r="AZ58" s="123">
        <v>0</v>
      </c>
      <c r="BA58" s="123">
        <f ca="1">SUMIFS(tb_rec_uni[2025-08-01],
INDIRECT("tb_rec_uni[natureza]"),"taxa.extra",
INDIRECT("tb_rec_uni[empresa]"),BA$6)</f>
        <v>0</v>
      </c>
      <c r="BB58" s="111"/>
      <c r="BC58" s="123">
        <f ca="1">SUMIFS(
  m.vb[valor],
  m.vb[nucleo],$AV$1,
  m.vb[variavel],BC$7,
  m.vb[mes],$A58
)</f>
        <v>0</v>
      </c>
      <c r="BD58" s="123">
        <f ca="1">SUMIFS(
  m.vb[valor],
  m.vb[nucleo],$AV$1,
  m.vb[variavel],BD$7,
  m.vb[mes],$A58
)</f>
        <v>0</v>
      </c>
      <c r="BE58" s="123">
        <f ca="1">SUMIFS(
  m.vb[valor],
  m.vb[nucleo],$AV$1,
  m.vb[variavel],BE$7,
  m.vb[mes],$A58
)</f>
        <v>0</v>
      </c>
      <c r="BF58" s="123">
        <f ca="1">SUMIFS(
  m.vb[valor],
  m.vb[nucleo],$AV$1,
  m.vb[variavel],BF$7,
  m.vb[mes],$A58
)</f>
        <v>0</v>
      </c>
      <c r="BG58" s="124">
        <f ca="1">SUMIFS(
  m.vb[valor],
  m.vb[nucleo],$AV$1,
  m.vb[variavel],BG$7,
  m.vb[mes],$A58
)</f>
        <v>0</v>
      </c>
      <c r="BH58" s="122">
        <f>COUNTIFS(
    tb_estq[empresa], BH$6,
    tb_estq[Data da venda / reserva], "&gt;=" &amp; $A58,
    tb_estq[Data da venda / reserva], "&lt;"  &amp; EOMONTH($A58,0) + 1
)</f>
        <v>0</v>
      </c>
      <c r="BI58" s="123">
        <f ca="1">SUMIFS(tb_rec_uni[2025-08-01],
INDIRECT("tb_rec_uni[natureza]"),"pro.soluto",
INDIRECT("tb_rec_uni[empresa]"),BI$6)</f>
        <v>0</v>
      </c>
      <c r="BJ58" s="111">
        <f>4.23*94736</f>
        <v>400733.28</v>
      </c>
      <c r="BK58" s="123">
        <f ca="1">SUMIFS(tb_rec_uni[2025-08-01],
INDIRECT("tb_rec_uni[natureza]"),"taxa.extra",
INDIRECT("tb_rec_uni[empresa]"),BK$6)</f>
        <v>0</v>
      </c>
      <c r="BL58" s="111"/>
      <c r="BM58" s="123">
        <f ca="1">SUMIFS(
  m.vb[valor],
  m.vb[nucleo],$BH$1,
  m.vb[variavel],BM$7,
  m.vb[mes],$A58
)</f>
        <v>0</v>
      </c>
      <c r="BN58" s="123">
        <f ca="1">SUMIFS(
  m.vb[valor],
  m.vb[nucleo],$BH$1,
  m.vb[variavel],BN$7,
  m.vb[mes],$A58
)</f>
        <v>0</v>
      </c>
      <c r="BO58" s="123">
        <f ca="1">SUMIFS(
  m.vb[valor],
  m.vb[nucleo],$BH$1,
  m.vb[variavel],BO$7,
  m.vb[mes],$A58
)</f>
        <v>0</v>
      </c>
      <c r="BP58" s="123">
        <f ca="1">SUMIFS(
  m.vb[valor],
  m.vb[nucleo],$BH$1,
  m.vb[variavel],BP$7,
  m.vb[mes],$A58
)</f>
        <v>0</v>
      </c>
      <c r="BQ58" s="124">
        <f ca="1">SUMIFS(
  m.vb[valor],
  m.vb[nucleo],$BH$1,
  m.vb[variavel],BQ$7,
  m.vb[mes],$A58
)</f>
        <v>0</v>
      </c>
      <c r="BR58" s="122">
        <f>COUNTIFS(
    tb_estq[empresa], BR$6,
    tb_estq[Data da venda / reserva], "&gt;=" &amp; $A58,
    tb_estq[Data da venda / reserva], "&lt;"  &amp; EOMONTH($A58,0) + 1
)</f>
        <v>0</v>
      </c>
      <c r="BS58" s="123">
        <f ca="1">SUMIFS(tb_rec_uni[2025-08-01],
INDIRECT("tb_rec_uni[natureza]"),"pro.soluto",
INDIRECT("tb_rec_uni[empresa]"),BS$6)</f>
        <v>0</v>
      </c>
      <c r="BT58" s="123">
        <f ca="1">SUMIFS(tb_rec_uni[2025-08-01],
INDIRECT("tb_rec_uni[natureza]"),"parcela.fin.total.ik",
INDIRECT("tb_rec_uni[empresa]"),BT$6)</f>
        <v>0</v>
      </c>
      <c r="BU58" s="123">
        <f ca="1">SUMIFS(tb_rec_uni[2025-08-01],
INDIRECT("tb_rec_uni[natureza]"),"taxa.extra",
INDIRECT("tb_rec_uni[empresa]"),BU$6)</f>
        <v>0</v>
      </c>
      <c r="BV58" s="111"/>
      <c r="BW58" s="123">
        <f ca="1">SUMIFS(
  m.vb[valor],
  m.vb[nucleo],$BR$1,
  m.vb[variavel],BW$7,
  m.vb[mes],$A58
)</f>
        <v>0</v>
      </c>
      <c r="BX58" s="123">
        <f ca="1">SUMIFS(
  m.vb[valor],
  m.vb[nucleo],$BR$1,
  m.vb[variavel],BX$7,
  m.vb[mes],$A58
)</f>
        <v>0</v>
      </c>
      <c r="BY58" s="123">
        <f ca="1">SUMIFS(
  m.vb[valor],
  m.vb[nucleo],$BR$1,
  m.vb[variavel],BY$7,
  m.vb[mes],$A58
)</f>
        <v>0</v>
      </c>
      <c r="BZ58" s="123">
        <f ca="1">SUMIFS(
  m.vb[valor],
  m.vb[nucleo],$BR$1,
  m.vb[variavel],BZ$7,
  m.vb[mes],$A58
)</f>
        <v>0</v>
      </c>
      <c r="CA58" s="124">
        <f ca="1">SUMIFS(
  m.vb[valor],
  m.vb[nucleo],$BR$1,
  m.vb[variavel],CA$7,
  m.vb[mes],$A58
)</f>
        <v>0</v>
      </c>
      <c r="CB58" s="122">
        <f>COUNTIFS(
    tb_estq[empresa], CB$6,
    tb_estq[Data da venda / reserva], "&gt;=" &amp; $A58,
    tb_estq[Data da venda / reserva], "&lt;"  &amp; EOMONTH($A58,0) + 1
)</f>
        <v>0</v>
      </c>
      <c r="CC58" s="123">
        <f ca="1">SUMIFS(tb_rec_uni[2025-08-01],
INDIRECT("tb_rec_uni[natureza]"),"pro.soluto",
INDIRECT("tb_rec_uni[empresa]"),CC$6)</f>
        <v>0</v>
      </c>
      <c r="CD58" s="123">
        <f ca="1">SUMIFS(tb_rec_uni[2025-08-01],
INDIRECT("tb_rec_uni[natureza]"),"repasse.cef.obra",
INDIRECT("tb_rec_uni[empresa]"),CD$6)</f>
        <v>0</v>
      </c>
      <c r="CE58" s="123">
        <f ca="1">SUMIFS(tb_rec_uni[2025-08-01],
INDIRECT("tb_rec_uni[natureza]"),"repasse.cef.terreno",
INDIRECT("tb_rec_uni[empresa]"),CE$6)</f>
        <v>0</v>
      </c>
      <c r="CF58" s="123">
        <v>249520.85</v>
      </c>
      <c r="CG58" s="123">
        <f ca="1">SUMIFS(tb_rec_uni[2025-08-01],
INDIRECT("tb_rec_uni[natureza]"),"taxa.extra",
INDIRECT("tb_rec_uni[empresa]"),CG$6)</f>
        <v>0</v>
      </c>
      <c r="CH58" s="111"/>
      <c r="CI58" s="123">
        <f ca="1">SUMIFS(
  m.vb[valor],
  m.vb[nucleo],$CB$1,
  m.vb[variavel],CI$7,
  m.vb[mes],$A58
)</f>
        <v>0</v>
      </c>
      <c r="CJ58" s="123">
        <f ca="1">SUMIFS(
  m.vb[valor],
  m.vb[nucleo],$CB$1,
  m.vb[variavel],CJ$7,
  m.vb[mes],$A58
)</f>
        <v>0</v>
      </c>
      <c r="CK58" s="123">
        <f ca="1">SUMIFS(
  m.vb[valor],
  m.vb[nucleo],$CB$1,
  m.vb[variavel],CK$7,
  m.vb[mes],$A58
)</f>
        <v>0</v>
      </c>
      <c r="CL58" s="123">
        <f ca="1">SUMIFS(
  m.vb[valor],
  m.vb[nucleo],$CB$1,
  m.vb[variavel],CL$7,
  m.vb[mes],$A58
)</f>
        <v>0</v>
      </c>
      <c r="CM58" s="124">
        <f ca="1">SUMIFS(
  m.vb[valor],
  m.vb[nucleo],$CB$1,
  m.vb[variavel],CM$7,
  m.vb[mes],$A58
)</f>
        <v>0</v>
      </c>
      <c r="CN58" s="122">
        <f>COUNTIFS(
    tb_estq[empresa], CN$6,
    tb_estq[Data da venda / reserva], "&gt;=" &amp; $A58,
    tb_estq[Data da venda / reserva], "&lt;"  &amp; EOMONTH($A58,0) + 1
)</f>
        <v>0</v>
      </c>
      <c r="CO58" s="123">
        <f ca="1">SUMIFS(tb_rec_uni[2025-08-01],
INDIRECT("tb_rec_uni[natureza]"),"pro.soluto",
INDIRECT("tb_rec_uni[empresa]"),CO$6)</f>
        <v>0</v>
      </c>
      <c r="CP58" s="123">
        <f ca="1">SUMIFS(tb_rec_uni[2025-08-01],
INDIRECT("tb_rec_uni[natureza]"),"repasse.cef.obra",
INDIRECT("tb_rec_uni[empresa]"),CP$6)</f>
        <v>0</v>
      </c>
      <c r="CQ58" s="123">
        <f ca="1">SUMIFS(tb_rec_uni[2025-08-01],
INDIRECT("tb_rec_uni[natureza]"),"repasse.cef.terreno",
INDIRECT("tb_rec_uni[empresa]"),CQ$6)</f>
        <v>0</v>
      </c>
      <c r="CR58" s="123">
        <v>0</v>
      </c>
      <c r="CS58" s="123">
        <f ca="1">SUMIFS(tb_rec_uni[2025-08-01],
INDIRECT("tb_rec_uni[natureza]"),"taxa.extra",
INDIRECT("tb_rec_uni[empresa]"),CS$6)</f>
        <v>0</v>
      </c>
      <c r="CT58" s="111"/>
      <c r="CU58" s="123">
        <f ca="1">SUMIFS(
  m.vb[valor],
  m.vb[nucleo],$CN$1,
  m.vb[variavel],CU$7,
  m.vb[mes],$A58
)</f>
        <v>0</v>
      </c>
      <c r="CV58" s="123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3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3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5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21">
        <v>45901</v>
      </c>
      <c r="B59" s="122">
        <f>COUNTIFS(
    tb_estq[empresa], B$6,
    tb_estq[Data da venda / reserva], "&gt;=" &amp; $A59,
    tb_estq[Data da venda / reserva], "&lt;"  &amp; EOMONTH($A59,0) + 1
)</f>
        <v>0</v>
      </c>
      <c r="C59" s="123">
        <f ca="1">SUMIFS(tb_rec_uni[2025-09-01],
INDIRECT("tb_rec_uni[natureza]"),"pro.soluto",
INDIRECT("tb_rec_uni[empresa]"),C$6)</f>
        <v>0</v>
      </c>
      <c r="D59" s="123">
        <f ca="1">SUMIFS(tb_rec_uni[2025-09-01],
INDIRECT("tb_rec_uni[natureza]"),"repasse.cef.obra",
INDIRECT("tb_rec_uni[empresa]"),D$6)</f>
        <v>0</v>
      </c>
      <c r="E59" s="123">
        <f ca="1">SUMIFS(tb_rec_uni[2025-09-01],
INDIRECT("tb_rec_uni[natureza]"),"repasse.cef.terreno",
INDIRECT("tb_rec_uni[empresa]"),E$6)</f>
        <v>0</v>
      </c>
      <c r="F59" s="123">
        <v>181081.21</v>
      </c>
      <c r="G59" s="123">
        <f ca="1">SUMIFS(tb_rec_uni[2025-09-01],
INDIRECT("tb_rec_uni[natureza]"),"taxa.extra",
INDIRECT("tb_rec_uni[empresa]"),G$6)</f>
        <v>0</v>
      </c>
      <c r="H59" s="111"/>
      <c r="I59" s="123">
        <f ca="1">SUMIFS(
  m.vb[valor],
  m.vb[nucleo],$B$1,
  m.vb[variavel],I$7,
  m.vb[mes],$A59
)</f>
        <v>0</v>
      </c>
      <c r="J59" s="123">
        <f ca="1">SUMIFS(
  m.vb[valor],
  m.vb[nucleo],$B$1,
  m.vb[variavel],J$7,
  m.vb[mes],$A59
)</f>
        <v>0</v>
      </c>
      <c r="K59" s="123">
        <f ca="1">SUMIFS(
  m.vb[valor],
  m.vb[nucleo],$B$1,
  m.vb[variavel],K$7,
  m.vb[mes],$A59
)</f>
        <v>0</v>
      </c>
      <c r="L59" s="123">
        <f ca="1">SUMIFS(
  m.vb[valor],
  m.vb[nucleo],$B$1,
  m.vb[variavel],L$7,
  m.vb[mes],$A59
)</f>
        <v>0</v>
      </c>
      <c r="M59" s="124">
        <f ca="1">SUMIFS(
  m.vb[valor],
  m.vb[nucleo],$B$1,
  m.vb[variavel],M$7,
  m.vb[mes],$A59
)</f>
        <v>0</v>
      </c>
      <c r="N59" s="122">
        <f>COUNTIFS(
    tb_estq[empresa], N$6,
    tb_estq[Data da venda / reserva], "&gt;=" &amp; $A59,
    tb_estq[Data da venda / reserva], "&lt;"  &amp; EOMONTH($A59,0) + 1
)</f>
        <v>0</v>
      </c>
      <c r="O59" s="123">
        <f ca="1">SUMIFS(tb_rec_uni[2025-09-01],
INDIRECT("tb_rec_uni[natureza]"),"pro.soluto",
INDIRECT("tb_rec_uni[empresa]"),O$6)</f>
        <v>0</v>
      </c>
      <c r="P59" s="123">
        <f ca="1">SUMIFS(tb_rec_uni[2025-09-01],
INDIRECT("tb_rec_uni[natureza]"),"repasse.cef.obra",
INDIRECT("tb_rec_uni[empresa]"),P$6)</f>
        <v>0</v>
      </c>
      <c r="Q59" s="123">
        <f ca="1">SUMIFS(tb_rec_uni[2025-09-01],
INDIRECT("tb_rec_uni[natureza]"),"repasse.cef.terreno",
INDIRECT("tb_rec_uni[empresa]"),Q$6)</f>
        <v>0</v>
      </c>
      <c r="R59" s="123">
        <v>0</v>
      </c>
      <c r="S59" s="123">
        <f ca="1">SUMIFS(tb_rec_uni[2025-09-01],
INDIRECT("tb_rec_uni[natureza]"),"taxa.extra",
INDIRECT("tb_rec_uni[empresa]"),S$6)</f>
        <v>0</v>
      </c>
      <c r="T59" s="111"/>
      <c r="U59" s="123">
        <f ca="1">SUMIFS(
  m.vb[valor],
  m.vb[nucleo],$N$1,
  m.vb[variavel],U$7,
  m.vb[mes],$A59
)</f>
        <v>0</v>
      </c>
      <c r="V59" s="123">
        <f ca="1">SUMIFS(
  m.vb[valor],
  m.vb[nucleo],$N$1,
  m.vb[variavel],V$7,
  m.vb[mes],$A59
)</f>
        <v>0</v>
      </c>
      <c r="W59" s="123">
        <f ca="1">SUMIFS(
  m.vb[valor],
  m.vb[nucleo],$N$1,
  m.vb[variavel],W$7,
  m.vb[mes],$A59
)</f>
        <v>0</v>
      </c>
      <c r="X59" s="123">
        <f ca="1">SUMIFS(
  m.vb[valor],
  m.vb[nucleo],$N$1,
  m.vb[variavel],X$7,
  m.vb[mes],$A59
)</f>
        <v>0</v>
      </c>
      <c r="Y59" s="124">
        <f ca="1">SUMIFS(
  m.vb[valor],
  m.vb[nucleo],$N$1,
  m.vb[variavel],Y$7,
  m.vb[mes],$A59
)</f>
        <v>0</v>
      </c>
      <c r="Z59" s="122">
        <f>COUNTIFS(
    tb_estq[empresa], Z$6,
    tb_estq[Data da venda / reserva], "&gt;=" &amp; $A59,
    tb_estq[Data da venda / reserva], "&lt;"  &amp; EOMONTH($A59,0) + 1
)</f>
        <v>0</v>
      </c>
      <c r="AA59" s="123">
        <f ca="1">SUMIFS(tb_rec_uni[2025-09-01],
INDIRECT("tb_rec_uni[natureza]"),"pro.soluto",
INDIRECT("tb_rec_uni[empresa]"),AA$6)</f>
        <v>0</v>
      </c>
      <c r="AB59" s="123">
        <f ca="1">SUMIFS(tb_rec_uni[2025-09-01],
INDIRECT("tb_rec_uni[natureza]"),"parcela.fin.total.ik",
INDIRECT("tb_rec_uni[empresa]"),AB$6)</f>
        <v>0</v>
      </c>
      <c r="AC59" s="123">
        <f ca="1">SUMIFS(tb_rec_uni[2025-09-01],
INDIRECT("tb_rec_uni[natureza]"),"taxa.extra",
INDIRECT("tb_rec_uni[empresa]"),AC$6)</f>
        <v>0</v>
      </c>
      <c r="AD59" s="111"/>
      <c r="AE59" s="123">
        <f ca="1">SUMIFS(
  m.vb[valor],
  m.vb[nucleo],$Z$1,
  m.vb[variavel],AE$7,
  m.vb[mes],$A59
)</f>
        <v>0</v>
      </c>
      <c r="AF59" s="123">
        <f ca="1">SUMIFS(
  m.vb[valor],
  m.vb[nucleo],$Z$1,
  m.vb[variavel],AF$7,
  m.vb[mes],$A59
)</f>
        <v>0</v>
      </c>
      <c r="AG59" s="123">
        <f ca="1">SUMIFS(
  m.vb[valor],
  m.vb[nucleo],$Z$1,
  m.vb[variavel],AG$7,
  m.vb[mes],$A59
)</f>
        <v>0</v>
      </c>
      <c r="AH59" s="123">
        <f ca="1">SUMIFS(
  m.vb[valor],
  m.vb[nucleo],$Z$1,
  m.vb[variavel],AH$7,
  m.vb[mes],$A59
)</f>
        <v>0</v>
      </c>
      <c r="AI59" s="124">
        <f ca="1">SUMIFS(
  m.vb[valor],
  m.vb[nucleo],$Z$1,
  m.vb[variavel],AI$7,
  m.vb[mes],$A59
)</f>
        <v>0</v>
      </c>
      <c r="AJ59" s="122">
        <f>COUNTIFS(
    tb_estq[empresa], AJ$6,
    tb_estq[Data da venda / reserva], "&gt;=" &amp; $A59,
    tb_estq[Data da venda / reserva], "&lt;"  &amp; EOMONTH($A59,0) + 1
)</f>
        <v>0</v>
      </c>
      <c r="AK59" s="123">
        <f ca="1">SUMIFS(tb_rec_uni[2025-09-01],
INDIRECT("tb_rec_uni[natureza]"),"pro.soluto",
INDIRECT("tb_rec_uni[empresa]"),AK$6)</f>
        <v>0</v>
      </c>
      <c r="AL59" s="123">
        <f ca="1">SUMIFS(tb_rec_uni[2025-09-01],
INDIRECT("tb_rec_uni[natureza]"),"repasse.cef.obra",
INDIRECT("tb_rec_uni[empresa]"),AL$6)</f>
        <v>0</v>
      </c>
      <c r="AM59" s="123">
        <f ca="1">SUMIFS(tb_rec_uni[2025-09-01],
INDIRECT("tb_rec_uni[natureza]"),"repasse.cef.terreno",
INDIRECT("tb_rec_uni[empresa]"),AM$6)</f>
        <v>0</v>
      </c>
      <c r="AN59" s="123">
        <v>229516.7</v>
      </c>
      <c r="AO59" s="123">
        <f ca="1">SUMIFS(tb_rec_uni[2025-09-01],
INDIRECT("tb_rec_uni[natureza]"),"taxa.extra",
INDIRECT("tb_rec_uni[empresa]"),AO$6)</f>
        <v>0</v>
      </c>
      <c r="AP59" s="111"/>
      <c r="AQ59" s="123">
        <f ca="1">SUMIFS(
  m.vb[valor],
  m.vb[nucleo],$AJ$1,
  m.vb[variavel],AQ$7,
  m.vb[mes],$A59
)</f>
        <v>0</v>
      </c>
      <c r="AR59" s="123">
        <f ca="1">SUMIFS(
  m.vb[valor],
  m.vb[nucleo],$AJ$1,
  m.vb[variavel],AR$7,
  m.vb[mes],$A59
)</f>
        <v>0</v>
      </c>
      <c r="AS59" s="123">
        <f ca="1">SUMIFS(
  m.vb[valor],
  m.vb[nucleo],$AJ$1,
  m.vb[variavel],AS$7,
  m.vb[mes],$A59
)</f>
        <v>0</v>
      </c>
      <c r="AT59" s="123">
        <f ca="1">SUMIFS(
  m.vb[valor],
  m.vb[nucleo],$AJ$1,
  m.vb[variavel],AT$7,
  m.vb[mes],$A59
)</f>
        <v>0</v>
      </c>
      <c r="AU59" s="124">
        <f ca="1">SUMIFS(
  m.vb[valor],
  m.vb[nucleo],$AJ$1,
  m.vb[variavel],AU$7,
  m.vb[mes],$A59
)</f>
        <v>0</v>
      </c>
      <c r="AV59" s="122">
        <f>COUNTIFS(
    tb_estq[empresa], AV$6,
    tb_estq[Data da venda / reserva], "&gt;=" &amp; $A59,
    tb_estq[Data da venda / reserva], "&lt;"  &amp; EOMONTH($A59,0) + 1
)</f>
        <v>0</v>
      </c>
      <c r="AW59" s="123">
        <f ca="1">SUMIFS(tb_rec_uni[2025-09-01],
INDIRECT("tb_rec_uni[natureza]"),"pro.soluto",
INDIRECT("tb_rec_uni[empresa]"),AW$6)</f>
        <v>0</v>
      </c>
      <c r="AX59" s="123">
        <f ca="1">SUMIFS(tb_rec_uni[2025-09-01],
INDIRECT("tb_rec_uni[natureza]"),"repasse.cef.obra",
INDIRECT("tb_rec_uni[empresa]"),AX$6)</f>
        <v>0</v>
      </c>
      <c r="AY59" s="123">
        <f ca="1">SUMIFS(tb_rec_uni[2025-09-01],
INDIRECT("tb_rec_uni[natureza]"),"repasse.cef.terreno",
INDIRECT("tb_rec_uni[empresa]"),AY$6)</f>
        <v>0</v>
      </c>
      <c r="AZ59" s="123">
        <v>0</v>
      </c>
      <c r="BA59" s="123">
        <f ca="1">SUMIFS(tb_rec_uni[2025-09-01],
INDIRECT("tb_rec_uni[natureza]"),"taxa.extra",
INDIRECT("tb_rec_uni[empresa]"),BA$6)</f>
        <v>0</v>
      </c>
      <c r="BB59" s="111"/>
      <c r="BC59" s="123">
        <f ca="1">SUMIFS(
  m.vb[valor],
  m.vb[nucleo],$AV$1,
  m.vb[variavel],BC$7,
  m.vb[mes],$A59
)</f>
        <v>0</v>
      </c>
      <c r="BD59" s="123">
        <f ca="1">SUMIFS(
  m.vb[valor],
  m.vb[nucleo],$AV$1,
  m.vb[variavel],BD$7,
  m.vb[mes],$A59
)</f>
        <v>0</v>
      </c>
      <c r="BE59" s="123">
        <f ca="1">SUMIFS(
  m.vb[valor],
  m.vb[nucleo],$AV$1,
  m.vb[variavel],BE$7,
  m.vb[mes],$A59
)</f>
        <v>0</v>
      </c>
      <c r="BF59" s="123">
        <f ca="1">SUMIFS(
  m.vb[valor],
  m.vb[nucleo],$AV$1,
  m.vb[variavel],BF$7,
  m.vb[mes],$A59
)</f>
        <v>0</v>
      </c>
      <c r="BG59" s="124">
        <f ca="1">SUMIFS(
  m.vb[valor],
  m.vb[nucleo],$AV$1,
  m.vb[variavel],BG$7,
  m.vb[mes],$A59
)</f>
        <v>0</v>
      </c>
      <c r="BH59" s="122">
        <f>COUNTIFS(
    tb_estq[empresa], BH$6,
    tb_estq[Data da venda / reserva], "&gt;=" &amp; $A59,
    tb_estq[Data da venda / reserva], "&lt;"  &amp; EOMONTH($A59,0) + 1
)</f>
        <v>0</v>
      </c>
      <c r="BI59" s="123">
        <f ca="1">SUMIFS(tb_rec_uni[2025-09-01],
INDIRECT("tb_rec_uni[natureza]"),"pro.soluto",
INDIRECT("tb_rec_uni[empresa]"),BI$6)</f>
        <v>0</v>
      </c>
      <c r="BJ59" s="111">
        <f>3.65*94736</f>
        <v>345786.39999999997</v>
      </c>
      <c r="BK59" s="123">
        <f ca="1">SUMIFS(tb_rec_uni[2025-09-01],
INDIRECT("tb_rec_uni[natureza]"),"taxa.extra",
INDIRECT("tb_rec_uni[empresa]"),BK$6)</f>
        <v>0</v>
      </c>
      <c r="BL59" s="111"/>
      <c r="BM59" s="123">
        <f ca="1">SUMIFS(
  m.vb[valor],
  m.vb[nucleo],$BH$1,
  m.vb[variavel],BM$7,
  m.vb[mes],$A59
)</f>
        <v>0</v>
      </c>
      <c r="BN59" s="123">
        <f ca="1">SUMIFS(
  m.vb[valor],
  m.vb[nucleo],$BH$1,
  m.vb[variavel],BN$7,
  m.vb[mes],$A59
)</f>
        <v>0</v>
      </c>
      <c r="BO59" s="123">
        <f ca="1">SUMIFS(
  m.vb[valor],
  m.vb[nucleo],$BH$1,
  m.vb[variavel],BO$7,
  m.vb[mes],$A59
)</f>
        <v>0</v>
      </c>
      <c r="BP59" s="123">
        <f ca="1">SUMIFS(
  m.vb[valor],
  m.vb[nucleo],$BH$1,
  m.vb[variavel],BP$7,
  m.vb[mes],$A59
)</f>
        <v>0</v>
      </c>
      <c r="BQ59" s="124">
        <f ca="1">SUMIFS(
  m.vb[valor],
  m.vb[nucleo],$BH$1,
  m.vb[variavel],BQ$7,
  m.vb[mes],$A59
)</f>
        <v>0</v>
      </c>
      <c r="BR59" s="122">
        <f>COUNTIFS(
    tb_estq[empresa], BR$6,
    tb_estq[Data da venda / reserva], "&gt;=" &amp; $A59,
    tb_estq[Data da venda / reserva], "&lt;"  &amp; EOMONTH($A59,0) + 1
)</f>
        <v>0</v>
      </c>
      <c r="BS59" s="123">
        <f ca="1">SUMIFS(tb_rec_uni[2025-09-01],
INDIRECT("tb_rec_uni[natureza]"),"pro.soluto",
INDIRECT("tb_rec_uni[empresa]"),BS$6)</f>
        <v>0</v>
      </c>
      <c r="BT59" s="123">
        <f ca="1">SUMIFS(tb_rec_uni[2025-09-01],
INDIRECT("tb_rec_uni[natureza]"),"parcela.fin.total.ik",
INDIRECT("tb_rec_uni[empresa]"),BT$6)</f>
        <v>0</v>
      </c>
      <c r="BU59" s="123">
        <f ca="1">SUMIFS(tb_rec_uni[2025-09-01],
INDIRECT("tb_rec_uni[natureza]"),"taxa.extra",
INDIRECT("tb_rec_uni[empresa]"),BU$6)</f>
        <v>0</v>
      </c>
      <c r="BV59" s="111"/>
      <c r="BW59" s="123">
        <f ca="1">SUMIFS(
  m.vb[valor],
  m.vb[nucleo],$BR$1,
  m.vb[variavel],BW$7,
  m.vb[mes],$A59
)</f>
        <v>0</v>
      </c>
      <c r="BX59" s="123">
        <f ca="1">SUMIFS(
  m.vb[valor],
  m.vb[nucleo],$BR$1,
  m.vb[variavel],BX$7,
  m.vb[mes],$A59
)</f>
        <v>0</v>
      </c>
      <c r="BY59" s="123">
        <f ca="1">SUMIFS(
  m.vb[valor],
  m.vb[nucleo],$BR$1,
  m.vb[variavel],BY$7,
  m.vb[mes],$A59
)</f>
        <v>0</v>
      </c>
      <c r="BZ59" s="123">
        <f ca="1">SUMIFS(
  m.vb[valor],
  m.vb[nucleo],$BR$1,
  m.vb[variavel],BZ$7,
  m.vb[mes],$A59
)</f>
        <v>0</v>
      </c>
      <c r="CA59" s="124">
        <f ca="1">SUMIFS(
  m.vb[valor],
  m.vb[nucleo],$BR$1,
  m.vb[variavel],CA$7,
  m.vb[mes],$A59
)</f>
        <v>0</v>
      </c>
      <c r="CB59" s="122">
        <f>COUNTIFS(
    tb_estq[empresa], CB$6,
    tb_estq[Data da venda / reserva], "&gt;=" &amp; $A59,
    tb_estq[Data da venda / reserva], "&lt;"  &amp; EOMONTH($A59,0) + 1
)</f>
        <v>0</v>
      </c>
      <c r="CC59" s="123">
        <f ca="1">SUMIFS(tb_rec_uni[2025-09-01],
INDIRECT("tb_rec_uni[natureza]"),"pro.soluto",
INDIRECT("tb_rec_uni[empresa]"),CC$6)</f>
        <v>0</v>
      </c>
      <c r="CD59" s="123">
        <f ca="1">SUMIFS(tb_rec_uni[2025-09-01],
INDIRECT("tb_rec_uni[natureza]"),"repasse.cef.obra",
INDIRECT("tb_rec_uni[empresa]"),CD$6)</f>
        <v>0</v>
      </c>
      <c r="CE59" s="123">
        <f ca="1">SUMIFS(tb_rec_uni[2025-09-01],
INDIRECT("tb_rec_uni[natureza]"),"repasse.cef.terreno",
INDIRECT("tb_rec_uni[empresa]"),CE$6)</f>
        <v>0</v>
      </c>
      <c r="CF59" s="123">
        <v>315799.90000000002</v>
      </c>
      <c r="CG59" s="123">
        <f ca="1">SUMIFS(tb_rec_uni[2025-09-01],
INDIRECT("tb_rec_uni[natureza]"),"taxa.extra",
INDIRECT("tb_rec_uni[empresa]"),CG$6)</f>
        <v>0</v>
      </c>
      <c r="CH59" s="111"/>
      <c r="CI59" s="123">
        <f ca="1">SUMIFS(
  m.vb[valor],
  m.vb[nucleo],$CB$1,
  m.vb[variavel],CI$7,
  m.vb[mes],$A59
)</f>
        <v>0</v>
      </c>
      <c r="CJ59" s="123">
        <f ca="1">SUMIFS(
  m.vb[valor],
  m.vb[nucleo],$CB$1,
  m.vb[variavel],CJ$7,
  m.vb[mes],$A59
)</f>
        <v>0</v>
      </c>
      <c r="CK59" s="123">
        <f ca="1">SUMIFS(
  m.vb[valor],
  m.vb[nucleo],$CB$1,
  m.vb[variavel],CK$7,
  m.vb[mes],$A59
)</f>
        <v>0</v>
      </c>
      <c r="CL59" s="123">
        <f ca="1">SUMIFS(
  m.vb[valor],
  m.vb[nucleo],$CB$1,
  m.vb[variavel],CL$7,
  m.vb[mes],$A59
)</f>
        <v>0</v>
      </c>
      <c r="CM59" s="124">
        <f ca="1">SUMIFS(
  m.vb[valor],
  m.vb[nucleo],$CB$1,
  m.vb[variavel],CM$7,
  m.vb[mes],$A59
)</f>
        <v>0</v>
      </c>
      <c r="CN59" s="122">
        <f>COUNTIFS(
    tb_estq[empresa], CN$6,
    tb_estq[Data da venda / reserva], "&gt;=" &amp; $A59,
    tb_estq[Data da venda / reserva], "&lt;"  &amp; EOMONTH($A59,0) + 1
)</f>
        <v>0</v>
      </c>
      <c r="CO59" s="123">
        <f ca="1">SUMIFS(tb_rec_uni[2025-09-01],
INDIRECT("tb_rec_uni[natureza]"),"pro.soluto",
INDIRECT("tb_rec_uni[empresa]"),CO$6)</f>
        <v>0</v>
      </c>
      <c r="CP59" s="123">
        <f ca="1">SUMIFS(tb_rec_uni[2025-09-01],
INDIRECT("tb_rec_uni[natureza]"),"repasse.cef.obra",
INDIRECT("tb_rec_uni[empresa]"),CP$6)</f>
        <v>0</v>
      </c>
      <c r="CQ59" s="123">
        <f ca="1">SUMIFS(tb_rec_uni[2025-09-01],
INDIRECT("tb_rec_uni[natureza]"),"repasse.cef.terreno",
INDIRECT("tb_rec_uni[empresa]"),CQ$6)</f>
        <v>0</v>
      </c>
      <c r="CR59" s="123">
        <v>0</v>
      </c>
      <c r="CS59" s="123">
        <f ca="1">SUMIFS(tb_rec_uni[2025-09-01],
INDIRECT("tb_rec_uni[natureza]"),"taxa.extra",
INDIRECT("tb_rec_uni[empresa]"),CS$6)</f>
        <v>0</v>
      </c>
      <c r="CT59" s="111"/>
      <c r="CU59" s="123">
        <f ca="1">SUMIFS(
  m.vb[valor],
  m.vb[nucleo],$CN$1,
  m.vb[variavel],CU$7,
  m.vb[mes],$A59
)</f>
        <v>0</v>
      </c>
      <c r="CV59" s="123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3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3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5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21">
        <v>45931</v>
      </c>
      <c r="B60" s="122">
        <f>COUNTIFS(
    tb_estq[empresa], B$6,
    tb_estq[Data da venda / reserva], "&gt;=" &amp; $A60,
    tb_estq[Data da venda / reserva], "&lt;"  &amp; EOMONTH($A60,0) + 1
)</f>
        <v>0</v>
      </c>
      <c r="C60" s="123">
        <f ca="1">SUMIFS(tb_rec_uni[2025-10-01],
INDIRECT("tb_rec_uni[natureza]"),"pro.soluto",
INDIRECT("tb_rec_uni[empresa]"),C$6)</f>
        <v>0</v>
      </c>
      <c r="D60" s="123">
        <f ca="1">SUMIFS(tb_rec_uni[2025-10-01],
INDIRECT("tb_rec_uni[natureza]"),"repasse.cef.obra",
INDIRECT("tb_rec_uni[empresa]"),D$6)</f>
        <v>0</v>
      </c>
      <c r="E60" s="123">
        <f ca="1">SUMIFS(tb_rec_uni[2025-10-01],
INDIRECT("tb_rec_uni[natureza]"),"repasse.cef.terreno",
INDIRECT("tb_rec_uni[empresa]"),E$6)</f>
        <v>0</v>
      </c>
      <c r="F60" s="123">
        <v>266613.7</v>
      </c>
      <c r="G60" s="123">
        <f ca="1">SUMIFS(tb_rec_uni[2025-10-01],
INDIRECT("tb_rec_uni[natureza]"),"taxa.extra",
INDIRECT("tb_rec_uni[empresa]"),G$6)</f>
        <v>0</v>
      </c>
      <c r="H60" s="111"/>
      <c r="I60" s="123">
        <f ca="1">SUMIFS(
  m.vb[valor],
  m.vb[nucleo],$B$1,
  m.vb[variavel],I$7,
  m.vb[mes],$A60
)</f>
        <v>0</v>
      </c>
      <c r="J60" s="123">
        <f ca="1">SUMIFS(
  m.vb[valor],
  m.vb[nucleo],$B$1,
  m.vb[variavel],J$7,
  m.vb[mes],$A60
)</f>
        <v>0</v>
      </c>
      <c r="K60" s="123">
        <f ca="1">SUMIFS(
  m.vb[valor],
  m.vb[nucleo],$B$1,
  m.vb[variavel],K$7,
  m.vb[mes],$A60
)</f>
        <v>0</v>
      </c>
      <c r="L60" s="123">
        <f ca="1">SUMIFS(
  m.vb[valor],
  m.vb[nucleo],$B$1,
  m.vb[variavel],L$7,
  m.vb[mes],$A60
)</f>
        <v>0</v>
      </c>
      <c r="M60" s="124">
        <f ca="1">SUMIFS(
  m.vb[valor],
  m.vb[nucleo],$B$1,
  m.vb[variavel],M$7,
  m.vb[mes],$A60
)</f>
        <v>0</v>
      </c>
      <c r="N60" s="122">
        <f>COUNTIFS(
    tb_estq[empresa], N$6,
    tb_estq[Data da venda / reserva], "&gt;=" &amp; $A60,
    tb_estq[Data da venda / reserva], "&lt;"  &amp; EOMONTH($A60,0) + 1
)</f>
        <v>0</v>
      </c>
      <c r="O60" s="123">
        <f ca="1">SUMIFS(tb_rec_uni[2025-10-01],
INDIRECT("tb_rec_uni[natureza]"),"pro.soluto",
INDIRECT("tb_rec_uni[empresa]"),O$6)</f>
        <v>0</v>
      </c>
      <c r="P60" s="123">
        <f ca="1">SUMIFS(tb_rec_uni[2025-10-01],
INDIRECT("tb_rec_uni[natureza]"),"repasse.cef.obra",
INDIRECT("tb_rec_uni[empresa]"),P$6)</f>
        <v>0</v>
      </c>
      <c r="Q60" s="123">
        <f ca="1">SUMIFS(tb_rec_uni[2025-10-01],
INDIRECT("tb_rec_uni[natureza]"),"repasse.cef.terreno",
INDIRECT("tb_rec_uni[empresa]"),Q$6)</f>
        <v>0</v>
      </c>
      <c r="R60" s="123">
        <v>0</v>
      </c>
      <c r="S60" s="123">
        <f ca="1">SUMIFS(tb_rec_uni[2025-10-01],
INDIRECT("tb_rec_uni[natureza]"),"taxa.extra",
INDIRECT("tb_rec_uni[empresa]"),S$6)</f>
        <v>0</v>
      </c>
      <c r="T60" s="111"/>
      <c r="U60" s="123">
        <f ca="1">SUMIFS(
  m.vb[valor],
  m.vb[nucleo],$N$1,
  m.vb[variavel],U$7,
  m.vb[mes],$A60
)</f>
        <v>0</v>
      </c>
      <c r="V60" s="123">
        <f ca="1">SUMIFS(
  m.vb[valor],
  m.vb[nucleo],$N$1,
  m.vb[variavel],V$7,
  m.vb[mes],$A60
)</f>
        <v>0</v>
      </c>
      <c r="W60" s="123">
        <f ca="1">SUMIFS(
  m.vb[valor],
  m.vb[nucleo],$N$1,
  m.vb[variavel],W$7,
  m.vb[mes],$A60
)</f>
        <v>0</v>
      </c>
      <c r="X60" s="123">
        <f ca="1">SUMIFS(
  m.vb[valor],
  m.vb[nucleo],$N$1,
  m.vb[variavel],X$7,
  m.vb[mes],$A60
)</f>
        <v>0</v>
      </c>
      <c r="Y60" s="124">
        <f ca="1">SUMIFS(
  m.vb[valor],
  m.vb[nucleo],$N$1,
  m.vb[variavel],Y$7,
  m.vb[mes],$A60
)</f>
        <v>0</v>
      </c>
      <c r="Z60" s="122">
        <f>COUNTIFS(
    tb_estq[empresa], Z$6,
    tb_estq[Data da venda / reserva], "&gt;=" &amp; $A60,
    tb_estq[Data da venda / reserva], "&lt;"  &amp; EOMONTH($A60,0) + 1
)</f>
        <v>0</v>
      </c>
      <c r="AA60" s="123">
        <f ca="1">SUMIFS(tb_rec_uni[2025-10-01],
INDIRECT("tb_rec_uni[natureza]"),"pro.soluto",
INDIRECT("tb_rec_uni[empresa]"),AA$6)</f>
        <v>0</v>
      </c>
      <c r="AB60" s="123">
        <f ca="1">SUMIFS(tb_rec_uni[2025-10-01],
INDIRECT("tb_rec_uni[natureza]"),"parcela.fin.total.ik",
INDIRECT("tb_rec_uni[empresa]"),AB$6)</f>
        <v>0</v>
      </c>
      <c r="AC60" s="123">
        <f ca="1">SUMIFS(tb_rec_uni[2025-10-01],
INDIRECT("tb_rec_uni[natureza]"),"taxa.extra",
INDIRECT("tb_rec_uni[empresa]"),AC$6)</f>
        <v>0</v>
      </c>
      <c r="AD60" s="111"/>
      <c r="AE60" s="123">
        <f ca="1">SUMIFS(
  m.vb[valor],
  m.vb[nucleo],$Z$1,
  m.vb[variavel],AE$7,
  m.vb[mes],$A60
)</f>
        <v>0</v>
      </c>
      <c r="AF60" s="123">
        <f ca="1">SUMIFS(
  m.vb[valor],
  m.vb[nucleo],$Z$1,
  m.vb[variavel],AF$7,
  m.vb[mes],$A60
)</f>
        <v>0</v>
      </c>
      <c r="AG60" s="123">
        <f ca="1">SUMIFS(
  m.vb[valor],
  m.vb[nucleo],$Z$1,
  m.vb[variavel],AG$7,
  m.vb[mes],$A60
)</f>
        <v>0</v>
      </c>
      <c r="AH60" s="123">
        <f ca="1">SUMIFS(
  m.vb[valor],
  m.vb[nucleo],$Z$1,
  m.vb[variavel],AH$7,
  m.vb[mes],$A60
)</f>
        <v>0</v>
      </c>
      <c r="AI60" s="124">
        <f ca="1">SUMIFS(
  m.vb[valor],
  m.vb[nucleo],$Z$1,
  m.vb[variavel],AI$7,
  m.vb[mes],$A60
)</f>
        <v>0</v>
      </c>
      <c r="AJ60" s="122">
        <f>COUNTIFS(
    tb_estq[empresa], AJ$6,
    tb_estq[Data da venda / reserva], "&gt;=" &amp; $A60,
    tb_estq[Data da venda / reserva], "&lt;"  &amp; EOMONTH($A60,0) + 1
)</f>
        <v>0</v>
      </c>
      <c r="AK60" s="123">
        <f ca="1">SUMIFS(tb_rec_uni[2025-10-01],
INDIRECT("tb_rec_uni[natureza]"),"pro.soluto",
INDIRECT("tb_rec_uni[empresa]"),AK$6)</f>
        <v>0</v>
      </c>
      <c r="AL60" s="123">
        <f ca="1">SUMIFS(tb_rec_uni[2025-10-01],
INDIRECT("tb_rec_uni[natureza]"),"repasse.cef.obra",
INDIRECT("tb_rec_uni[empresa]"),AL$6)</f>
        <v>0</v>
      </c>
      <c r="AM60" s="123">
        <f ca="1">SUMIFS(tb_rec_uni[2025-10-01],
INDIRECT("tb_rec_uni[natureza]"),"repasse.cef.terreno",
INDIRECT("tb_rec_uni[empresa]"),AM$6)</f>
        <v>0</v>
      </c>
      <c r="AN60" s="123">
        <v>314892.83</v>
      </c>
      <c r="AO60" s="123">
        <f ca="1">SUMIFS(tb_rec_uni[2025-10-01],
INDIRECT("tb_rec_uni[natureza]"),"taxa.extra",
INDIRECT("tb_rec_uni[empresa]"),AO$6)</f>
        <v>0</v>
      </c>
      <c r="AP60" s="111"/>
      <c r="AQ60" s="123">
        <f ca="1">SUMIFS(
  m.vb[valor],
  m.vb[nucleo],$AJ$1,
  m.vb[variavel],AQ$7,
  m.vb[mes],$A60
)</f>
        <v>0</v>
      </c>
      <c r="AR60" s="123">
        <f ca="1">SUMIFS(
  m.vb[valor],
  m.vb[nucleo],$AJ$1,
  m.vb[variavel],AR$7,
  m.vb[mes],$A60
)</f>
        <v>0</v>
      </c>
      <c r="AS60" s="123">
        <f ca="1">SUMIFS(
  m.vb[valor],
  m.vb[nucleo],$AJ$1,
  m.vb[variavel],AS$7,
  m.vb[mes],$A60
)</f>
        <v>0</v>
      </c>
      <c r="AT60" s="123">
        <f ca="1">SUMIFS(
  m.vb[valor],
  m.vb[nucleo],$AJ$1,
  m.vb[variavel],AT$7,
  m.vb[mes],$A60
)</f>
        <v>0</v>
      </c>
      <c r="AU60" s="124">
        <f ca="1">SUMIFS(
  m.vb[valor],
  m.vb[nucleo],$AJ$1,
  m.vb[variavel],AU$7,
  m.vb[mes],$A60
)</f>
        <v>0</v>
      </c>
      <c r="AV60" s="122">
        <f>COUNTIFS(
    tb_estq[empresa], AV$6,
    tb_estq[Data da venda / reserva], "&gt;=" &amp; $A60,
    tb_estq[Data da venda / reserva], "&lt;"  &amp; EOMONTH($A60,0) + 1
)</f>
        <v>0</v>
      </c>
      <c r="AW60" s="123">
        <f ca="1">SUMIFS(tb_rec_uni[2025-10-01],
INDIRECT("tb_rec_uni[natureza]"),"pro.soluto",
INDIRECT("tb_rec_uni[empresa]"),AW$6)</f>
        <v>0</v>
      </c>
      <c r="AX60" s="123">
        <f ca="1">SUMIFS(tb_rec_uni[2025-10-01],
INDIRECT("tb_rec_uni[natureza]"),"repasse.cef.obra",
INDIRECT("tb_rec_uni[empresa]"),AX$6)</f>
        <v>0</v>
      </c>
      <c r="AY60" s="123">
        <f ca="1">SUMIFS(tb_rec_uni[2025-10-01],
INDIRECT("tb_rec_uni[natureza]"),"repasse.cef.terreno",
INDIRECT("tb_rec_uni[empresa]"),AY$6)</f>
        <v>0</v>
      </c>
      <c r="AZ60" s="123">
        <v>0</v>
      </c>
      <c r="BA60" s="123">
        <f ca="1">SUMIFS(tb_rec_uni[2025-10-01],
INDIRECT("tb_rec_uni[natureza]"),"taxa.extra",
INDIRECT("tb_rec_uni[empresa]"),BA$6)</f>
        <v>0</v>
      </c>
      <c r="BB60" s="111"/>
      <c r="BC60" s="123">
        <f ca="1">SUMIFS(
  m.vb[valor],
  m.vb[nucleo],$AV$1,
  m.vb[variavel],BC$7,
  m.vb[mes],$A60
)</f>
        <v>0</v>
      </c>
      <c r="BD60" s="123">
        <f ca="1">SUMIFS(
  m.vb[valor],
  m.vb[nucleo],$AV$1,
  m.vb[variavel],BD$7,
  m.vb[mes],$A60
)</f>
        <v>0</v>
      </c>
      <c r="BE60" s="123">
        <f ca="1">SUMIFS(
  m.vb[valor],
  m.vb[nucleo],$AV$1,
  m.vb[variavel],BE$7,
  m.vb[mes],$A60
)</f>
        <v>0</v>
      </c>
      <c r="BF60" s="123">
        <f ca="1">SUMIFS(
  m.vb[valor],
  m.vb[nucleo],$AV$1,
  m.vb[variavel],BF$7,
  m.vb[mes],$A60
)</f>
        <v>0</v>
      </c>
      <c r="BG60" s="124">
        <f ca="1">SUMIFS(
  m.vb[valor],
  m.vb[nucleo],$AV$1,
  m.vb[variavel],BG$7,
  m.vb[mes],$A60
)</f>
        <v>0</v>
      </c>
      <c r="BH60" s="122">
        <f>COUNTIFS(
    tb_estq[empresa], BH$6,
    tb_estq[Data da venda / reserva], "&gt;=" &amp; $A60,
    tb_estq[Data da venda / reserva], "&lt;"  &amp; EOMONTH($A60,0) + 1
)</f>
        <v>0</v>
      </c>
      <c r="BI60" s="123">
        <f ca="1">SUMIFS(tb_rec_uni[2025-10-01],
INDIRECT("tb_rec_uni[natureza]"),"pro.soluto",
INDIRECT("tb_rec_uni[empresa]"),BI$6)</f>
        <v>0</v>
      </c>
      <c r="BJ60" s="111">
        <f>6.57*94736</f>
        <v>622415.52</v>
      </c>
      <c r="BK60" s="123">
        <f ca="1">SUMIFS(tb_rec_uni[2025-10-01],
INDIRECT("tb_rec_uni[natureza]"),"taxa.extra",
INDIRECT("tb_rec_uni[empresa]"),BK$6)</f>
        <v>0</v>
      </c>
      <c r="BL60" s="111"/>
      <c r="BM60" s="123">
        <f ca="1">SUMIFS(
  m.vb[valor],
  m.vb[nucleo],$BH$1,
  m.vb[variavel],BM$7,
  m.vb[mes],$A60
)</f>
        <v>0</v>
      </c>
      <c r="BN60" s="123">
        <f ca="1">SUMIFS(
  m.vb[valor],
  m.vb[nucleo],$BH$1,
  m.vb[variavel],BN$7,
  m.vb[mes],$A60
)</f>
        <v>0</v>
      </c>
      <c r="BO60" s="123">
        <f ca="1">SUMIFS(
  m.vb[valor],
  m.vb[nucleo],$BH$1,
  m.vb[variavel],BO$7,
  m.vb[mes],$A60
)</f>
        <v>0</v>
      </c>
      <c r="BP60" s="123">
        <f ca="1">SUMIFS(
  m.vb[valor],
  m.vb[nucleo],$BH$1,
  m.vb[variavel],BP$7,
  m.vb[mes],$A60
)</f>
        <v>0</v>
      </c>
      <c r="BQ60" s="124">
        <f ca="1">SUMIFS(
  m.vb[valor],
  m.vb[nucleo],$BH$1,
  m.vb[variavel],BQ$7,
  m.vb[mes],$A60
)</f>
        <v>0</v>
      </c>
      <c r="BR60" s="122">
        <f>COUNTIFS(
    tb_estq[empresa], BR$6,
    tb_estq[Data da venda / reserva], "&gt;=" &amp; $A60,
    tb_estq[Data da venda / reserva], "&lt;"  &amp; EOMONTH($A60,0) + 1
)</f>
        <v>0</v>
      </c>
      <c r="BS60" s="123">
        <f ca="1">SUMIFS(tb_rec_uni[2025-10-01],
INDIRECT("tb_rec_uni[natureza]"),"pro.soluto",
INDIRECT("tb_rec_uni[empresa]"),BS$6)</f>
        <v>0</v>
      </c>
      <c r="BT60" s="123">
        <f ca="1">SUMIFS(tb_rec_uni[2025-10-01],
INDIRECT("tb_rec_uni[natureza]"),"parcela.fin.total.ik",
INDIRECT("tb_rec_uni[empresa]"),BT$6)</f>
        <v>0</v>
      </c>
      <c r="BU60" s="123">
        <f ca="1">SUMIFS(tb_rec_uni[2025-10-01],
INDIRECT("tb_rec_uni[natureza]"),"taxa.extra",
INDIRECT("tb_rec_uni[empresa]"),BU$6)</f>
        <v>0</v>
      </c>
      <c r="BV60" s="111"/>
      <c r="BW60" s="123">
        <f ca="1">SUMIFS(
  m.vb[valor],
  m.vb[nucleo],$BR$1,
  m.vb[variavel],BW$7,
  m.vb[mes],$A60
)</f>
        <v>0</v>
      </c>
      <c r="BX60" s="123">
        <f ca="1">SUMIFS(
  m.vb[valor],
  m.vb[nucleo],$BR$1,
  m.vb[variavel],BX$7,
  m.vb[mes],$A60
)</f>
        <v>0</v>
      </c>
      <c r="BY60" s="123">
        <f ca="1">SUMIFS(
  m.vb[valor],
  m.vb[nucleo],$BR$1,
  m.vb[variavel],BY$7,
  m.vb[mes],$A60
)</f>
        <v>0</v>
      </c>
      <c r="BZ60" s="123">
        <f ca="1">SUMIFS(
  m.vb[valor],
  m.vb[nucleo],$BR$1,
  m.vb[variavel],BZ$7,
  m.vb[mes],$A60
)</f>
        <v>0</v>
      </c>
      <c r="CA60" s="124">
        <f ca="1">SUMIFS(
  m.vb[valor],
  m.vb[nucleo],$BR$1,
  m.vb[variavel],CA$7,
  m.vb[mes],$A60
)</f>
        <v>0</v>
      </c>
      <c r="CB60" s="122">
        <f>COUNTIFS(
    tb_estq[empresa], CB$6,
    tb_estq[Data da venda / reserva], "&gt;=" &amp; $A60,
    tb_estq[Data da venda / reserva], "&lt;"  &amp; EOMONTH($A60,0) + 1
)</f>
        <v>0</v>
      </c>
      <c r="CC60" s="123">
        <f ca="1">SUMIFS(tb_rec_uni[2025-10-01],
INDIRECT("tb_rec_uni[natureza]"),"pro.soluto",
INDIRECT("tb_rec_uni[empresa]"),CC$6)</f>
        <v>0</v>
      </c>
      <c r="CD60" s="123">
        <f ca="1">SUMIFS(tb_rec_uni[2025-10-01],
INDIRECT("tb_rec_uni[natureza]"),"repasse.cef.obra",
INDIRECT("tb_rec_uni[empresa]"),CD$6)</f>
        <v>0</v>
      </c>
      <c r="CE60" s="123">
        <f ca="1">SUMIFS(tb_rec_uni[2025-10-01],
INDIRECT("tb_rec_uni[natureza]"),"repasse.cef.terreno",
INDIRECT("tb_rec_uni[empresa]"),CE$6)</f>
        <v>0</v>
      </c>
      <c r="CF60" s="123">
        <v>165252.20000000001</v>
      </c>
      <c r="CG60" s="123">
        <f ca="1">SUMIFS(tb_rec_uni[2025-10-01],
INDIRECT("tb_rec_uni[natureza]"),"taxa.extra",
INDIRECT("tb_rec_uni[empresa]"),CG$6)</f>
        <v>0</v>
      </c>
      <c r="CH60" s="111"/>
      <c r="CI60" s="123">
        <f ca="1">SUMIFS(
  m.vb[valor],
  m.vb[nucleo],$CB$1,
  m.vb[variavel],CI$7,
  m.vb[mes],$A60
)</f>
        <v>0</v>
      </c>
      <c r="CJ60" s="123">
        <f ca="1">SUMIFS(
  m.vb[valor],
  m.vb[nucleo],$CB$1,
  m.vb[variavel],CJ$7,
  m.vb[mes],$A60
)</f>
        <v>0</v>
      </c>
      <c r="CK60" s="123">
        <f ca="1">SUMIFS(
  m.vb[valor],
  m.vb[nucleo],$CB$1,
  m.vb[variavel],CK$7,
  m.vb[mes],$A60
)</f>
        <v>0</v>
      </c>
      <c r="CL60" s="123">
        <f ca="1">SUMIFS(
  m.vb[valor],
  m.vb[nucleo],$CB$1,
  m.vb[variavel],CL$7,
  m.vb[mes],$A60
)</f>
        <v>0</v>
      </c>
      <c r="CM60" s="124">
        <f ca="1">SUMIFS(
  m.vb[valor],
  m.vb[nucleo],$CB$1,
  m.vb[variavel],CM$7,
  m.vb[mes],$A60
)</f>
        <v>0</v>
      </c>
      <c r="CN60" s="122">
        <f>COUNTIFS(
    tb_estq[empresa], CN$6,
    tb_estq[Data da venda / reserva], "&gt;=" &amp; $A60,
    tb_estq[Data da venda / reserva], "&lt;"  &amp; EOMONTH($A60,0) + 1
)</f>
        <v>0</v>
      </c>
      <c r="CO60" s="123">
        <f ca="1">SUMIFS(tb_rec_uni[2025-10-01],
INDIRECT("tb_rec_uni[natureza]"),"pro.soluto",
INDIRECT("tb_rec_uni[empresa]"),CO$6)</f>
        <v>0</v>
      </c>
      <c r="CP60" s="123">
        <f ca="1">SUMIFS(tb_rec_uni[2025-10-01],
INDIRECT("tb_rec_uni[natureza]"),"repasse.cef.obra",
INDIRECT("tb_rec_uni[empresa]"),CP$6)</f>
        <v>0</v>
      </c>
      <c r="CQ60" s="123">
        <f ca="1">SUMIFS(tb_rec_uni[2025-10-01],
INDIRECT("tb_rec_uni[natureza]"),"repasse.cef.terreno",
INDIRECT("tb_rec_uni[empresa]"),CQ$6)</f>
        <v>0</v>
      </c>
      <c r="CR60" s="123">
        <v>0</v>
      </c>
      <c r="CS60" s="123">
        <f ca="1">SUMIFS(tb_rec_uni[2025-10-01],
INDIRECT("tb_rec_uni[natureza]"),"taxa.extra",
INDIRECT("tb_rec_uni[empresa]"),CS$6)</f>
        <v>0</v>
      </c>
      <c r="CT60" s="111"/>
      <c r="CU60" s="123">
        <f ca="1">SUMIFS(
  m.vb[valor],
  m.vb[nucleo],$CN$1,
  m.vb[variavel],CU$7,
  m.vb[mes],$A60
)</f>
        <v>0</v>
      </c>
      <c r="CV60" s="123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3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3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5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21">
        <v>45962</v>
      </c>
      <c r="B61" s="122">
        <f>COUNTIFS(
    tb_estq[empresa], B$6,
    tb_estq[Data da venda / reserva], "&gt;=" &amp; $A61,
    tb_estq[Data da venda / reserva], "&lt;"  &amp; EOMONTH($A61,0) + 1
)</f>
        <v>0</v>
      </c>
      <c r="C61" s="123">
        <f ca="1">SUMIFS(tb_rec_uni[2025-11-01],
INDIRECT("tb_rec_uni[natureza]"),"pro.soluto",
INDIRECT("tb_rec_uni[empresa]"),C$6)</f>
        <v>0</v>
      </c>
      <c r="D61" s="123">
        <f ca="1">SUMIFS(tb_rec_uni[2025-11-01],
INDIRECT("tb_rec_uni[natureza]"),"repasse.cef.obra",
INDIRECT("tb_rec_uni[empresa]"),D$6)</f>
        <v>0</v>
      </c>
      <c r="E61" s="123">
        <f ca="1">SUMIFS(tb_rec_uni[2025-11-01],
INDIRECT("tb_rec_uni[natureza]"),"repasse.cef.terreno",
INDIRECT("tb_rec_uni[empresa]"),E$6)</f>
        <v>0</v>
      </c>
      <c r="F61" s="126">
        <v>230479.34</v>
      </c>
      <c r="G61" s="123">
        <f ca="1">SUMIFS(tb_rec_uni[2025-11-01],
INDIRECT("tb_rec_uni[natureza]"),"taxa.extra",
INDIRECT("tb_rec_uni[empresa]"),G$6)</f>
        <v>0</v>
      </c>
      <c r="H61" s="111"/>
      <c r="I61" s="123">
        <f ca="1">SUMIFS(
  m.vb[valor],
  m.vb[nucleo],$B$1,
  m.vb[variavel],I$7,
  m.vb[mes],$A61
)</f>
        <v>0</v>
      </c>
      <c r="J61" s="123">
        <f ca="1">SUMIFS(
  m.vb[valor],
  m.vb[nucleo],$B$1,
  m.vb[variavel],J$7,
  m.vb[mes],$A61
)</f>
        <v>0</v>
      </c>
      <c r="K61" s="123">
        <f ca="1">SUMIFS(
  m.vb[valor],
  m.vb[nucleo],$B$1,
  m.vb[variavel],K$7,
  m.vb[mes],$A61
)</f>
        <v>0</v>
      </c>
      <c r="L61" s="123">
        <f ca="1">SUMIFS(
  m.vb[valor],
  m.vb[nucleo],$B$1,
  m.vb[variavel],L$7,
  m.vb[mes],$A61
)</f>
        <v>0</v>
      </c>
      <c r="M61" s="124">
        <f ca="1">SUMIFS(
  m.vb[valor],
  m.vb[nucleo],$B$1,
  m.vb[variavel],M$7,
  m.vb[mes],$A61
)</f>
        <v>0</v>
      </c>
      <c r="N61" s="122">
        <f>COUNTIFS(
    tb_estq[empresa], N$6,
    tb_estq[Data da venda / reserva], "&gt;=" &amp; $A61,
    tb_estq[Data da venda / reserva], "&lt;"  &amp; EOMONTH($A61,0) + 1
)</f>
        <v>0</v>
      </c>
      <c r="O61" s="123">
        <f ca="1">SUMIFS(tb_rec_uni[2025-11-01],
INDIRECT("tb_rec_uni[natureza]"),"pro.soluto",
INDIRECT("tb_rec_uni[empresa]"),O$6)</f>
        <v>0</v>
      </c>
      <c r="P61" s="123">
        <f ca="1">SUMIFS(tb_rec_uni[2025-11-01],
INDIRECT("tb_rec_uni[natureza]"),"repasse.cef.obra",
INDIRECT("tb_rec_uni[empresa]"),P$6)</f>
        <v>0</v>
      </c>
      <c r="Q61" s="123">
        <f ca="1">SUMIFS(tb_rec_uni[2025-11-01],
INDIRECT("tb_rec_uni[natureza]"),"repasse.cef.terreno",
INDIRECT("tb_rec_uni[empresa]"),Q$6)</f>
        <v>0</v>
      </c>
      <c r="R61" s="126">
        <v>0</v>
      </c>
      <c r="S61" s="123">
        <f ca="1">SUMIFS(tb_rec_uni[2025-11-01],
INDIRECT("tb_rec_uni[natureza]"),"taxa.extra",
INDIRECT("tb_rec_uni[empresa]"),S$6)</f>
        <v>0</v>
      </c>
      <c r="T61" s="111"/>
      <c r="U61" s="123">
        <f ca="1">SUMIFS(
  m.vb[valor],
  m.vb[nucleo],$N$1,
  m.vb[variavel],U$7,
  m.vb[mes],$A61
)</f>
        <v>0</v>
      </c>
      <c r="V61" s="123">
        <f ca="1">SUMIFS(
  m.vb[valor],
  m.vb[nucleo],$N$1,
  m.vb[variavel],V$7,
  m.vb[mes],$A61
)</f>
        <v>0</v>
      </c>
      <c r="W61" s="123">
        <f ca="1">SUMIFS(
  m.vb[valor],
  m.vb[nucleo],$N$1,
  m.vb[variavel],W$7,
  m.vb[mes],$A61
)</f>
        <v>0</v>
      </c>
      <c r="X61" s="123">
        <f ca="1">SUMIFS(
  m.vb[valor],
  m.vb[nucleo],$N$1,
  m.vb[variavel],X$7,
  m.vb[mes],$A61
)</f>
        <v>0</v>
      </c>
      <c r="Y61" s="124">
        <f ca="1">SUMIFS(
  m.vb[valor],
  m.vb[nucleo],$N$1,
  m.vb[variavel],Y$7,
  m.vb[mes],$A61
)</f>
        <v>0</v>
      </c>
      <c r="Z61" s="122">
        <f>COUNTIFS(
    tb_estq[empresa], Z$6,
    tb_estq[Data da venda / reserva], "&gt;=" &amp; $A61,
    tb_estq[Data da venda / reserva], "&lt;"  &amp; EOMONTH($A61,0) + 1
)</f>
        <v>0</v>
      </c>
      <c r="AA61" s="123">
        <f ca="1">SUMIFS(tb_rec_uni[2025-11-01],
INDIRECT("tb_rec_uni[natureza]"),"pro.soluto",
INDIRECT("tb_rec_uni[empresa]"),AA$6)</f>
        <v>0</v>
      </c>
      <c r="AB61" s="123">
        <f ca="1">SUMIFS(tb_rec_uni[2025-11-01],
INDIRECT("tb_rec_uni[natureza]"),"parcela.fin.total.ik",
INDIRECT("tb_rec_uni[empresa]"),AB$6)</f>
        <v>0</v>
      </c>
      <c r="AC61" s="123">
        <f ca="1">SUMIFS(tb_rec_uni[2025-11-01],
INDIRECT("tb_rec_uni[natureza]"),"taxa.extra",
INDIRECT("tb_rec_uni[empresa]"),AC$6)</f>
        <v>0</v>
      </c>
      <c r="AD61" s="111"/>
      <c r="AE61" s="123">
        <f ca="1">SUMIFS(
  m.vb[valor],
  m.vb[nucleo],$Z$1,
  m.vb[variavel],AE$7,
  m.vb[mes],$A61
)</f>
        <v>0</v>
      </c>
      <c r="AF61" s="123">
        <f ca="1">SUMIFS(
  m.vb[valor],
  m.vb[nucleo],$Z$1,
  m.vb[variavel],AF$7,
  m.vb[mes],$A61
)</f>
        <v>0</v>
      </c>
      <c r="AG61" s="123">
        <f ca="1">SUMIFS(
  m.vb[valor],
  m.vb[nucleo],$Z$1,
  m.vb[variavel],AG$7,
  m.vb[mes],$A61
)</f>
        <v>0</v>
      </c>
      <c r="AH61" s="123">
        <f ca="1">SUMIFS(
  m.vb[valor],
  m.vb[nucleo],$Z$1,
  m.vb[variavel],AH$7,
  m.vb[mes],$A61
)</f>
        <v>0</v>
      </c>
      <c r="AI61" s="124">
        <f ca="1">SUMIFS(
  m.vb[valor],
  m.vb[nucleo],$Z$1,
  m.vb[variavel],AI$7,
  m.vb[mes],$A61
)</f>
        <v>0</v>
      </c>
      <c r="AJ61" s="122">
        <f>COUNTIFS(
    tb_estq[empresa], AJ$6,
    tb_estq[Data da venda / reserva], "&gt;=" &amp; $A61,
    tb_estq[Data da venda / reserva], "&lt;"  &amp; EOMONTH($A61,0) + 1
)</f>
        <v>0</v>
      </c>
      <c r="AK61" s="123">
        <f ca="1">SUMIFS(tb_rec_uni[2025-11-01],
INDIRECT("tb_rec_uni[natureza]"),"pro.soluto",
INDIRECT("tb_rec_uni[empresa]"),AK$6)</f>
        <v>0</v>
      </c>
      <c r="AL61" s="123">
        <f ca="1">SUMIFS(tb_rec_uni[2025-11-01],
INDIRECT("tb_rec_uni[natureza]"),"repasse.cef.obra",
INDIRECT("tb_rec_uni[empresa]"),AL$6)</f>
        <v>0</v>
      </c>
      <c r="AM61" s="126">
        <f ca="1">SUMIFS(tb_rec_uni[2025-11-01],
INDIRECT("tb_rec_uni[natureza]"),"repasse.cef.terreno",
INDIRECT("tb_rec_uni[empresa]"),AM$6)</f>
        <v>0</v>
      </c>
      <c r="AN61" s="126">
        <v>378061.31</v>
      </c>
      <c r="AO61" s="123">
        <f ca="1">SUMIFS(tb_rec_uni[2025-11-01],
INDIRECT("tb_rec_uni[natureza]"),"taxa.extra",
INDIRECT("tb_rec_uni[empresa]"),AO$6)</f>
        <v>0</v>
      </c>
      <c r="AP61" s="111"/>
      <c r="AQ61" s="123">
        <f ca="1">SUMIFS(
  m.vb[valor],
  m.vb[nucleo],$AJ$1,
  m.vb[variavel],AQ$7,
  m.vb[mes],$A61
)</f>
        <v>0</v>
      </c>
      <c r="AR61" s="123">
        <f ca="1">SUMIFS(
  m.vb[valor],
  m.vb[nucleo],$AJ$1,
  m.vb[variavel],AR$7,
  m.vb[mes],$A61
)</f>
        <v>0</v>
      </c>
      <c r="AS61" s="123">
        <f ca="1">SUMIFS(
  m.vb[valor],
  m.vb[nucleo],$AJ$1,
  m.vb[variavel],AS$7,
  m.vb[mes],$A61
)</f>
        <v>0</v>
      </c>
      <c r="AT61" s="123">
        <f ca="1">SUMIFS(
  m.vb[valor],
  m.vb[nucleo],$AJ$1,
  m.vb[variavel],AT$7,
  m.vb[mes],$A61
)</f>
        <v>0</v>
      </c>
      <c r="AU61" s="124">
        <f ca="1">SUMIFS(
  m.vb[valor],
  m.vb[nucleo],$AJ$1,
  m.vb[variavel],AU$7,
  m.vb[mes],$A61
)</f>
        <v>0</v>
      </c>
      <c r="AV61" s="122">
        <f>COUNTIFS(
    tb_estq[empresa], AV$6,
    tb_estq[Data da venda / reserva], "&gt;=" &amp; $A61,
    tb_estq[Data da venda / reserva], "&lt;"  &amp; EOMONTH($A61,0) + 1
)</f>
        <v>0</v>
      </c>
      <c r="AW61" s="123">
        <f ca="1">SUMIFS(tb_rec_uni[2025-11-01],
INDIRECT("tb_rec_uni[natureza]"),"pro.soluto",
INDIRECT("tb_rec_uni[empresa]"),AW$6)</f>
        <v>0</v>
      </c>
      <c r="AX61" s="123">
        <f ca="1">SUMIFS(tb_rec_uni[2025-11-01],
INDIRECT("tb_rec_uni[natureza]"),"repasse.cef.obra",
INDIRECT("tb_rec_uni[empresa]"),AX$6)</f>
        <v>0</v>
      </c>
      <c r="AY61" s="126">
        <f ca="1">SUMIFS(tb_rec_uni[2025-11-01],
INDIRECT("tb_rec_uni[natureza]"),"repasse.cef.terreno",
INDIRECT("tb_rec_uni[empresa]"),AY$6)</f>
        <v>0</v>
      </c>
      <c r="AZ61" s="126">
        <v>0</v>
      </c>
      <c r="BA61" s="123">
        <f ca="1">SUMIFS(tb_rec_uni[2025-11-01],
INDIRECT("tb_rec_uni[natureza]"),"taxa.extra",
INDIRECT("tb_rec_uni[empresa]"),BA$6)</f>
        <v>0</v>
      </c>
      <c r="BB61" s="111"/>
      <c r="BC61" s="123">
        <f ca="1">SUMIFS(
  m.vb[valor],
  m.vb[nucleo],$AV$1,
  m.vb[variavel],BC$7,
  m.vb[mes],$A61
)</f>
        <v>0</v>
      </c>
      <c r="BD61" s="123">
        <f ca="1">SUMIFS(
  m.vb[valor],
  m.vb[nucleo],$AV$1,
  m.vb[variavel],BD$7,
  m.vb[mes],$A61
)</f>
        <v>0</v>
      </c>
      <c r="BE61" s="123">
        <f ca="1">SUMIFS(
  m.vb[valor],
  m.vb[nucleo],$AV$1,
  m.vb[variavel],BE$7,
  m.vb[mes],$A61
)</f>
        <v>0</v>
      </c>
      <c r="BF61" s="123">
        <f ca="1">SUMIFS(
  m.vb[valor],
  m.vb[nucleo],$AV$1,
  m.vb[variavel],BF$7,
  m.vb[mes],$A61
)</f>
        <v>0</v>
      </c>
      <c r="BG61" s="124">
        <f ca="1">SUMIFS(
  m.vb[valor],
  m.vb[nucleo],$AV$1,
  m.vb[variavel],BG$7,
  m.vb[mes],$A61
)</f>
        <v>0</v>
      </c>
      <c r="BH61" s="122">
        <f>COUNTIFS(
    tb_estq[empresa], BH$6,
    tb_estq[Data da venda / reserva], "&gt;=" &amp; $A61,
    tb_estq[Data da venda / reserva], "&lt;"  &amp; EOMONTH($A61,0) + 1
)</f>
        <v>0</v>
      </c>
      <c r="BI61" s="123">
        <f ca="1">SUMIFS(tb_rec_uni[2025-11-01],
INDIRECT("tb_rec_uni[natureza]"),"pro.soluto",
INDIRECT("tb_rec_uni[empresa]"),BI$6)</f>
        <v>0</v>
      </c>
      <c r="BJ61" s="111">
        <f>4*94736</f>
        <v>378944</v>
      </c>
      <c r="BK61" s="123">
        <f ca="1">SUMIFS(tb_rec_uni[2025-11-01],
INDIRECT("tb_rec_uni[natureza]"),"taxa.extra",
INDIRECT("tb_rec_uni[empresa]"),BK$6)</f>
        <v>0</v>
      </c>
      <c r="BL61" s="111"/>
      <c r="BM61" s="123">
        <f ca="1">SUMIFS(
  m.vb[valor],
  m.vb[nucleo],$BH$1,
  m.vb[variavel],BM$7,
  m.vb[mes],$A61
)</f>
        <v>0</v>
      </c>
      <c r="BN61" s="123">
        <f ca="1">SUMIFS(
  m.vb[valor],
  m.vb[nucleo],$BH$1,
  m.vb[variavel],BN$7,
  m.vb[mes],$A61
)</f>
        <v>0</v>
      </c>
      <c r="BO61" s="123">
        <f ca="1">SUMIFS(
  m.vb[valor],
  m.vb[nucleo],$BH$1,
  m.vb[variavel],BO$7,
  m.vb[mes],$A61
)</f>
        <v>0</v>
      </c>
      <c r="BP61" s="123">
        <f ca="1">SUMIFS(
  m.vb[valor],
  m.vb[nucleo],$BH$1,
  m.vb[variavel],BP$7,
  m.vb[mes],$A61
)</f>
        <v>0</v>
      </c>
      <c r="BQ61" s="124">
        <f ca="1">SUMIFS(
  m.vb[valor],
  m.vb[nucleo],$BH$1,
  m.vb[variavel],BQ$7,
  m.vb[mes],$A61
)</f>
        <v>0</v>
      </c>
      <c r="BR61" s="122">
        <f>COUNTIFS(
    tb_estq[empresa], BR$6,
    tb_estq[Data da venda / reserva], "&gt;=" &amp; $A61,
    tb_estq[Data da venda / reserva], "&lt;"  &amp; EOMONTH($A61,0) + 1
)</f>
        <v>0</v>
      </c>
      <c r="BS61" s="123">
        <f ca="1">SUMIFS(tb_rec_uni[2025-11-01],
INDIRECT("tb_rec_uni[natureza]"),"pro.soluto",
INDIRECT("tb_rec_uni[empresa]"),BS$6)</f>
        <v>0</v>
      </c>
      <c r="BT61" s="123">
        <f ca="1">SUMIFS(tb_rec_uni[2025-11-01],
INDIRECT("tb_rec_uni[natureza]"),"parcela.fin.total.ik",
INDIRECT("tb_rec_uni[empresa]"),BT$6)</f>
        <v>0</v>
      </c>
      <c r="BU61" s="123">
        <f ca="1">SUMIFS(tb_rec_uni[2025-11-01],
INDIRECT("tb_rec_uni[natureza]"),"taxa.extra",
INDIRECT("tb_rec_uni[empresa]"),BU$6)</f>
        <v>0</v>
      </c>
      <c r="BV61" s="111"/>
      <c r="BW61" s="123">
        <f ca="1">SUMIFS(
  m.vb[valor],
  m.vb[nucleo],$BR$1,
  m.vb[variavel],BW$7,
  m.vb[mes],$A61
)</f>
        <v>0</v>
      </c>
      <c r="BX61" s="123">
        <f ca="1">SUMIFS(
  m.vb[valor],
  m.vb[nucleo],$BR$1,
  m.vb[variavel],BX$7,
  m.vb[mes],$A61
)</f>
        <v>0</v>
      </c>
      <c r="BY61" s="123">
        <f ca="1">SUMIFS(
  m.vb[valor],
  m.vb[nucleo],$BR$1,
  m.vb[variavel],BY$7,
  m.vb[mes],$A61
)</f>
        <v>0</v>
      </c>
      <c r="BZ61" s="123">
        <f ca="1">SUMIFS(
  m.vb[valor],
  m.vb[nucleo],$BR$1,
  m.vb[variavel],BZ$7,
  m.vb[mes],$A61
)</f>
        <v>0</v>
      </c>
      <c r="CA61" s="124">
        <f ca="1">SUMIFS(
  m.vb[valor],
  m.vb[nucleo],$BR$1,
  m.vb[variavel],CA$7,
  m.vb[mes],$A61
)</f>
        <v>0</v>
      </c>
      <c r="CB61" s="122">
        <f>COUNTIFS(
    tb_estq[empresa], CB$6,
    tb_estq[Data da venda / reserva], "&gt;=" &amp; $A61,
    tb_estq[Data da venda / reserva], "&lt;"  &amp; EOMONTH($A61,0) + 1
)</f>
        <v>0</v>
      </c>
      <c r="CC61" s="123">
        <f ca="1">SUMIFS(tb_rec_uni[2025-11-01],
INDIRECT("tb_rec_uni[natureza]"),"pro.soluto",
INDIRECT("tb_rec_uni[empresa]"),CC$6)</f>
        <v>0</v>
      </c>
      <c r="CD61" s="123">
        <f ca="1">SUMIFS(tb_rec_uni[2025-11-01],
INDIRECT("tb_rec_uni[natureza]"),"repasse.cef.obra",
INDIRECT("tb_rec_uni[empresa]"),CD$6)</f>
        <v>0</v>
      </c>
      <c r="CE61" s="126">
        <f ca="1">SUMIFS(tb_rec_uni[2025-11-01],
INDIRECT("tb_rec_uni[natureza]"),"repasse.cef.terreno",
INDIRECT("tb_rec_uni[empresa]"),CE$6)</f>
        <v>0</v>
      </c>
      <c r="CF61" s="126">
        <v>200573.37</v>
      </c>
      <c r="CG61" s="123">
        <f ca="1">SUMIFS(tb_rec_uni[2025-11-01],
INDIRECT("tb_rec_uni[natureza]"),"taxa.extra",
INDIRECT("tb_rec_uni[empresa]"),CG$6)</f>
        <v>0</v>
      </c>
      <c r="CH61" s="111"/>
      <c r="CI61" s="123">
        <f ca="1">SUMIFS(
  m.vb[valor],
  m.vb[nucleo],$CB$1,
  m.vb[variavel],CI$7,
  m.vb[mes],$A61
)</f>
        <v>0</v>
      </c>
      <c r="CJ61" s="123">
        <f ca="1">SUMIFS(
  m.vb[valor],
  m.vb[nucleo],$CB$1,
  m.vb[variavel],CJ$7,
  m.vb[mes],$A61
)</f>
        <v>0</v>
      </c>
      <c r="CK61" s="123">
        <f ca="1">SUMIFS(
  m.vb[valor],
  m.vb[nucleo],$CB$1,
  m.vb[variavel],CK$7,
  m.vb[mes],$A61
)</f>
        <v>0</v>
      </c>
      <c r="CL61" s="123">
        <f ca="1">SUMIFS(
  m.vb[valor],
  m.vb[nucleo],$CB$1,
  m.vb[variavel],CL$7,
  m.vb[mes],$A61
)</f>
        <v>0</v>
      </c>
      <c r="CM61" s="124">
        <f ca="1">SUMIFS(
  m.vb[valor],
  m.vb[nucleo],$CB$1,
  m.vb[variavel],CM$7,
  m.vb[mes],$A61
)</f>
        <v>0</v>
      </c>
      <c r="CN61" s="122">
        <f>COUNTIFS(
    tb_estq[empresa], CN$6,
    tb_estq[Data da venda / reserva], "&gt;=" &amp; $A61,
    tb_estq[Data da venda / reserva], "&lt;"  &amp; EOMONTH($A61,0) + 1
)</f>
        <v>0</v>
      </c>
      <c r="CO61" s="123">
        <f ca="1">SUMIFS(tb_rec_uni[2025-11-01],
INDIRECT("tb_rec_uni[natureza]"),"pro.soluto",
INDIRECT("tb_rec_uni[empresa]"),CO$6)</f>
        <v>0</v>
      </c>
      <c r="CP61" s="123">
        <f ca="1">SUMIFS(tb_rec_uni[2025-11-01],
INDIRECT("tb_rec_uni[natureza]"),"repasse.cef.obra",
INDIRECT("tb_rec_uni[empresa]"),CP$6)</f>
        <v>0</v>
      </c>
      <c r="CQ61" s="126">
        <f ca="1">SUMIFS(tb_rec_uni[2025-11-01],
INDIRECT("tb_rec_uni[natureza]"),"repasse.cef.terreno",
INDIRECT("tb_rec_uni[empresa]"),CQ$6)</f>
        <v>0</v>
      </c>
      <c r="CR61" s="126">
        <v>0</v>
      </c>
      <c r="CS61" s="123">
        <f ca="1">SUMIFS(tb_rec_uni[2025-11-01],
INDIRECT("tb_rec_uni[natureza]"),"taxa.extra",
INDIRECT("tb_rec_uni[empresa]"),CS$6)</f>
        <v>0</v>
      </c>
      <c r="CT61" s="111"/>
      <c r="CU61" s="123">
        <f ca="1">SUMIFS(
  m.vb[valor],
  m.vb[nucleo],$CN$1,
  m.vb[variavel],CU$7,
  m.vb[mes],$A61
)</f>
        <v>0</v>
      </c>
      <c r="CV61" s="123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3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3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5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21">
        <v>45992</v>
      </c>
      <c r="B62" s="122">
        <f>COUNTIFS(
    tb_estq[empresa], B$6,
    tb_estq[Data da venda / reserva], "&gt;=" &amp; $A62,
    tb_estq[Data da venda / reserva], "&lt;"  &amp; EOMONTH($A62,0) + 1
)</f>
        <v>0</v>
      </c>
      <c r="C62" s="123">
        <f ca="1">SUMIFS(tb_rec_uni[2025-12-01],
INDIRECT("tb_rec_uni[natureza]"),"pro.soluto",
INDIRECT("tb_rec_uni[empresa]"),C$6)</f>
        <v>0</v>
      </c>
      <c r="D62" s="123">
        <f ca="1">SUMIFS(tb_rec_uni[2025-12-01],
INDIRECT("tb_rec_uni[natureza]"),"repasse.cef.obra",
INDIRECT("tb_rec_uni[empresa]"),D$6)</f>
        <v>0</v>
      </c>
      <c r="E62" s="123">
        <f ca="1">SUMIFS(tb_rec_uni[2025-12-01],
INDIRECT("tb_rec_uni[natureza]"),"repasse.cef.terreno",
INDIRECT("tb_rec_uni[empresa]"),E$6)</f>
        <v>0</v>
      </c>
      <c r="F62" s="126">
        <v>471701.2</v>
      </c>
      <c r="G62" s="123">
        <f ca="1">SUMIFS(tb_rec_uni[2025-12-01],
INDIRECT("tb_rec_uni[natureza]"),"taxa.extra",
INDIRECT("tb_rec_uni[empresa]"),G$6)</f>
        <v>0</v>
      </c>
      <c r="H62" s="111"/>
      <c r="I62" s="123">
        <f ca="1">SUMIFS(
  m.vb[valor],
  m.vb[nucleo],$B$1,
  m.vb[variavel],I$7,
  m.vb[mes],$A62
)</f>
        <v>0</v>
      </c>
      <c r="J62" s="123">
        <f ca="1">SUMIFS(
  m.vb[valor],
  m.vb[nucleo],$B$1,
  m.vb[variavel],J$7,
  m.vb[mes],$A62
)</f>
        <v>0</v>
      </c>
      <c r="K62" s="123">
        <f ca="1">SUMIFS(
  m.vb[valor],
  m.vb[nucleo],$B$1,
  m.vb[variavel],K$7,
  m.vb[mes],$A62
)</f>
        <v>0</v>
      </c>
      <c r="L62" s="123">
        <f ca="1">SUMIFS(
  m.vb[valor],
  m.vb[nucleo],$B$1,
  m.vb[variavel],L$7,
  m.vb[mes],$A62
)</f>
        <v>0</v>
      </c>
      <c r="M62" s="124">
        <f ca="1">SUMIFS(
  m.vb[valor],
  m.vb[nucleo],$B$1,
  m.vb[variavel],M$7,
  m.vb[mes],$A62
)</f>
        <v>0</v>
      </c>
      <c r="N62" s="122">
        <f>COUNTIFS(
    tb_estq[empresa], N$6,
    tb_estq[Data da venda / reserva], "&gt;=" &amp; $A62,
    tb_estq[Data da venda / reserva], "&lt;"  &amp; EOMONTH($A62,0) + 1
)</f>
        <v>0</v>
      </c>
      <c r="O62" s="123">
        <f ca="1">SUMIFS(tb_rec_uni[2025-12-01],
INDIRECT("tb_rec_uni[natureza]"),"pro.soluto",
INDIRECT("tb_rec_uni[empresa]"),O$6)</f>
        <v>0</v>
      </c>
      <c r="P62" s="123">
        <f ca="1">SUMIFS(tb_rec_uni[2025-12-01],
INDIRECT("tb_rec_uni[natureza]"),"repasse.cef.obra",
INDIRECT("tb_rec_uni[empresa]"),P$6)</f>
        <v>0</v>
      </c>
      <c r="Q62" s="123">
        <f ca="1">SUMIFS(tb_rec_uni[2025-12-01],
INDIRECT("tb_rec_uni[natureza]"),"repasse.cef.terreno",
INDIRECT("tb_rec_uni[empresa]"),Q$6)</f>
        <v>0</v>
      </c>
      <c r="R62" s="126">
        <v>0</v>
      </c>
      <c r="S62" s="123">
        <f ca="1">SUMIFS(tb_rec_uni[2025-12-01],
INDIRECT("tb_rec_uni[natureza]"),"taxa.extra",
INDIRECT("tb_rec_uni[empresa]"),S$6)</f>
        <v>0</v>
      </c>
      <c r="T62" s="111"/>
      <c r="U62" s="123">
        <f ca="1">SUMIFS(
  m.vb[valor],
  m.vb[nucleo],$N$1,
  m.vb[variavel],U$7,
  m.vb[mes],$A62
)</f>
        <v>0</v>
      </c>
      <c r="V62" s="123">
        <f ca="1">SUMIFS(
  m.vb[valor],
  m.vb[nucleo],$N$1,
  m.vb[variavel],V$7,
  m.vb[mes],$A62
)</f>
        <v>0</v>
      </c>
      <c r="W62" s="123">
        <f ca="1">SUMIFS(
  m.vb[valor],
  m.vb[nucleo],$N$1,
  m.vb[variavel],W$7,
  m.vb[mes],$A62
)</f>
        <v>0</v>
      </c>
      <c r="X62" s="123">
        <f ca="1">SUMIFS(
  m.vb[valor],
  m.vb[nucleo],$N$1,
  m.vb[variavel],X$7,
  m.vb[mes],$A62
)</f>
        <v>0</v>
      </c>
      <c r="Y62" s="124">
        <f ca="1">SUMIFS(
  m.vb[valor],
  m.vb[nucleo],$N$1,
  m.vb[variavel],Y$7,
  m.vb[mes],$A62
)</f>
        <v>0</v>
      </c>
      <c r="Z62" s="122">
        <f>COUNTIFS(
    tb_estq[empresa], Z$6,
    tb_estq[Data da venda / reserva], "&gt;=" &amp; $A62,
    tb_estq[Data da venda / reserva], "&lt;"  &amp; EOMONTH($A62,0) + 1
)</f>
        <v>0</v>
      </c>
      <c r="AA62" s="123">
        <f ca="1">SUMIFS(tb_rec_uni[2025-12-01],
INDIRECT("tb_rec_uni[natureza]"),"pro.soluto",
INDIRECT("tb_rec_uni[empresa]"),AA$6)</f>
        <v>0</v>
      </c>
      <c r="AB62" s="123">
        <f ca="1">SUMIFS(tb_rec_uni[2025-12-01],
INDIRECT("tb_rec_uni[natureza]"),"parcela.fin.total.ik",
INDIRECT("tb_rec_uni[empresa]"),AB$6)</f>
        <v>0</v>
      </c>
      <c r="AC62" s="123">
        <f ca="1">SUMIFS(tb_rec_uni[2025-12-01],
INDIRECT("tb_rec_uni[natureza]"),"taxa.extra",
INDIRECT("tb_rec_uni[empresa]"),AC$6)</f>
        <v>0</v>
      </c>
      <c r="AD62" s="111"/>
      <c r="AE62" s="123">
        <f ca="1">SUMIFS(
  m.vb[valor],
  m.vb[nucleo],$Z$1,
  m.vb[variavel],AE$7,
  m.vb[mes],$A62
)</f>
        <v>0</v>
      </c>
      <c r="AF62" s="123">
        <f ca="1">SUMIFS(
  m.vb[valor],
  m.vb[nucleo],$Z$1,
  m.vb[variavel],AF$7,
  m.vb[mes],$A62
)</f>
        <v>0</v>
      </c>
      <c r="AG62" s="123">
        <f ca="1">SUMIFS(
  m.vb[valor],
  m.vb[nucleo],$Z$1,
  m.vb[variavel],AG$7,
  m.vb[mes],$A62
)</f>
        <v>0</v>
      </c>
      <c r="AH62" s="123">
        <f ca="1">SUMIFS(
  m.vb[valor],
  m.vb[nucleo],$Z$1,
  m.vb[variavel],AH$7,
  m.vb[mes],$A62
)</f>
        <v>0</v>
      </c>
      <c r="AI62" s="124">
        <f ca="1">SUMIFS(
  m.vb[valor],
  m.vb[nucleo],$Z$1,
  m.vb[variavel],AI$7,
  m.vb[mes],$A62
)</f>
        <v>0</v>
      </c>
      <c r="AJ62" s="122">
        <f>COUNTIFS(
    tb_estq[empresa], AJ$6,
    tb_estq[Data da venda / reserva], "&gt;=" &amp; $A62,
    tb_estq[Data da venda / reserva], "&lt;"  &amp; EOMONTH($A62,0) + 1
)</f>
        <v>0</v>
      </c>
      <c r="AK62" s="123">
        <f ca="1">SUMIFS(tb_rec_uni[2025-12-01],
INDIRECT("tb_rec_uni[natureza]"),"pro.soluto",
INDIRECT("tb_rec_uni[empresa]"),AK$6)</f>
        <v>0</v>
      </c>
      <c r="AL62" s="123">
        <f ca="1">SUMIFS(tb_rec_uni[2025-12-01],
INDIRECT("tb_rec_uni[natureza]"),"repasse.cef.obra",
INDIRECT("tb_rec_uni[empresa]"),AL$6)</f>
        <v>0</v>
      </c>
      <c r="AM62" s="126">
        <f ca="1">SUMIFS(tb_rec_uni[2025-12-01],
INDIRECT("tb_rec_uni[natureza]"),"repasse.cef.terreno",
INDIRECT("tb_rec_uni[empresa]"),AM$6)</f>
        <v>0</v>
      </c>
      <c r="AN62" s="126">
        <v>0</v>
      </c>
      <c r="AO62" s="123">
        <f ca="1">SUMIFS(tb_rec_uni[2025-12-01],
INDIRECT("tb_rec_uni[natureza]"),"taxa.extra",
INDIRECT("tb_rec_uni[empresa]"),AO$6)</f>
        <v>0</v>
      </c>
      <c r="AP62" s="111"/>
      <c r="AQ62" s="123">
        <f ca="1">SUMIFS(
  m.vb[valor],
  m.vb[nucleo],$AJ$1,
  m.vb[variavel],AQ$7,
  m.vb[mes],$A62
)</f>
        <v>0</v>
      </c>
      <c r="AR62" s="123">
        <f ca="1">SUMIFS(
  m.vb[valor],
  m.vb[nucleo],$AJ$1,
  m.vb[variavel],AR$7,
  m.vb[mes],$A62
)</f>
        <v>0</v>
      </c>
      <c r="AS62" s="123">
        <f ca="1">SUMIFS(
  m.vb[valor],
  m.vb[nucleo],$AJ$1,
  m.vb[variavel],AS$7,
  m.vb[mes],$A62
)</f>
        <v>0</v>
      </c>
      <c r="AT62" s="123">
        <f ca="1">SUMIFS(
  m.vb[valor],
  m.vb[nucleo],$AJ$1,
  m.vb[variavel],AT$7,
  m.vb[mes],$A62
)</f>
        <v>0</v>
      </c>
      <c r="AU62" s="124">
        <f ca="1">SUMIFS(
  m.vb[valor],
  m.vb[nucleo],$AJ$1,
  m.vb[variavel],AU$7,
  m.vb[mes],$A62
)</f>
        <v>0</v>
      </c>
      <c r="AV62" s="122">
        <f>COUNTIFS(
    tb_estq[empresa], AV$6,
    tb_estq[Data da venda / reserva], "&gt;=" &amp; $A62,
    tb_estq[Data da venda / reserva], "&lt;"  &amp; EOMONTH($A62,0) + 1
)</f>
        <v>0</v>
      </c>
      <c r="AW62" s="123">
        <f ca="1">SUMIFS(tb_rec_uni[2025-12-01],
INDIRECT("tb_rec_uni[natureza]"),"pro.soluto",
INDIRECT("tb_rec_uni[empresa]"),AW$6)</f>
        <v>0</v>
      </c>
      <c r="AX62" s="123">
        <f ca="1">SUMIFS(tb_rec_uni[2025-12-01],
INDIRECT("tb_rec_uni[natureza]"),"repasse.cef.obra",
INDIRECT("tb_rec_uni[empresa]"),AX$6)</f>
        <v>0</v>
      </c>
      <c r="AY62" s="126">
        <f ca="1">SUMIFS(tb_rec_uni[2025-12-01],
INDIRECT("tb_rec_uni[natureza]"),"repasse.cef.terreno",
INDIRECT("tb_rec_uni[empresa]"),AY$6)</f>
        <v>0</v>
      </c>
      <c r="AZ62" s="126">
        <v>0</v>
      </c>
      <c r="BA62" s="123">
        <f ca="1">SUMIFS(tb_rec_uni[2025-12-01],
INDIRECT("tb_rec_uni[natureza]"),"taxa.extra",
INDIRECT("tb_rec_uni[empresa]"),BA$6)</f>
        <v>0</v>
      </c>
      <c r="BB62" s="111"/>
      <c r="BC62" s="123">
        <f ca="1">SUMIFS(
  m.vb[valor],
  m.vb[nucleo],$AV$1,
  m.vb[variavel],BC$7,
  m.vb[mes],$A62
)</f>
        <v>0</v>
      </c>
      <c r="BD62" s="123">
        <f ca="1">SUMIFS(
  m.vb[valor],
  m.vb[nucleo],$AV$1,
  m.vb[variavel],BD$7,
  m.vb[mes],$A62
)</f>
        <v>0</v>
      </c>
      <c r="BE62" s="123">
        <f ca="1">SUMIFS(
  m.vb[valor],
  m.vb[nucleo],$AV$1,
  m.vb[variavel],BE$7,
  m.vb[mes],$A62
)</f>
        <v>0</v>
      </c>
      <c r="BF62" s="123">
        <f ca="1">SUMIFS(
  m.vb[valor],
  m.vb[nucleo],$AV$1,
  m.vb[variavel],BF$7,
  m.vb[mes],$A62
)</f>
        <v>0</v>
      </c>
      <c r="BG62" s="124">
        <f ca="1">SUMIFS(
  m.vb[valor],
  m.vb[nucleo],$AV$1,
  m.vb[variavel],BG$7,
  m.vb[mes],$A62
)</f>
        <v>0</v>
      </c>
      <c r="BH62" s="122">
        <f>COUNTIFS(
    tb_estq[empresa], BH$6,
    tb_estq[Data da venda / reserva], "&gt;=" &amp; $A62,
    tb_estq[Data da venda / reserva], "&lt;"  &amp; EOMONTH($A62,0) + 1
)</f>
        <v>0</v>
      </c>
      <c r="BI62" s="123">
        <f ca="1">SUMIFS(tb_rec_uni[2025-12-01],
INDIRECT("tb_rec_uni[natureza]"),"pro.soluto",
INDIRECT("tb_rec_uni[empresa]"),BI$6)</f>
        <v>0</v>
      </c>
      <c r="BJ62" s="111">
        <f>3.43*94736</f>
        <v>324944.48000000004</v>
      </c>
      <c r="BK62" s="123">
        <f ca="1">SUMIFS(tb_rec_uni[2025-12-01],
INDIRECT("tb_rec_uni[natureza]"),"taxa.extra",
INDIRECT("tb_rec_uni[empresa]"),BK$6)</f>
        <v>0</v>
      </c>
      <c r="BL62" s="111"/>
      <c r="BM62" s="123">
        <f ca="1">SUMIFS(
  m.vb[valor],
  m.vb[nucleo],$BH$1,
  m.vb[variavel],BM$7,
  m.vb[mes],$A62
)</f>
        <v>0</v>
      </c>
      <c r="BN62" s="123">
        <f ca="1">SUMIFS(
  m.vb[valor],
  m.vb[nucleo],$BH$1,
  m.vb[variavel],BN$7,
  m.vb[mes],$A62
)</f>
        <v>0</v>
      </c>
      <c r="BO62" s="123">
        <f ca="1">SUMIFS(
  m.vb[valor],
  m.vb[nucleo],$BH$1,
  m.vb[variavel],BO$7,
  m.vb[mes],$A62
)</f>
        <v>0</v>
      </c>
      <c r="BP62" s="123">
        <f ca="1">SUMIFS(
  m.vb[valor],
  m.vb[nucleo],$BH$1,
  m.vb[variavel],BP$7,
  m.vb[mes],$A62
)</f>
        <v>0</v>
      </c>
      <c r="BQ62" s="124">
        <f ca="1">SUMIFS(
  m.vb[valor],
  m.vb[nucleo],$BH$1,
  m.vb[variavel],BQ$7,
  m.vb[mes],$A62
)</f>
        <v>0</v>
      </c>
      <c r="BR62" s="122">
        <f>COUNTIFS(
    tb_estq[empresa], BR$6,
    tb_estq[Data da venda / reserva], "&gt;=" &amp; $A62,
    tb_estq[Data da venda / reserva], "&lt;"  &amp; EOMONTH($A62,0) + 1
)</f>
        <v>0</v>
      </c>
      <c r="BS62" s="123">
        <f ca="1">SUMIFS(tb_rec_uni[2025-12-01],
INDIRECT("tb_rec_uni[natureza]"),"pro.soluto",
INDIRECT("tb_rec_uni[empresa]"),BS$6)</f>
        <v>0</v>
      </c>
      <c r="BT62" s="123">
        <f ca="1">SUMIFS(tb_rec_uni[2025-12-01],
INDIRECT("tb_rec_uni[natureza]"),"parcela.fin.total.ik",
INDIRECT("tb_rec_uni[empresa]"),BT$6)</f>
        <v>0</v>
      </c>
      <c r="BU62" s="123">
        <f ca="1">SUMIFS(tb_rec_uni[2025-12-01],
INDIRECT("tb_rec_uni[natureza]"),"taxa.extra",
INDIRECT("tb_rec_uni[empresa]"),BU$6)</f>
        <v>0</v>
      </c>
      <c r="BV62" s="111"/>
      <c r="BW62" s="123">
        <f ca="1">SUMIFS(
  m.vb[valor],
  m.vb[nucleo],$BR$1,
  m.vb[variavel],BW$7,
  m.vb[mes],$A62
)</f>
        <v>0</v>
      </c>
      <c r="BX62" s="123">
        <f ca="1">SUMIFS(
  m.vb[valor],
  m.vb[nucleo],$BR$1,
  m.vb[variavel],BX$7,
  m.vb[mes],$A62
)</f>
        <v>0</v>
      </c>
      <c r="BY62" s="123">
        <f ca="1">SUMIFS(
  m.vb[valor],
  m.vb[nucleo],$BR$1,
  m.vb[variavel],BY$7,
  m.vb[mes],$A62
)</f>
        <v>0</v>
      </c>
      <c r="BZ62" s="123">
        <f ca="1">SUMIFS(
  m.vb[valor],
  m.vb[nucleo],$BR$1,
  m.vb[variavel],BZ$7,
  m.vb[mes],$A62
)</f>
        <v>0</v>
      </c>
      <c r="CA62" s="124">
        <f ca="1">SUMIFS(
  m.vb[valor],
  m.vb[nucleo],$BR$1,
  m.vb[variavel],CA$7,
  m.vb[mes],$A62
)</f>
        <v>0</v>
      </c>
      <c r="CB62" s="122">
        <f>COUNTIFS(
    tb_estq[empresa], CB$6,
    tb_estq[Data da venda / reserva], "&gt;=" &amp; $A62,
    tb_estq[Data da venda / reserva], "&lt;"  &amp; EOMONTH($A62,0) + 1
)</f>
        <v>0</v>
      </c>
      <c r="CC62" s="123">
        <f ca="1">SUMIFS(tb_rec_uni[2025-12-01],
INDIRECT("tb_rec_uni[natureza]"),"pro.soluto",
INDIRECT("tb_rec_uni[empresa]"),CC$6)</f>
        <v>0</v>
      </c>
      <c r="CD62" s="123">
        <f ca="1">SUMIFS(tb_rec_uni[2025-12-01],
INDIRECT("tb_rec_uni[natureza]"),"repasse.cef.obra",
INDIRECT("tb_rec_uni[empresa]"),CD$6)</f>
        <v>0</v>
      </c>
      <c r="CE62" s="126">
        <f ca="1">SUMIFS(tb_rec_uni[2025-12-01],
INDIRECT("tb_rec_uni[natureza]"),"repasse.cef.terreno",
INDIRECT("tb_rec_uni[empresa]"),CE$6)</f>
        <v>0</v>
      </c>
      <c r="CF62" s="126">
        <v>0</v>
      </c>
      <c r="CG62" s="123">
        <f ca="1">SUMIFS(tb_rec_uni[2025-12-01],
INDIRECT("tb_rec_uni[natureza]"),"taxa.extra",
INDIRECT("tb_rec_uni[empresa]"),CG$6)</f>
        <v>0</v>
      </c>
      <c r="CH62" s="111"/>
      <c r="CI62" s="123">
        <f ca="1">SUMIFS(
  m.vb[valor],
  m.vb[nucleo],$CB$1,
  m.vb[variavel],CI$7,
  m.vb[mes],$A62
)</f>
        <v>0</v>
      </c>
      <c r="CJ62" s="123">
        <f ca="1">SUMIFS(
  m.vb[valor],
  m.vb[nucleo],$CB$1,
  m.vb[variavel],CJ$7,
  m.vb[mes],$A62
)</f>
        <v>0</v>
      </c>
      <c r="CK62" s="123">
        <f ca="1">SUMIFS(
  m.vb[valor],
  m.vb[nucleo],$CB$1,
  m.vb[variavel],CK$7,
  m.vb[mes],$A62
)</f>
        <v>0</v>
      </c>
      <c r="CL62" s="123">
        <f ca="1">SUMIFS(
  m.vb[valor],
  m.vb[nucleo],$CB$1,
  m.vb[variavel],CL$7,
  m.vb[mes],$A62
)</f>
        <v>0</v>
      </c>
      <c r="CM62" s="124">
        <f ca="1">SUMIFS(
  m.vb[valor],
  m.vb[nucleo],$CB$1,
  m.vb[variavel],CM$7,
  m.vb[mes],$A62
)</f>
        <v>0</v>
      </c>
      <c r="CN62" s="122">
        <f>COUNTIFS(
    tb_estq[empresa], CN$6,
    tb_estq[Data da venda / reserva], "&gt;=" &amp; $A62,
    tb_estq[Data da venda / reserva], "&lt;"  &amp; EOMONTH($A62,0) + 1
)</f>
        <v>0</v>
      </c>
      <c r="CO62" s="123">
        <f ca="1">SUMIFS(tb_rec_uni[2025-12-01],
INDIRECT("tb_rec_uni[natureza]"),"pro.soluto",
INDIRECT("tb_rec_uni[empresa]"),CO$6)</f>
        <v>0</v>
      </c>
      <c r="CP62" s="123">
        <f ca="1">SUMIFS(tb_rec_uni[2025-12-01],
INDIRECT("tb_rec_uni[natureza]"),"repasse.cef.obra",
INDIRECT("tb_rec_uni[empresa]"),CP$6)</f>
        <v>0</v>
      </c>
      <c r="CQ62" s="126">
        <f ca="1">SUMIFS(tb_rec_uni[2025-12-01],
INDIRECT("tb_rec_uni[natureza]"),"repasse.cef.terreno",
INDIRECT("tb_rec_uni[empresa]"),CQ$6)</f>
        <v>0</v>
      </c>
      <c r="CR62" s="126">
        <v>0</v>
      </c>
      <c r="CS62" s="123">
        <f ca="1">SUMIFS(tb_rec_uni[2025-12-01],
INDIRECT("tb_rec_uni[natureza]"),"taxa.extra",
INDIRECT("tb_rec_uni[empresa]"),CS$6)</f>
        <v>0</v>
      </c>
      <c r="CT62" s="111"/>
      <c r="CU62" s="123">
        <f ca="1">SUMIFS(
  m.vb[valor],
  m.vb[nucleo],$CN$1,
  m.vb[variavel],CU$7,
  m.vb[mes],$A62
)</f>
        <v>0</v>
      </c>
      <c r="CV62" s="123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3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3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5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21">
        <v>46023</v>
      </c>
      <c r="B63" s="122">
        <f>COUNTIFS(
    tb_estq[empresa], B$6,
    tb_estq[Data da venda / reserva], "&gt;=" &amp; $A63,
    tb_estq[Data da venda / reserva], "&lt;"  &amp; EOMONTH($A63,0) + 1
)</f>
        <v>0</v>
      </c>
      <c r="C63" s="123">
        <f ca="1">SUMIFS(tb_rec_uni[2026-01-01],
INDIRECT("tb_rec_uni[natureza]"),"pro.soluto",
INDIRECT("tb_rec_uni[empresa]"),C$6)</f>
        <v>0</v>
      </c>
      <c r="D63" s="123">
        <f ca="1">SUMIFS(tb_rec_uni[2026-01-01],
INDIRECT("tb_rec_uni[natureza]"),"repasse.cef.obra",
INDIRECT("tb_rec_uni[empresa]"),D$6)</f>
        <v>0</v>
      </c>
      <c r="E63" s="123">
        <f ca="1">SUMIFS(tb_rec_uni[2026-01-01],
INDIRECT("tb_rec_uni[natureza]"),"repasse.cef.terreno",
INDIRECT("tb_rec_uni[empresa]"),E$6)</f>
        <v>0</v>
      </c>
      <c r="F63" s="126">
        <v>0</v>
      </c>
      <c r="G63" s="123">
        <f ca="1">SUMIFS(tb_rec_uni[2026-01-01],
INDIRECT("tb_rec_uni[natureza]"),"taxa.extra",
INDIRECT("tb_rec_uni[empresa]"),G$6)</f>
        <v>0</v>
      </c>
      <c r="H63" s="111"/>
      <c r="I63" s="123">
        <f ca="1">SUMIFS(
  m.vb[valor],
  m.vb[nucleo],$B$1,
  m.vb[variavel],I$7,
  m.vb[mes],$A63
)</f>
        <v>0</v>
      </c>
      <c r="J63" s="123">
        <f ca="1">SUMIFS(
  m.vb[valor],
  m.vb[nucleo],$B$1,
  m.vb[variavel],J$7,
  m.vb[mes],$A63
)</f>
        <v>0</v>
      </c>
      <c r="K63" s="123">
        <f ca="1">SUMIFS(
  m.vb[valor],
  m.vb[nucleo],$B$1,
  m.vb[variavel],K$7,
  m.vb[mes],$A63
)</f>
        <v>0</v>
      </c>
      <c r="L63" s="123">
        <f ca="1">SUMIFS(
  m.vb[valor],
  m.vb[nucleo],$B$1,
  m.vb[variavel],L$7,
  m.vb[mes],$A63
)</f>
        <v>0</v>
      </c>
      <c r="M63" s="124">
        <f ca="1">SUMIFS(
  m.vb[valor],
  m.vb[nucleo],$B$1,
  m.vb[variavel],M$7,
  m.vb[mes],$A63
)</f>
        <v>0</v>
      </c>
      <c r="N63" s="122">
        <f>COUNTIFS(
    tb_estq[empresa], N$6,
    tb_estq[Data da venda / reserva], "&gt;=" &amp; $A63,
    tb_estq[Data da venda / reserva], "&lt;"  &amp; EOMONTH($A63,0) + 1
)</f>
        <v>0</v>
      </c>
      <c r="O63" s="123">
        <f ca="1">SUMIFS(tb_rec_uni[2026-01-01],
INDIRECT("tb_rec_uni[natureza]"),"pro.soluto",
INDIRECT("tb_rec_uni[empresa]"),O$6)</f>
        <v>0</v>
      </c>
      <c r="P63" s="123">
        <f ca="1">SUMIFS(tb_rec_uni[2026-01-01],
INDIRECT("tb_rec_uni[natureza]"),"repasse.cef.obra",
INDIRECT("tb_rec_uni[empresa]"),P$6)</f>
        <v>0</v>
      </c>
      <c r="Q63" s="123">
        <f ca="1">SUMIFS(tb_rec_uni[2026-01-01],
INDIRECT("tb_rec_uni[natureza]"),"repasse.cef.terreno",
INDIRECT("tb_rec_uni[empresa]"),Q$6)</f>
        <v>0</v>
      </c>
      <c r="R63" s="126">
        <v>0</v>
      </c>
      <c r="S63" s="123">
        <f ca="1">SUMIFS(tb_rec_uni[2026-01-01],
INDIRECT("tb_rec_uni[natureza]"),"taxa.extra",
INDIRECT("tb_rec_uni[empresa]"),S$6)</f>
        <v>0</v>
      </c>
      <c r="T63" s="111"/>
      <c r="U63" s="123">
        <f ca="1">SUMIFS(
  m.vb[valor],
  m.vb[nucleo],$N$1,
  m.vb[variavel],U$7,
  m.vb[mes],$A63
)</f>
        <v>0</v>
      </c>
      <c r="V63" s="123">
        <f ca="1">SUMIFS(
  m.vb[valor],
  m.vb[nucleo],$N$1,
  m.vb[variavel],V$7,
  m.vb[mes],$A63
)</f>
        <v>0</v>
      </c>
      <c r="W63" s="123">
        <f ca="1">SUMIFS(
  m.vb[valor],
  m.vb[nucleo],$N$1,
  m.vb[variavel],W$7,
  m.vb[mes],$A63
)</f>
        <v>0</v>
      </c>
      <c r="X63" s="123">
        <f ca="1">SUMIFS(
  m.vb[valor],
  m.vb[nucleo],$N$1,
  m.vb[variavel],X$7,
  m.vb[mes],$A63
)</f>
        <v>0</v>
      </c>
      <c r="Y63" s="124">
        <f ca="1">SUMIFS(
  m.vb[valor],
  m.vb[nucleo],$N$1,
  m.vb[variavel],Y$7,
  m.vb[mes],$A63
)</f>
        <v>0</v>
      </c>
      <c r="Z63" s="122">
        <f>COUNTIFS(
    tb_estq[empresa], Z$6,
    tb_estq[Data da venda / reserva], "&gt;=" &amp; $A63,
    tb_estq[Data da venda / reserva], "&lt;"  &amp; EOMONTH($A63,0) + 1
)</f>
        <v>0</v>
      </c>
      <c r="AA63" s="123">
        <f ca="1">SUMIFS(tb_rec_uni[2026-01-01],
INDIRECT("tb_rec_uni[natureza]"),"pro.soluto",
INDIRECT("tb_rec_uni[empresa]"),AA$6)</f>
        <v>0</v>
      </c>
      <c r="AB63" s="123">
        <f ca="1">SUMIFS(tb_rec_uni[2026-01-01],
INDIRECT("tb_rec_uni[natureza]"),"parcela.fin.total.ik",
INDIRECT("tb_rec_uni[empresa]"),AB$6)</f>
        <v>0</v>
      </c>
      <c r="AC63" s="123">
        <f ca="1">SUMIFS(tb_rec_uni[2026-01-01],
INDIRECT("tb_rec_uni[natureza]"),"taxa.extra",
INDIRECT("tb_rec_uni[empresa]"),AC$6)</f>
        <v>0</v>
      </c>
      <c r="AD63" s="111"/>
      <c r="AE63" s="123">
        <f ca="1">SUMIFS(
  m.vb[valor],
  m.vb[nucleo],$Z$1,
  m.vb[variavel],AE$7,
  m.vb[mes],$A63
)</f>
        <v>0</v>
      </c>
      <c r="AF63" s="123">
        <f ca="1">SUMIFS(
  m.vb[valor],
  m.vb[nucleo],$Z$1,
  m.vb[variavel],AF$7,
  m.vb[mes],$A63
)</f>
        <v>0</v>
      </c>
      <c r="AG63" s="123">
        <f ca="1">SUMIFS(
  m.vb[valor],
  m.vb[nucleo],$Z$1,
  m.vb[variavel],AG$7,
  m.vb[mes],$A63
)</f>
        <v>0</v>
      </c>
      <c r="AH63" s="123">
        <f ca="1">SUMIFS(
  m.vb[valor],
  m.vb[nucleo],$Z$1,
  m.vb[variavel],AH$7,
  m.vb[mes],$A63
)</f>
        <v>0</v>
      </c>
      <c r="AI63" s="124">
        <f ca="1">SUMIFS(
  m.vb[valor],
  m.vb[nucleo],$Z$1,
  m.vb[variavel],AI$7,
  m.vb[mes],$A63
)</f>
        <v>0</v>
      </c>
      <c r="AJ63" s="122">
        <f>COUNTIFS(
    tb_estq[empresa], AJ$6,
    tb_estq[Data da venda / reserva], "&gt;=" &amp; $A63,
    tb_estq[Data da venda / reserva], "&lt;"  &amp; EOMONTH($A63,0) + 1
)</f>
        <v>0</v>
      </c>
      <c r="AK63" s="123">
        <f ca="1">SUMIFS(tb_rec_uni[2026-01-01],
INDIRECT("tb_rec_uni[natureza]"),"pro.soluto",
INDIRECT("tb_rec_uni[empresa]"),AK$6)</f>
        <v>0</v>
      </c>
      <c r="AL63" s="123">
        <f ca="1">SUMIFS(tb_rec_uni[2026-01-01],
INDIRECT("tb_rec_uni[natureza]"),"repasse.cef.obra",
INDIRECT("tb_rec_uni[empresa]"),AL$6)</f>
        <v>0</v>
      </c>
      <c r="AM63" s="126">
        <f ca="1">SUMIFS(tb_rec_uni[2026-01-01],
INDIRECT("tb_rec_uni[natureza]"),"repasse.cef.terreno",
INDIRECT("tb_rec_uni[empresa]"),AM$6)</f>
        <v>0</v>
      </c>
      <c r="AN63" s="126">
        <v>313227.59000000003</v>
      </c>
      <c r="AO63" s="123">
        <f ca="1">SUMIFS(tb_rec_uni[2026-01-01],
INDIRECT("tb_rec_uni[natureza]"),"taxa.extra",
INDIRECT("tb_rec_uni[empresa]"),AO$6)</f>
        <v>0</v>
      </c>
      <c r="AP63" s="111"/>
      <c r="AQ63" s="123">
        <f ca="1">SUMIFS(
  m.vb[valor],
  m.vb[nucleo],$AJ$1,
  m.vb[variavel],AQ$7,
  m.vb[mes],$A63
)</f>
        <v>0</v>
      </c>
      <c r="AR63" s="123">
        <f ca="1">SUMIFS(
  m.vb[valor],
  m.vb[nucleo],$AJ$1,
  m.vb[variavel],AR$7,
  m.vb[mes],$A63
)</f>
        <v>0</v>
      </c>
      <c r="AS63" s="123">
        <f ca="1">SUMIFS(
  m.vb[valor],
  m.vb[nucleo],$AJ$1,
  m.vb[variavel],AS$7,
  m.vb[mes],$A63
)</f>
        <v>0</v>
      </c>
      <c r="AT63" s="123">
        <f ca="1">SUMIFS(
  m.vb[valor],
  m.vb[nucleo],$AJ$1,
  m.vb[variavel],AT$7,
  m.vb[mes],$A63
)</f>
        <v>0</v>
      </c>
      <c r="AU63" s="124">
        <f ca="1">SUMIFS(
  m.vb[valor],
  m.vb[nucleo],$AJ$1,
  m.vb[variavel],AU$7,
  m.vb[mes],$A63
)</f>
        <v>0</v>
      </c>
      <c r="AV63" s="122">
        <f>COUNTIFS(
    tb_estq[empresa], AV$6,
    tb_estq[Data da venda / reserva], "&gt;=" &amp; $A63,
    tb_estq[Data da venda / reserva], "&lt;"  &amp; EOMONTH($A63,0) + 1
)</f>
        <v>0</v>
      </c>
      <c r="AW63" s="123">
        <f ca="1">SUMIFS(tb_rec_uni[2026-01-01],
INDIRECT("tb_rec_uni[natureza]"),"pro.soluto",
INDIRECT("tb_rec_uni[empresa]"),AW$6)</f>
        <v>0</v>
      </c>
      <c r="AX63" s="123">
        <f ca="1">SUMIFS(tb_rec_uni[2026-01-01],
INDIRECT("tb_rec_uni[natureza]"),"repasse.cef.obra",
INDIRECT("tb_rec_uni[empresa]"),AX$6)</f>
        <v>0</v>
      </c>
      <c r="AY63" s="126">
        <f ca="1">SUMIFS(tb_rec_uni[2026-01-01],
INDIRECT("tb_rec_uni[natureza]"),"repasse.cef.terreno",
INDIRECT("tb_rec_uni[empresa]"),AY$6)</f>
        <v>0</v>
      </c>
      <c r="AZ63" s="126">
        <v>513271.28</v>
      </c>
      <c r="BA63" s="123">
        <f ca="1">SUMIFS(tb_rec_uni[2026-01-01],
INDIRECT("tb_rec_uni[natureza]"),"taxa.extra",
INDIRECT("tb_rec_uni[empresa]"),BA$6)</f>
        <v>0</v>
      </c>
      <c r="BB63" s="111"/>
      <c r="BC63" s="123">
        <f ca="1">SUMIFS(
  m.vb[valor],
  m.vb[nucleo],$AV$1,
  m.vb[variavel],BC$7,
  m.vb[mes],$A63
)</f>
        <v>0</v>
      </c>
      <c r="BD63" s="123">
        <f ca="1">SUMIFS(
  m.vb[valor],
  m.vb[nucleo],$AV$1,
  m.vb[variavel],BD$7,
  m.vb[mes],$A63
)</f>
        <v>0</v>
      </c>
      <c r="BE63" s="123">
        <f ca="1">SUMIFS(
  m.vb[valor],
  m.vb[nucleo],$AV$1,
  m.vb[variavel],BE$7,
  m.vb[mes],$A63
)</f>
        <v>0</v>
      </c>
      <c r="BF63" s="123">
        <f ca="1">SUMIFS(
  m.vb[valor],
  m.vb[nucleo],$AV$1,
  m.vb[variavel],BF$7,
  m.vb[mes],$A63
)</f>
        <v>0</v>
      </c>
      <c r="BG63" s="124">
        <f ca="1">SUMIFS(
  m.vb[valor],
  m.vb[nucleo],$AV$1,
  m.vb[variavel],BG$7,
  m.vb[mes],$A63
)</f>
        <v>0</v>
      </c>
      <c r="BH63" s="122">
        <f>COUNTIFS(
    tb_estq[empresa], BH$6,
    tb_estq[Data da venda / reserva], "&gt;=" &amp; $A63,
    tb_estq[Data da venda / reserva], "&lt;"  &amp; EOMONTH($A63,0) + 1
)</f>
        <v>0</v>
      </c>
      <c r="BI63" s="123">
        <f ca="1">SUMIFS(tb_rec_uni[2026-01-01],
INDIRECT("tb_rec_uni[natureza]"),"pro.soluto",
INDIRECT("tb_rec_uni[empresa]"),BI$6)</f>
        <v>0</v>
      </c>
      <c r="BJ63" s="111">
        <f>1.9*94736</f>
        <v>179998.4</v>
      </c>
      <c r="BK63" s="123">
        <f ca="1">SUMIFS(tb_rec_uni[2026-01-01],
INDIRECT("tb_rec_uni[natureza]"),"taxa.extra",
INDIRECT("tb_rec_uni[empresa]"),BK$6)</f>
        <v>0</v>
      </c>
      <c r="BL63" s="111"/>
      <c r="BM63" s="123">
        <f ca="1">SUMIFS(
  m.vb[valor],
  m.vb[nucleo],$BH$1,
  m.vb[variavel],BM$7,
  m.vb[mes],$A63
)</f>
        <v>0</v>
      </c>
      <c r="BN63" s="123">
        <f ca="1">SUMIFS(
  m.vb[valor],
  m.vb[nucleo],$BH$1,
  m.vb[variavel],BN$7,
  m.vb[mes],$A63
)</f>
        <v>0</v>
      </c>
      <c r="BO63" s="123">
        <f ca="1">SUMIFS(
  m.vb[valor],
  m.vb[nucleo],$BH$1,
  m.vb[variavel],BO$7,
  m.vb[mes],$A63
)</f>
        <v>0</v>
      </c>
      <c r="BP63" s="123">
        <f ca="1">SUMIFS(
  m.vb[valor],
  m.vb[nucleo],$BH$1,
  m.vb[variavel],BP$7,
  m.vb[mes],$A63
)</f>
        <v>0</v>
      </c>
      <c r="BQ63" s="124">
        <f ca="1">SUMIFS(
  m.vb[valor],
  m.vb[nucleo],$BH$1,
  m.vb[variavel],BQ$7,
  m.vb[mes],$A63
)</f>
        <v>0</v>
      </c>
      <c r="BR63" s="122">
        <f>COUNTIFS(
    tb_estq[empresa], BR$6,
    tb_estq[Data da venda / reserva], "&gt;=" &amp; $A63,
    tb_estq[Data da venda / reserva], "&lt;"  &amp; EOMONTH($A63,0) + 1
)</f>
        <v>0</v>
      </c>
      <c r="BS63" s="123">
        <f ca="1">SUMIFS(tb_rec_uni[2026-01-01],
INDIRECT("tb_rec_uni[natureza]"),"pro.soluto",
INDIRECT("tb_rec_uni[empresa]"),BS$6)</f>
        <v>0</v>
      </c>
      <c r="BT63" s="123">
        <f ca="1">SUMIFS(tb_rec_uni[2026-01-01],
INDIRECT("tb_rec_uni[natureza]"),"parcela.fin.total.ik",
INDIRECT("tb_rec_uni[empresa]"),BT$6)</f>
        <v>0</v>
      </c>
      <c r="BU63" s="123">
        <f ca="1">SUMIFS(tb_rec_uni[2026-01-01],
INDIRECT("tb_rec_uni[natureza]"),"taxa.extra",
INDIRECT("tb_rec_uni[empresa]"),BU$6)</f>
        <v>0</v>
      </c>
      <c r="BV63" s="111"/>
      <c r="BW63" s="123">
        <f ca="1">SUMIFS(
  m.vb[valor],
  m.vb[nucleo],$BR$1,
  m.vb[variavel],BW$7,
  m.vb[mes],$A63
)</f>
        <v>0</v>
      </c>
      <c r="BX63" s="123">
        <f ca="1">SUMIFS(
  m.vb[valor],
  m.vb[nucleo],$BR$1,
  m.vb[variavel],BX$7,
  m.vb[mes],$A63
)</f>
        <v>0</v>
      </c>
      <c r="BY63" s="123">
        <f ca="1">SUMIFS(
  m.vb[valor],
  m.vb[nucleo],$BR$1,
  m.vb[variavel],BY$7,
  m.vb[mes],$A63
)</f>
        <v>0</v>
      </c>
      <c r="BZ63" s="123">
        <f ca="1">SUMIFS(
  m.vb[valor],
  m.vb[nucleo],$BR$1,
  m.vb[variavel],BZ$7,
  m.vb[mes],$A63
)</f>
        <v>0</v>
      </c>
      <c r="CA63" s="124">
        <f ca="1">SUMIFS(
  m.vb[valor],
  m.vb[nucleo],$BR$1,
  m.vb[variavel],CA$7,
  m.vb[mes],$A63
)</f>
        <v>0</v>
      </c>
      <c r="CB63" s="122">
        <f>COUNTIFS(
    tb_estq[empresa], CB$6,
    tb_estq[Data da venda / reserva], "&gt;=" &amp; $A63,
    tb_estq[Data da venda / reserva], "&lt;"  &amp; EOMONTH($A63,0) + 1
)</f>
        <v>0</v>
      </c>
      <c r="CC63" s="123">
        <f ca="1">SUMIFS(tb_rec_uni[2026-01-01],
INDIRECT("tb_rec_uni[natureza]"),"pro.soluto",
INDIRECT("tb_rec_uni[empresa]"),CC$6)</f>
        <v>0</v>
      </c>
      <c r="CD63" s="123">
        <f ca="1">SUMIFS(tb_rec_uni[2026-01-01],
INDIRECT("tb_rec_uni[natureza]"),"repasse.cef.obra",
INDIRECT("tb_rec_uni[empresa]"),CD$6)</f>
        <v>0</v>
      </c>
      <c r="CE63" s="126">
        <f ca="1">SUMIFS(tb_rec_uni[2026-01-01],
INDIRECT("tb_rec_uni[natureza]"),"repasse.cef.terreno",
INDIRECT("tb_rec_uni[empresa]"),CE$6)</f>
        <v>0</v>
      </c>
      <c r="CF63" s="126">
        <v>311984.76</v>
      </c>
      <c r="CG63" s="123">
        <f ca="1">SUMIFS(tb_rec_uni[2026-01-01],
INDIRECT("tb_rec_uni[natureza]"),"taxa.extra",
INDIRECT("tb_rec_uni[empresa]"),CG$6)</f>
        <v>0</v>
      </c>
      <c r="CH63" s="111"/>
      <c r="CI63" s="123">
        <f ca="1">SUMIFS(
  m.vb[valor],
  m.vb[nucleo],$CB$1,
  m.vb[variavel],CI$7,
  m.vb[mes],$A63
)</f>
        <v>0</v>
      </c>
      <c r="CJ63" s="123">
        <f ca="1">SUMIFS(
  m.vb[valor],
  m.vb[nucleo],$CB$1,
  m.vb[variavel],CJ$7,
  m.vb[mes],$A63
)</f>
        <v>0</v>
      </c>
      <c r="CK63" s="123">
        <f ca="1">SUMIFS(
  m.vb[valor],
  m.vb[nucleo],$CB$1,
  m.vb[variavel],CK$7,
  m.vb[mes],$A63
)</f>
        <v>0</v>
      </c>
      <c r="CL63" s="123">
        <f ca="1">SUMIFS(
  m.vb[valor],
  m.vb[nucleo],$CB$1,
  m.vb[variavel],CL$7,
  m.vb[mes],$A63
)</f>
        <v>0</v>
      </c>
      <c r="CM63" s="124">
        <f ca="1">SUMIFS(
  m.vb[valor],
  m.vb[nucleo],$CB$1,
  m.vb[variavel],CM$7,
  m.vb[mes],$A63
)</f>
        <v>0</v>
      </c>
      <c r="CN63" s="122">
        <f>COUNTIFS(
    tb_estq[empresa], CN$6,
    tb_estq[Data da venda / reserva], "&gt;=" &amp; $A63,
    tb_estq[Data da venda / reserva], "&lt;"  &amp; EOMONTH($A63,0) + 1
)</f>
        <v>0</v>
      </c>
      <c r="CO63" s="123">
        <f ca="1">SUMIFS(tb_rec_uni[2026-01-01],
INDIRECT("tb_rec_uni[natureza]"),"pro.soluto",
INDIRECT("tb_rec_uni[empresa]"),CO$6)</f>
        <v>0</v>
      </c>
      <c r="CP63" s="123">
        <f ca="1">SUMIFS(tb_rec_uni[2026-01-01],
INDIRECT("tb_rec_uni[natureza]"),"repasse.cef.obra",
INDIRECT("tb_rec_uni[empresa]"),CP$6)</f>
        <v>0</v>
      </c>
      <c r="CQ63" s="126">
        <f ca="1">SUMIFS(tb_rec_uni[2026-01-01],
INDIRECT("tb_rec_uni[natureza]"),"repasse.cef.terreno",
INDIRECT("tb_rec_uni[empresa]"),CQ$6)</f>
        <v>0</v>
      </c>
      <c r="CR63" s="126">
        <v>0</v>
      </c>
      <c r="CS63" s="123">
        <f ca="1">SUMIFS(tb_rec_uni[2026-01-01],
INDIRECT("tb_rec_uni[natureza]"),"taxa.extra",
INDIRECT("tb_rec_uni[empresa]"),CS$6)</f>
        <v>0</v>
      </c>
      <c r="CT63" s="111"/>
      <c r="CU63" s="123">
        <f ca="1">SUMIFS(
  m.vb[valor],
  m.vb[nucleo],$CN$1,
  m.vb[variavel],CU$7,
  m.vb[mes],$A63
)</f>
        <v>0</v>
      </c>
      <c r="CV63" s="123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3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3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3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21">
        <v>46054</v>
      </c>
      <c r="B64" s="122">
        <f>COUNTIFS(
    tb_estq[empresa], B$6,
    tb_estq[Data da venda / reserva], "&gt;=" &amp; $A64,
    tb_estq[Data da venda / reserva], "&lt;"  &amp; EOMONTH($A64,0) + 1
)</f>
        <v>0</v>
      </c>
      <c r="C64" s="123">
        <f ca="1">SUMIFS(tb_rec_uni[2026-02-01],
INDIRECT("tb_rec_uni[natureza]"),"pro.soluto",
INDIRECT("tb_rec_uni[empresa]"),C$6)</f>
        <v>0</v>
      </c>
      <c r="D64" s="123">
        <f ca="1">SUMIFS(tb_rec_uni[2026-02-01],
INDIRECT("tb_rec_uni[natureza]"),"repasse.cef.obra",
INDIRECT("tb_rec_uni[empresa]"),D$6)</f>
        <v>0</v>
      </c>
      <c r="E64" s="123">
        <f ca="1">SUMIFS(tb_rec_uni[2026-02-01],
INDIRECT("tb_rec_uni[natureza]"),"repasse.cef.terreno",
INDIRECT("tb_rec_uni[empresa]"),E$6)</f>
        <v>0</v>
      </c>
      <c r="F64" s="126">
        <v>46792.36</v>
      </c>
      <c r="G64" s="123">
        <f ca="1">SUMIFS(tb_rec_uni[2026-02-01],
INDIRECT("tb_rec_uni[natureza]"),"taxa.extra",
INDIRECT("tb_rec_uni[empresa]"),G$6)</f>
        <v>0</v>
      </c>
      <c r="H64" s="111"/>
      <c r="I64" s="123">
        <f ca="1">SUMIFS(
  m.vb[valor],
  m.vb[nucleo],$B$1,
  m.vb[variavel],I$7,
  m.vb[mes],$A64
)</f>
        <v>0</v>
      </c>
      <c r="J64" s="123">
        <f ca="1">SUMIFS(
  m.vb[valor],
  m.vb[nucleo],$B$1,
  m.vb[variavel],J$7,
  m.vb[mes],$A64
)</f>
        <v>0</v>
      </c>
      <c r="K64" s="123">
        <f ca="1">SUMIFS(
  m.vb[valor],
  m.vb[nucleo],$B$1,
  m.vb[variavel],K$7,
  m.vb[mes],$A64
)</f>
        <v>0</v>
      </c>
      <c r="L64" s="123">
        <f ca="1">SUMIFS(
  m.vb[valor],
  m.vb[nucleo],$B$1,
  m.vb[variavel],L$7,
  m.vb[mes],$A64
)</f>
        <v>0</v>
      </c>
      <c r="M64" s="123">
        <f ca="1">SUMIFS(
  m.vb[valor],
  m.vb[nucleo],$B$1,
  m.vb[variavel],M$7,
  m.vb[mes],$A64
)</f>
        <v>0</v>
      </c>
      <c r="N64" s="122">
        <f>COUNTIFS(
    tb_estq[empresa], N$6,
    tb_estq[Data da venda / reserva], "&gt;=" &amp; $A64,
    tb_estq[Data da venda / reserva], "&lt;"  &amp; EOMONTH($A64,0) + 1
)</f>
        <v>0</v>
      </c>
      <c r="O64" s="123">
        <f ca="1">SUMIFS(tb_rec_uni[2026-02-01],
INDIRECT("tb_rec_uni[natureza]"),"pro.soluto",
INDIRECT("tb_rec_uni[empresa]"),O$6)</f>
        <v>0</v>
      </c>
      <c r="P64" s="123">
        <f ca="1">SUMIFS(tb_rec_uni[2026-02-01],
INDIRECT("tb_rec_uni[natureza]"),"repasse.cef.obra",
INDIRECT("tb_rec_uni[empresa]"),P$6)</f>
        <v>0</v>
      </c>
      <c r="Q64" s="123">
        <f ca="1">SUMIFS(tb_rec_uni[2026-02-01],
INDIRECT("tb_rec_uni[natureza]"),"repasse.cef.terreno",
INDIRECT("tb_rec_uni[empresa]"),Q$6)</f>
        <v>0</v>
      </c>
      <c r="R64" s="126">
        <v>0</v>
      </c>
      <c r="S64" s="123">
        <f ca="1">SUMIFS(tb_rec_uni[2026-02-01],
INDIRECT("tb_rec_uni[natureza]"),"taxa.extra",
INDIRECT("tb_rec_uni[empresa]"),S$6)</f>
        <v>0</v>
      </c>
      <c r="T64" s="111"/>
      <c r="U64" s="123">
        <f ca="1">SUMIFS(
  m.vb[valor],
  m.vb[nucleo],$N$1,
  m.vb[variavel],U$7,
  m.vb[mes],$A64
)</f>
        <v>0</v>
      </c>
      <c r="V64" s="123">
        <f ca="1">SUMIFS(
  m.vb[valor],
  m.vb[nucleo],$N$1,
  m.vb[variavel],V$7,
  m.vb[mes],$A64
)</f>
        <v>0</v>
      </c>
      <c r="W64" s="123">
        <f ca="1">SUMIFS(
  m.vb[valor],
  m.vb[nucleo],$N$1,
  m.vb[variavel],W$7,
  m.vb[mes],$A64
)</f>
        <v>0</v>
      </c>
      <c r="X64" s="123">
        <f ca="1">SUMIFS(
  m.vb[valor],
  m.vb[nucleo],$N$1,
  m.vb[variavel],X$7,
  m.vb[mes],$A64
)</f>
        <v>0</v>
      </c>
      <c r="Y64" s="123">
        <f ca="1">SUMIFS(
  m.vb[valor],
  m.vb[nucleo],$N$1,
  m.vb[variavel],Y$7,
  m.vb[mes],$A64
)</f>
        <v>0</v>
      </c>
      <c r="Z64" s="122">
        <f>COUNTIFS(
    tb_estq[empresa], Z$6,
    tb_estq[Data da venda / reserva], "&gt;=" &amp; $A64,
    tb_estq[Data da venda / reserva], "&lt;"  &amp; EOMONTH($A64,0) + 1
)</f>
        <v>0</v>
      </c>
      <c r="AA64" s="123">
        <f ca="1">SUMIFS(tb_rec_uni[2026-02-01],
INDIRECT("tb_rec_uni[natureza]"),"pro.soluto",
INDIRECT("tb_rec_uni[empresa]"),AA$6)</f>
        <v>0</v>
      </c>
      <c r="AB64" s="126">
        <f ca="1">SUMIFS(tb_rec_uni[2026-02-01],
INDIRECT("tb_rec_uni[natureza]"),"parcela.fin.total.ik",
INDIRECT("tb_rec_uni[empresa]"),AB$6)</f>
        <v>0</v>
      </c>
      <c r="AC64" s="123">
        <f ca="1">SUMIFS(tb_rec_uni[2026-02-01],
INDIRECT("tb_rec_uni[natureza]"),"taxa.extra",
INDIRECT("tb_rec_uni[empresa]"),AC$6)</f>
        <v>0</v>
      </c>
      <c r="AD64" s="111"/>
      <c r="AE64" s="123">
        <f ca="1">SUMIFS(
  m.vb[valor],
  m.vb[nucleo],$Z$1,
  m.vb[variavel],AE$7,
  m.vb[mes],$A64
)</f>
        <v>0</v>
      </c>
      <c r="AF64" s="123">
        <f ca="1">SUMIFS(
  m.vb[valor],
  m.vb[nucleo],$Z$1,
  m.vb[variavel],AF$7,
  m.vb[mes],$A64
)</f>
        <v>0</v>
      </c>
      <c r="AG64" s="123">
        <f ca="1">SUMIFS(
  m.vb[valor],
  m.vb[nucleo],$Z$1,
  m.vb[variavel],AG$7,
  m.vb[mes],$A64
)</f>
        <v>0</v>
      </c>
      <c r="AH64" s="123">
        <f ca="1">SUMIFS(
  m.vb[valor],
  m.vb[nucleo],$Z$1,
  m.vb[variavel],AH$7,
  m.vb[mes],$A64
)</f>
        <v>0</v>
      </c>
      <c r="AI64" s="123">
        <f ca="1">SUMIFS(
  m.vb[valor],
  m.vb[nucleo],$Z$1,
  m.vb[variavel],AI$7,
  m.vb[mes],$A64
)</f>
        <v>0</v>
      </c>
      <c r="AJ64" s="122">
        <f>COUNTIFS(
    tb_estq[empresa], AJ$6,
    tb_estq[Data da venda / reserva], "&gt;=" &amp; $A64,
    tb_estq[Data da venda / reserva], "&lt;"  &amp; EOMONTH($A64,0) + 1
)</f>
        <v>0</v>
      </c>
      <c r="AK64" s="123">
        <f ca="1">SUMIFS(tb_rec_uni[2026-02-01],
INDIRECT("tb_rec_uni[natureza]"),"pro.soluto",
INDIRECT("tb_rec_uni[empresa]"),AK$6)</f>
        <v>0</v>
      </c>
      <c r="AL64" s="123">
        <f ca="1">SUMIFS(tb_rec_uni[2026-02-01],
INDIRECT("tb_rec_uni[natureza]"),"repasse.cef.obra",
INDIRECT("tb_rec_uni[empresa]"),AL$6)</f>
        <v>0</v>
      </c>
      <c r="AM64" s="126">
        <f ca="1">SUMIFS(tb_rec_uni[2026-02-01],
INDIRECT("tb_rec_uni[natureza]"),"repasse.cef.terreno",
INDIRECT("tb_rec_uni[empresa]"),AM$6)</f>
        <v>0</v>
      </c>
      <c r="AN64" s="126">
        <v>0</v>
      </c>
      <c r="AO64" s="123">
        <f ca="1">SUMIFS(tb_rec_uni[2026-02-01],
INDIRECT("tb_rec_uni[natureza]"),"taxa.extra",
INDIRECT("tb_rec_uni[empresa]"),AO$6)</f>
        <v>0</v>
      </c>
      <c r="AP64" s="111"/>
      <c r="AQ64" s="123">
        <f ca="1">SUMIFS(
  m.vb[valor],
  m.vb[nucleo],$AJ$1,
  m.vb[variavel],AQ$7,
  m.vb[mes],$A64
)</f>
        <v>0</v>
      </c>
      <c r="AR64" s="123">
        <f ca="1">SUMIFS(
  m.vb[valor],
  m.vb[nucleo],$AJ$1,
  m.vb[variavel],AR$7,
  m.vb[mes],$A64
)</f>
        <v>0</v>
      </c>
      <c r="AS64" s="123">
        <f ca="1">SUMIFS(
  m.vb[valor],
  m.vb[nucleo],$AJ$1,
  m.vb[variavel],AS$7,
  m.vb[mes],$A64
)</f>
        <v>0</v>
      </c>
      <c r="AT64" s="123">
        <f ca="1">SUMIFS(
  m.vb[valor],
  m.vb[nucleo],$AJ$1,
  m.vb[variavel],AT$7,
  m.vb[mes],$A64
)</f>
        <v>0</v>
      </c>
      <c r="AU64" s="123">
        <f ca="1">SUMIFS(
  m.vb[valor],
  m.vb[nucleo],$AJ$1,
  m.vb[variavel],AU$7,
  m.vb[mes],$A64
)</f>
        <v>0</v>
      </c>
      <c r="AV64" s="122">
        <f>COUNTIFS(
    tb_estq[empresa], AV$6,
    tb_estq[Data da venda / reserva], "&gt;=" &amp; $A64,
    tb_estq[Data da venda / reserva], "&lt;"  &amp; EOMONTH($A64,0) + 1
)</f>
        <v>0</v>
      </c>
      <c r="AW64" s="123">
        <f ca="1">SUMIFS(tb_rec_uni[2026-02-01],
INDIRECT("tb_rec_uni[natureza]"),"pro.soluto",
INDIRECT("tb_rec_uni[empresa]"),AW$6)</f>
        <v>0</v>
      </c>
      <c r="AX64" s="123">
        <f ca="1">SUMIFS(tb_rec_uni[2026-02-01],
INDIRECT("tb_rec_uni[natureza]"),"repasse.cef.obra",
INDIRECT("tb_rec_uni[empresa]"),AX$6)</f>
        <v>0</v>
      </c>
      <c r="AY64" s="126">
        <f ca="1">SUMIFS(tb_rec_uni[2026-02-01],
INDIRECT("tb_rec_uni[natureza]"),"repasse.cef.terreno",
INDIRECT("tb_rec_uni[empresa]"),AY$6)</f>
        <v>0</v>
      </c>
      <c r="AZ64" s="126">
        <v>272968.38</v>
      </c>
      <c r="BA64" s="123">
        <f ca="1">SUMIFS(tb_rec_uni[2026-02-01],
INDIRECT("tb_rec_uni[natureza]"),"taxa.extra",
INDIRECT("tb_rec_uni[empresa]"),BA$6)</f>
        <v>0</v>
      </c>
      <c r="BB64" s="111"/>
      <c r="BC64" s="123">
        <f ca="1">SUMIFS(
  m.vb[valor],
  m.vb[nucleo],$AV$1,
  m.vb[variavel],BC$7,
  m.vb[mes],$A64
)</f>
        <v>0</v>
      </c>
      <c r="BD64" s="123">
        <f ca="1">SUMIFS(
  m.vb[valor],
  m.vb[nucleo],$AV$1,
  m.vb[variavel],BD$7,
  m.vb[mes],$A64
)</f>
        <v>0</v>
      </c>
      <c r="BE64" s="123">
        <f ca="1">SUMIFS(
  m.vb[valor],
  m.vb[nucleo],$AV$1,
  m.vb[variavel],BE$7,
  m.vb[mes],$A64
)</f>
        <v>0</v>
      </c>
      <c r="BF64" s="123">
        <f ca="1">SUMIFS(
  m.vb[valor],
  m.vb[nucleo],$AV$1,
  m.vb[variavel],BF$7,
  m.vb[mes],$A64
)</f>
        <v>0</v>
      </c>
      <c r="BG64" s="123">
        <f ca="1">SUMIFS(
  m.vb[valor],
  m.vb[nucleo],$AV$1,
  m.vb[variavel],BG$7,
  m.vb[mes],$A64
)</f>
        <v>0</v>
      </c>
      <c r="BH64" s="122">
        <f>COUNTIFS(
    tb_estq[empresa], BH$6,
    tb_estq[Data da venda / reserva], "&gt;=" &amp; $A64,
    tb_estq[Data da venda / reserva], "&lt;"  &amp; EOMONTH($A64,0) + 1
)</f>
        <v>0</v>
      </c>
      <c r="BI64" s="123">
        <f ca="1">SUMIFS(tb_rec_uni[2026-02-01],
INDIRECT("tb_rec_uni[natureza]"),"pro.soluto",
INDIRECT("tb_rec_uni[empresa]"),BI$6)</f>
        <v>0</v>
      </c>
      <c r="BJ64" s="127">
        <f>2.88*94736</f>
        <v>272839.67999999999</v>
      </c>
      <c r="BK64" s="123">
        <f ca="1">SUMIFS(tb_rec_uni[2026-02-01],
INDIRECT("tb_rec_uni[natureza]"),"taxa.extra",
INDIRECT("tb_rec_uni[empresa]"),BK$6)</f>
        <v>0</v>
      </c>
      <c r="BL64" s="111"/>
      <c r="BM64" s="123">
        <f ca="1">SUMIFS(
  m.vb[valor],
  m.vb[nucleo],$BH$1,
  m.vb[variavel],BM$7,
  m.vb[mes],$A64
)</f>
        <v>0</v>
      </c>
      <c r="BN64" s="123">
        <f ca="1">SUMIFS(
  m.vb[valor],
  m.vb[nucleo],$BH$1,
  m.vb[variavel],BN$7,
  m.vb[mes],$A64
)</f>
        <v>0</v>
      </c>
      <c r="BO64" s="123">
        <f ca="1">SUMIFS(
  m.vb[valor],
  m.vb[nucleo],$BH$1,
  m.vb[variavel],BO$7,
  m.vb[mes],$A64
)</f>
        <v>0</v>
      </c>
      <c r="BP64" s="123">
        <f ca="1">SUMIFS(
  m.vb[valor],
  m.vb[nucleo],$BH$1,
  m.vb[variavel],BP$7,
  m.vb[mes],$A64
)</f>
        <v>0</v>
      </c>
      <c r="BQ64" s="123">
        <f ca="1">SUMIFS(
  m.vb[valor],
  m.vb[nucleo],$BH$1,
  m.vb[variavel],BQ$7,
  m.vb[mes],$A64
)</f>
        <v>0</v>
      </c>
      <c r="BR64" s="122">
        <f>COUNTIFS(
    tb_estq[empresa], BR$6,
    tb_estq[Data da venda / reserva], "&gt;=" &amp; $A64,
    tb_estq[Data da venda / reserva], "&lt;"  &amp; EOMONTH($A64,0) + 1
)</f>
        <v>0</v>
      </c>
      <c r="BS64" s="123">
        <f ca="1">SUMIFS(tb_rec_uni[2026-02-01],
INDIRECT("tb_rec_uni[natureza]"),"pro.soluto",
INDIRECT("tb_rec_uni[empresa]"),BS$6)</f>
        <v>0</v>
      </c>
      <c r="BT64" s="126">
        <f ca="1">SUMIFS(tb_rec_uni[2026-02-01],
INDIRECT("tb_rec_uni[natureza]"),"parcela.fin.total.ik",
INDIRECT("tb_rec_uni[empresa]"),BT$6)</f>
        <v>0</v>
      </c>
      <c r="BU64" s="123">
        <f ca="1">SUMIFS(tb_rec_uni[2026-02-01],
INDIRECT("tb_rec_uni[natureza]"),"taxa.extra",
INDIRECT("tb_rec_uni[empresa]"),BU$6)</f>
        <v>0</v>
      </c>
      <c r="BV64" s="111"/>
      <c r="BW64" s="123">
        <f ca="1">SUMIFS(
  m.vb[valor],
  m.vb[nucleo],$BR$1,
  m.vb[variavel],BW$7,
  m.vb[mes],$A64
)</f>
        <v>0</v>
      </c>
      <c r="BX64" s="123">
        <f ca="1">SUMIFS(
  m.vb[valor],
  m.vb[nucleo],$BR$1,
  m.vb[variavel],BX$7,
  m.vb[mes],$A64
)</f>
        <v>0</v>
      </c>
      <c r="BY64" s="123">
        <f ca="1">SUMIFS(
  m.vb[valor],
  m.vb[nucleo],$BR$1,
  m.vb[variavel],BY$7,
  m.vb[mes],$A64
)</f>
        <v>0</v>
      </c>
      <c r="BZ64" s="123">
        <f ca="1">SUMIFS(
  m.vb[valor],
  m.vb[nucleo],$BR$1,
  m.vb[variavel],BZ$7,
  m.vb[mes],$A64
)</f>
        <v>0</v>
      </c>
      <c r="CA64" s="123">
        <f ca="1">SUMIFS(
  m.vb[valor],
  m.vb[nucleo],$BR$1,
  m.vb[variavel],CA$7,
  m.vb[mes],$A64
)</f>
        <v>0</v>
      </c>
      <c r="CB64" s="122">
        <f>COUNTIFS(
    tb_estq[empresa], CB$6,
    tb_estq[Data da venda / reserva], "&gt;=" &amp; $A64,
    tb_estq[Data da venda / reserva], "&lt;"  &amp; EOMONTH($A64,0) + 1
)</f>
        <v>0</v>
      </c>
      <c r="CC64" s="123">
        <f ca="1">SUMIFS(tb_rec_uni[2026-02-01],
INDIRECT("tb_rec_uni[natureza]"),"pro.soluto",
INDIRECT("tb_rec_uni[empresa]"),CC$6)</f>
        <v>0</v>
      </c>
      <c r="CD64" s="123">
        <f ca="1">SUMIFS(tb_rec_uni[2026-02-01],
INDIRECT("tb_rec_uni[natureza]"),"repasse.cef.obra",
INDIRECT("tb_rec_uni[empresa]"),CD$6)</f>
        <v>0</v>
      </c>
      <c r="CE64" s="126">
        <f ca="1">SUMIFS(tb_rec_uni[2026-02-01],
INDIRECT("tb_rec_uni[natureza]"),"repasse.cef.terreno",
INDIRECT("tb_rec_uni[empresa]"),CE$6)</f>
        <v>0</v>
      </c>
      <c r="CF64" s="126">
        <v>378029.53</v>
      </c>
      <c r="CG64" s="123">
        <f ca="1">SUMIFS(tb_rec_uni[2026-02-01],
INDIRECT("tb_rec_uni[natureza]"),"taxa.extra",
INDIRECT("tb_rec_uni[empresa]"),CG$6)</f>
        <v>0</v>
      </c>
      <c r="CH64" s="111"/>
      <c r="CI64" s="123">
        <f ca="1">SUMIFS(
  m.vb[valor],
  m.vb[nucleo],$CB$1,
  m.vb[variavel],CI$7,
  m.vb[mes],$A64
)</f>
        <v>0</v>
      </c>
      <c r="CJ64" s="123">
        <f ca="1">SUMIFS(
  m.vb[valor],
  m.vb[nucleo],$CB$1,
  m.vb[variavel],CJ$7,
  m.vb[mes],$A64
)</f>
        <v>0</v>
      </c>
      <c r="CK64" s="123">
        <f ca="1">SUMIFS(
  m.vb[valor],
  m.vb[nucleo],$CB$1,
  m.vb[variavel],CK$7,
  m.vb[mes],$A64
)</f>
        <v>0</v>
      </c>
      <c r="CL64" s="123">
        <f ca="1">SUMIFS(
  m.vb[valor],
  m.vb[nucleo],$CB$1,
  m.vb[variavel],CL$7,
  m.vb[mes],$A64
)</f>
        <v>0</v>
      </c>
      <c r="CM64" s="123">
        <f ca="1">SUMIFS(
  m.vb[valor],
  m.vb[nucleo],$CB$1,
  m.vb[variavel],CM$7,
  m.vb[mes],$A64
)</f>
        <v>0</v>
      </c>
      <c r="CN64" s="122">
        <f>COUNTIFS(
    tb_estq[empresa], CN$6,
    tb_estq[Data da venda / reserva], "&gt;=" &amp; $A64,
    tb_estq[Data da venda / reserva], "&lt;"  &amp; EOMONTH($A64,0) + 1
)</f>
        <v>0</v>
      </c>
      <c r="CO64" s="123">
        <f ca="1">SUMIFS(tb_rec_uni[2026-02-01],
INDIRECT("tb_rec_uni[natureza]"),"pro.soluto",
INDIRECT("tb_rec_uni[empresa]"),CO$6)</f>
        <v>0</v>
      </c>
      <c r="CP64" s="123">
        <f ca="1">SUMIFS(tb_rec_uni[2026-02-01],
INDIRECT("tb_rec_uni[natureza]"),"repasse.cef.obra",
INDIRECT("tb_rec_uni[empresa]"),CP$6)</f>
        <v>0</v>
      </c>
      <c r="CQ64" s="126">
        <f ca="1">SUMIFS(tb_rec_uni[2026-02-01],
INDIRECT("tb_rec_uni[natureza]"),"repasse.cef.terreno",
INDIRECT("tb_rec_uni[empresa]"),CQ$6)</f>
        <v>0</v>
      </c>
      <c r="CR64" s="126">
        <v>0</v>
      </c>
      <c r="CS64" s="123">
        <f ca="1">SUMIFS(tb_rec_uni[2026-02-01],
INDIRECT("tb_rec_uni[natureza]"),"taxa.extra",
INDIRECT("tb_rec_uni[empresa]"),CS$6)</f>
        <v>0</v>
      </c>
      <c r="CT64" s="111"/>
      <c r="CU64" s="123">
        <f ca="1">SUMIFS(
  m.vb[valor],
  m.vb[nucleo],$CN$1,
  m.vb[variavel],CU$7,
  m.vb[mes],$A64
)</f>
        <v>0</v>
      </c>
      <c r="CV64" s="123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3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3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3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21">
        <v>46082</v>
      </c>
      <c r="B65" s="122">
        <f>COUNTIFS(
    tb_estq[empresa], B$6,
    tb_estq[Data da venda / reserva], "&gt;=" &amp; $A65,
    tb_estq[Data da venda / reserva], "&lt;"  &amp; EOMONTH($A65,0) + 1
)</f>
        <v>0</v>
      </c>
      <c r="C65" s="123">
        <f ca="1">SUMIFS(tb_rec_uni[2026-03-01],
INDIRECT("tb_rec_uni[natureza]"),"pro.soluto",
INDIRECT("tb_rec_uni[empresa]"),C$6)</f>
        <v>0</v>
      </c>
      <c r="D65" s="123">
        <f ca="1">SUMIFS(tb_rec_uni[2026-03-01],
INDIRECT("tb_rec_uni[natureza]"),"repasse.cef.obra",
INDIRECT("tb_rec_uni[empresa]"),D$6)</f>
        <v>0</v>
      </c>
      <c r="E65" s="123">
        <f ca="1">SUMIFS(tb_rec_uni[2026-03-01],
INDIRECT("tb_rec_uni[natureza]"),"repasse.cef.terreno",
INDIRECT("tb_rec_uni[empresa]"),E$6)</f>
        <v>0</v>
      </c>
      <c r="F65" s="126">
        <v>0</v>
      </c>
      <c r="G65" s="123">
        <f ca="1">SUMIFS(tb_rec_uni[2026-03-01],
INDIRECT("tb_rec_uni[natureza]"),"taxa.extra",
INDIRECT("tb_rec_uni[empresa]"),G$6)</f>
        <v>0</v>
      </c>
      <c r="H65" s="111"/>
      <c r="I65" s="123">
        <f ca="1">SUMIFS(
  m.vb[valor],
  m.vb[nucleo],$B$1,
  m.vb[variavel],I$7,
  m.vb[mes],$A65
)</f>
        <v>0</v>
      </c>
      <c r="J65" s="123">
        <f ca="1">SUMIFS(
  m.vb[valor],
  m.vb[nucleo],$B$1,
  m.vb[variavel],J$7,
  m.vb[mes],$A65
)</f>
        <v>0</v>
      </c>
      <c r="K65" s="123">
        <f ca="1">SUMIFS(
  m.vb[valor],
  m.vb[nucleo],$B$1,
  m.vb[variavel],K$7,
  m.vb[mes],$A65
)</f>
        <v>0</v>
      </c>
      <c r="L65" s="123">
        <f ca="1">SUMIFS(
  m.vb[valor],
  m.vb[nucleo],$B$1,
  m.vb[variavel],L$7,
  m.vb[mes],$A65
)</f>
        <v>0</v>
      </c>
      <c r="M65" s="123">
        <f ca="1">SUMIFS(
  m.vb[valor],
  m.vb[nucleo],$B$1,
  m.vb[variavel],M$7,
  m.vb[mes],$A65
)</f>
        <v>0</v>
      </c>
      <c r="N65" s="122">
        <f>COUNTIFS(
    tb_estq[empresa], N$6,
    tb_estq[Data da venda / reserva], "&gt;=" &amp; $A65,
    tb_estq[Data da venda / reserva], "&lt;"  &amp; EOMONTH($A65,0) + 1
)</f>
        <v>0</v>
      </c>
      <c r="O65" s="123">
        <f ca="1">SUMIFS(tb_rec_uni[2026-03-01],
INDIRECT("tb_rec_uni[natureza]"),"pro.soluto",
INDIRECT("tb_rec_uni[empresa]"),O$6)</f>
        <v>0</v>
      </c>
      <c r="P65" s="123">
        <f ca="1">SUMIFS(tb_rec_uni[2026-03-01],
INDIRECT("tb_rec_uni[natureza]"),"repasse.cef.obra",
INDIRECT("tb_rec_uni[empresa]"),P$6)</f>
        <v>0</v>
      </c>
      <c r="Q65" s="123">
        <f ca="1">SUMIFS(tb_rec_uni[2026-03-01],
INDIRECT("tb_rec_uni[natureza]"),"repasse.cef.terreno",
INDIRECT("tb_rec_uni[empresa]"),Q$6)</f>
        <v>0</v>
      </c>
      <c r="R65" s="126">
        <v>0</v>
      </c>
      <c r="S65" s="123">
        <f ca="1">SUMIFS(tb_rec_uni[2026-03-01],
INDIRECT("tb_rec_uni[natureza]"),"taxa.extra",
INDIRECT("tb_rec_uni[empresa]"),S$6)</f>
        <v>0</v>
      </c>
      <c r="T65" s="111"/>
      <c r="U65" s="123">
        <f ca="1">SUMIFS(
  m.vb[valor],
  m.vb[nucleo],$N$1,
  m.vb[variavel],U$7,
  m.vb[mes],$A65
)</f>
        <v>0</v>
      </c>
      <c r="V65" s="123">
        <f ca="1">SUMIFS(
  m.vb[valor],
  m.vb[nucleo],$N$1,
  m.vb[variavel],V$7,
  m.vb[mes],$A65
)</f>
        <v>0</v>
      </c>
      <c r="W65" s="123">
        <f ca="1">SUMIFS(
  m.vb[valor],
  m.vb[nucleo],$N$1,
  m.vb[variavel],W$7,
  m.vb[mes],$A65
)</f>
        <v>0</v>
      </c>
      <c r="X65" s="123">
        <f ca="1">SUMIFS(
  m.vb[valor],
  m.vb[nucleo],$N$1,
  m.vb[variavel],X$7,
  m.vb[mes],$A65
)</f>
        <v>0</v>
      </c>
      <c r="Y65" s="123">
        <f ca="1">SUMIFS(
  m.vb[valor],
  m.vb[nucleo],$N$1,
  m.vb[variavel],Y$7,
  m.vb[mes],$A65
)</f>
        <v>0</v>
      </c>
      <c r="Z65" s="122">
        <f>COUNTIFS(
    tb_estq[empresa], Z$6,
    tb_estq[Data da venda / reserva], "&gt;=" &amp; $A65,
    tb_estq[Data da venda / reserva], "&lt;"  &amp; EOMONTH($A65,0) + 1
)</f>
        <v>0</v>
      </c>
      <c r="AA65" s="123">
        <f ca="1">SUMIFS(tb_rec_uni[2026-03-01],
INDIRECT("tb_rec_uni[natureza]"),"pro.soluto",
INDIRECT("tb_rec_uni[empresa]"),AA$6)</f>
        <v>0</v>
      </c>
      <c r="AB65" s="126">
        <f ca="1">SUMIFS(tb_rec_uni[2026-03-01],
INDIRECT("tb_rec_uni[natureza]"),"parcela.fin.total.ik",
INDIRECT("tb_rec_uni[empresa]"),AB$6)</f>
        <v>0</v>
      </c>
      <c r="AC65" s="123">
        <f ca="1">SUMIFS(tb_rec_uni[2026-03-01],
INDIRECT("tb_rec_uni[natureza]"),"taxa.extra",
INDIRECT("tb_rec_uni[empresa]"),AC$6)</f>
        <v>0</v>
      </c>
      <c r="AD65" s="111"/>
      <c r="AE65" s="123">
        <f ca="1">SUMIFS(
  m.vb[valor],
  m.vb[nucleo],$Z$1,
  m.vb[variavel],AE$7,
  m.vb[mes],$A65
)</f>
        <v>0</v>
      </c>
      <c r="AF65" s="123">
        <f ca="1">SUMIFS(
  m.vb[valor],
  m.vb[nucleo],$Z$1,
  m.vb[variavel],AF$7,
  m.vb[mes],$A65
)</f>
        <v>0</v>
      </c>
      <c r="AG65" s="123">
        <f ca="1">SUMIFS(
  m.vb[valor],
  m.vb[nucleo],$Z$1,
  m.vb[variavel],AG$7,
  m.vb[mes],$A65
)</f>
        <v>0</v>
      </c>
      <c r="AH65" s="123">
        <f ca="1">SUMIFS(
  m.vb[valor],
  m.vb[nucleo],$Z$1,
  m.vb[variavel],AH$7,
  m.vb[mes],$A65
)</f>
        <v>0</v>
      </c>
      <c r="AI65" s="123">
        <f ca="1">SUMIFS(
  m.vb[valor],
  m.vb[nucleo],$Z$1,
  m.vb[variavel],AI$7,
  m.vb[mes],$A65
)</f>
        <v>0</v>
      </c>
      <c r="AJ65" s="122">
        <f>COUNTIFS(
    tb_estq[empresa], AJ$6,
    tb_estq[Data da venda / reserva], "&gt;=" &amp; $A65,
    tb_estq[Data da venda / reserva], "&lt;"  &amp; EOMONTH($A65,0) + 1
)</f>
        <v>0</v>
      </c>
      <c r="AK65" s="123">
        <f ca="1">SUMIFS(tb_rec_uni[2026-03-01],
INDIRECT("tb_rec_uni[natureza]"),"pro.soluto",
INDIRECT("tb_rec_uni[empresa]"),AK$6)</f>
        <v>0</v>
      </c>
      <c r="AL65" s="123">
        <f ca="1">SUMIFS(tb_rec_uni[2026-03-01],
INDIRECT("tb_rec_uni[natureza]"),"repasse.cef.obra",
INDIRECT("tb_rec_uni[empresa]"),AL$6)</f>
        <v>0</v>
      </c>
      <c r="AM65" s="126">
        <f ca="1">SUMIFS(tb_rec_uni[2026-03-01],
INDIRECT("tb_rec_uni[natureza]"),"repasse.cef.terreno",
INDIRECT("tb_rec_uni[empresa]"),AM$6)</f>
        <v>0</v>
      </c>
      <c r="AN65" s="126">
        <f>222607.79+305642.19</f>
        <v>528249.98</v>
      </c>
      <c r="AO65" s="123">
        <f ca="1">SUMIFS(tb_rec_uni[2026-03-01],
INDIRECT("tb_rec_uni[natureza]"),"taxa.extra",
INDIRECT("tb_rec_uni[empresa]"),AO$6)</f>
        <v>0</v>
      </c>
      <c r="AP65" s="111"/>
      <c r="AQ65" s="123">
        <f ca="1">SUMIFS(
  m.vb[valor],
  m.vb[nucleo],$AJ$1,
  m.vb[variavel],AQ$7,
  m.vb[mes],$A65
)</f>
        <v>0</v>
      </c>
      <c r="AR65" s="123">
        <f ca="1">SUMIFS(
  m.vb[valor],
  m.vb[nucleo],$AJ$1,
  m.vb[variavel],AR$7,
  m.vb[mes],$A65
)</f>
        <v>0</v>
      </c>
      <c r="AS65" s="123">
        <f ca="1">SUMIFS(
  m.vb[valor],
  m.vb[nucleo],$AJ$1,
  m.vb[variavel],AS$7,
  m.vb[mes],$A65
)</f>
        <v>0</v>
      </c>
      <c r="AT65" s="123">
        <f ca="1">SUMIFS(
  m.vb[valor],
  m.vb[nucleo],$AJ$1,
  m.vb[variavel],AT$7,
  m.vb[mes],$A65
)</f>
        <v>0</v>
      </c>
      <c r="AU65" s="123">
        <f ca="1">SUMIFS(
  m.vb[valor],
  m.vb[nucleo],$AJ$1,
  m.vb[variavel],AU$7,
  m.vb[mes],$A65
)</f>
        <v>0</v>
      </c>
      <c r="AV65" s="122">
        <f>COUNTIFS(
    tb_estq[empresa], AV$6,
    tb_estq[Data da venda / reserva], "&gt;=" &amp; $A65,
    tb_estq[Data da venda / reserva], "&lt;"  &amp; EOMONTH($A65,0) + 1
)</f>
        <v>0</v>
      </c>
      <c r="AW65" s="123">
        <f ca="1">SUMIFS(tb_rec_uni[2026-03-01],
INDIRECT("tb_rec_uni[natureza]"),"pro.soluto",
INDIRECT("tb_rec_uni[empresa]"),AW$6)</f>
        <v>0</v>
      </c>
      <c r="AX65" s="123">
        <f ca="1">SUMIFS(tb_rec_uni[2026-03-01],
INDIRECT("tb_rec_uni[natureza]"),"repasse.cef.obra",
INDIRECT("tb_rec_uni[empresa]"),AX$6)</f>
        <v>0</v>
      </c>
      <c r="AY65" s="126">
        <f ca="1">SUMIFS(tb_rec_uni[2026-03-01],
INDIRECT("tb_rec_uni[natureza]"),"repasse.cef.terreno",
INDIRECT("tb_rec_uni[empresa]"),AY$6)</f>
        <v>0</v>
      </c>
      <c r="AZ65" s="126">
        <v>1245070.1599999999</v>
      </c>
      <c r="BA65" s="123">
        <f ca="1">SUMIFS(tb_rec_uni[2026-03-01],
INDIRECT("tb_rec_uni[natureza]"),"taxa.extra",
INDIRECT("tb_rec_uni[empresa]"),BA$6)</f>
        <v>0</v>
      </c>
      <c r="BB65" s="111"/>
      <c r="BC65" s="123">
        <f ca="1">SUMIFS(
  m.vb[valor],
  m.vb[nucleo],$AV$1,
  m.vb[variavel],BC$7,
  m.vb[mes],$A65
)</f>
        <v>0</v>
      </c>
      <c r="BD65" s="123">
        <f ca="1">SUMIFS(
  m.vb[valor],
  m.vb[nucleo],$AV$1,
  m.vb[variavel],BD$7,
  m.vb[mes],$A65
)</f>
        <v>0</v>
      </c>
      <c r="BE65" s="123">
        <f ca="1">SUMIFS(
  m.vb[valor],
  m.vb[nucleo],$AV$1,
  m.vb[variavel],BE$7,
  m.vb[mes],$A65
)</f>
        <v>0</v>
      </c>
      <c r="BF65" s="123">
        <f ca="1">SUMIFS(
  m.vb[valor],
  m.vb[nucleo],$AV$1,
  m.vb[variavel],BF$7,
  m.vb[mes],$A65
)</f>
        <v>0</v>
      </c>
      <c r="BG65" s="123">
        <f ca="1">SUMIFS(
  m.vb[valor],
  m.vb[nucleo],$AV$1,
  m.vb[variavel],BG$7,
  m.vb[mes],$A65
)</f>
        <v>0</v>
      </c>
      <c r="BH65" s="122">
        <f>COUNTIFS(
    tb_estq[empresa], BH$6,
    tb_estq[Data da venda / reserva], "&gt;=" &amp; $A65,
    tb_estq[Data da venda / reserva], "&lt;"  &amp; EOMONTH($A65,0) + 1
)</f>
        <v>0</v>
      </c>
      <c r="BI65" s="123">
        <f ca="1">SUMIFS(tb_rec_uni[2026-03-01],
INDIRECT("tb_rec_uni[natureza]"),"pro.soluto",
INDIRECT("tb_rec_uni[empresa]"),BI$6)</f>
        <v>0</v>
      </c>
      <c r="BJ65" s="127">
        <f>6.76*94736</f>
        <v>640415.36</v>
      </c>
      <c r="BK65" s="123">
        <f ca="1">SUMIFS(tb_rec_uni[2026-03-01],
INDIRECT("tb_rec_uni[natureza]"),"taxa.extra",
INDIRECT("tb_rec_uni[empresa]"),BK$6)</f>
        <v>0</v>
      </c>
      <c r="BL65" s="111"/>
      <c r="BM65" s="123">
        <f ca="1">SUMIFS(
  m.vb[valor],
  m.vb[nucleo],$BH$1,
  m.vb[variavel],BM$7,
  m.vb[mes],$A65
)</f>
        <v>0</v>
      </c>
      <c r="BN65" s="123">
        <f ca="1">SUMIFS(
  m.vb[valor],
  m.vb[nucleo],$BH$1,
  m.vb[variavel],BN$7,
  m.vb[mes],$A65
)</f>
        <v>0</v>
      </c>
      <c r="BO65" s="123">
        <f ca="1">SUMIFS(
  m.vb[valor],
  m.vb[nucleo],$BH$1,
  m.vb[variavel],BO$7,
  m.vb[mes],$A65
)</f>
        <v>0</v>
      </c>
      <c r="BP65" s="123">
        <f ca="1">SUMIFS(
  m.vb[valor],
  m.vb[nucleo],$BH$1,
  m.vb[variavel],BP$7,
  m.vb[mes],$A65
)</f>
        <v>0</v>
      </c>
      <c r="BQ65" s="123">
        <f ca="1">SUMIFS(
  m.vb[valor],
  m.vb[nucleo],$BH$1,
  m.vb[variavel],BQ$7,
  m.vb[mes],$A65
)</f>
        <v>0</v>
      </c>
      <c r="BR65" s="122">
        <f>COUNTIFS(
    tb_estq[empresa], BR$6,
    tb_estq[Data da venda / reserva], "&gt;=" &amp; $A65,
    tb_estq[Data da venda / reserva], "&lt;"  &amp; EOMONTH($A65,0) + 1
)</f>
        <v>0</v>
      </c>
      <c r="BS65" s="123">
        <f ca="1">SUMIFS(tb_rec_uni[2026-03-01],
INDIRECT("tb_rec_uni[natureza]"),"pro.soluto",
INDIRECT("tb_rec_uni[empresa]"),BS$6)</f>
        <v>0</v>
      </c>
      <c r="BT65" s="126">
        <f ca="1">SUMIFS(tb_rec_uni[2026-03-01],
INDIRECT("tb_rec_uni[natureza]"),"parcela.fin.total.ik",
INDIRECT("tb_rec_uni[empresa]"),BT$6)</f>
        <v>0</v>
      </c>
      <c r="BU65" s="123">
        <f ca="1">SUMIFS(tb_rec_uni[2026-03-01],
INDIRECT("tb_rec_uni[natureza]"),"taxa.extra",
INDIRECT("tb_rec_uni[empresa]"),BU$6)</f>
        <v>0</v>
      </c>
      <c r="BV65" s="111"/>
      <c r="BW65" s="123">
        <f ca="1">SUMIFS(
  m.vb[valor],
  m.vb[nucleo],$BR$1,
  m.vb[variavel],BW$7,
  m.vb[mes],$A65
)</f>
        <v>0</v>
      </c>
      <c r="BX65" s="123">
        <f ca="1">SUMIFS(
  m.vb[valor],
  m.vb[nucleo],$BR$1,
  m.vb[variavel],BX$7,
  m.vb[mes],$A65
)</f>
        <v>0</v>
      </c>
      <c r="BY65" s="123">
        <f ca="1">SUMIFS(
  m.vb[valor],
  m.vb[nucleo],$BR$1,
  m.vb[variavel],BY$7,
  m.vb[mes],$A65
)</f>
        <v>0</v>
      </c>
      <c r="BZ65" s="123">
        <f ca="1">SUMIFS(
  m.vb[valor],
  m.vb[nucleo],$BR$1,
  m.vb[variavel],BZ$7,
  m.vb[mes],$A65
)</f>
        <v>0</v>
      </c>
      <c r="CA65" s="123">
        <f ca="1">SUMIFS(
  m.vb[valor],
  m.vb[nucleo],$BR$1,
  m.vb[variavel],CA$7,
  m.vb[mes],$A65
)</f>
        <v>0</v>
      </c>
      <c r="CB65" s="122">
        <f>COUNTIFS(
    tb_estq[empresa], CB$6,
    tb_estq[Data da venda / reserva], "&gt;=" &amp; $A65,
    tb_estq[Data da venda / reserva], "&lt;"  &amp; EOMONTH($A65,0) + 1
)</f>
        <v>0</v>
      </c>
      <c r="CC65" s="123">
        <f ca="1">SUMIFS(tb_rec_uni[2026-03-01],
INDIRECT("tb_rec_uni[natureza]"),"pro.soluto",
INDIRECT("tb_rec_uni[empresa]"),CC$6)</f>
        <v>0</v>
      </c>
      <c r="CD65" s="123">
        <f ca="1">SUMIFS(tb_rec_uni[2026-03-01],
INDIRECT("tb_rec_uni[natureza]"),"repasse.cef.obra",
INDIRECT("tb_rec_uni[empresa]"),CD$6)</f>
        <v>0</v>
      </c>
      <c r="CE65" s="126">
        <f ca="1">SUMIFS(tb_rec_uni[2026-03-01],
INDIRECT("tb_rec_uni[natureza]"),"repasse.cef.terreno",
INDIRECT("tb_rec_uni[empresa]"),CE$6)</f>
        <v>0</v>
      </c>
      <c r="CF65" s="126">
        <v>472296.31</v>
      </c>
      <c r="CG65" s="123">
        <f ca="1">SUMIFS(tb_rec_uni[2026-03-01],
INDIRECT("tb_rec_uni[natureza]"),"taxa.extra",
INDIRECT("tb_rec_uni[empresa]"),CG$6)</f>
        <v>0</v>
      </c>
      <c r="CH65" s="111"/>
      <c r="CI65" s="123">
        <f ca="1">SUMIFS(
  m.vb[valor],
  m.vb[nucleo],$CB$1,
  m.vb[variavel],CI$7,
  m.vb[mes],$A65
)</f>
        <v>0</v>
      </c>
      <c r="CJ65" s="123">
        <f ca="1">SUMIFS(
  m.vb[valor],
  m.vb[nucleo],$CB$1,
  m.vb[variavel],CJ$7,
  m.vb[mes],$A65
)</f>
        <v>0</v>
      </c>
      <c r="CK65" s="123">
        <f ca="1">SUMIFS(
  m.vb[valor],
  m.vb[nucleo],$CB$1,
  m.vb[variavel],CK$7,
  m.vb[mes],$A65
)</f>
        <v>0</v>
      </c>
      <c r="CL65" s="123">
        <f ca="1">SUMIFS(
  m.vb[valor],
  m.vb[nucleo],$CB$1,
  m.vb[variavel],CL$7,
  m.vb[mes],$A65
)</f>
        <v>0</v>
      </c>
      <c r="CM65" s="123">
        <f ca="1">SUMIFS(
  m.vb[valor],
  m.vb[nucleo],$CB$1,
  m.vb[variavel],CM$7,
  m.vb[mes],$A65
)</f>
        <v>0</v>
      </c>
      <c r="CN65" s="122">
        <f>COUNTIFS(
    tb_estq[empresa], CN$6,
    tb_estq[Data da venda / reserva], "&gt;=" &amp; $A65,
    tb_estq[Data da venda / reserva], "&lt;"  &amp; EOMONTH($A65,0) + 1
)</f>
        <v>0</v>
      </c>
      <c r="CO65" s="123">
        <f ca="1">SUMIFS(tb_rec_uni[2026-03-01],
INDIRECT("tb_rec_uni[natureza]"),"pro.soluto",
INDIRECT("tb_rec_uni[empresa]"),CO$6)</f>
        <v>0</v>
      </c>
      <c r="CP65" s="123">
        <f ca="1">SUMIFS(tb_rec_uni[2026-03-01],
INDIRECT("tb_rec_uni[natureza]"),"repasse.cef.obra",
INDIRECT("tb_rec_uni[empresa]"),CP$6)</f>
        <v>0</v>
      </c>
      <c r="CQ65" s="126">
        <f ca="1">SUMIFS(tb_rec_uni[2026-03-01],
INDIRECT("tb_rec_uni[natureza]"),"repasse.cef.terreno",
INDIRECT("tb_rec_uni[empresa]"),CQ$6)</f>
        <v>0</v>
      </c>
      <c r="CR65" s="126">
        <v>0</v>
      </c>
      <c r="CS65" s="123">
        <f ca="1">SUMIFS(tb_rec_uni[2026-03-01],
INDIRECT("tb_rec_uni[natureza]"),"taxa.extra",
INDIRECT("tb_rec_uni[empresa]"),CS$6)</f>
        <v>0</v>
      </c>
      <c r="CT65" s="111"/>
      <c r="CU65" s="123">
        <f ca="1">SUMIFS(
  m.vb[valor],
  m.vb[nucleo],$CN$1,
  m.vb[variavel],CU$7,
  m.vb[mes],$A65
)</f>
        <v>0</v>
      </c>
      <c r="CV65" s="123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3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3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3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21">
        <v>46113</v>
      </c>
      <c r="B66" s="122">
        <f>COUNTIFS(
    tb_estq[empresa], B$6,
    tb_estq[Data da venda / reserva], "&gt;=" &amp; $A66,
    tb_estq[Data da venda / reserva], "&lt;"  &amp; EOMONTH($A66,0) + 1
)</f>
        <v>0</v>
      </c>
      <c r="C66" s="123">
        <f ca="1">SUMIFS(tb_rec_uni[2026-04-01],
INDIRECT("tb_rec_uni[natureza]"),"pro.soluto",
INDIRECT("tb_rec_uni[empresa]"),C$6)</f>
        <v>0</v>
      </c>
      <c r="D66" s="123">
        <f ca="1">SUMIFS(tb_rec_uni[2026-04-01],
INDIRECT("tb_rec_uni[natureza]"),"repasse.cef.obra",
INDIRECT("tb_rec_uni[empresa]"),D$6)</f>
        <v>0</v>
      </c>
      <c r="E66" s="123">
        <f ca="1">SUMIFS(tb_rec_uni[2026-04-01],
INDIRECT("tb_rec_uni[natureza]"),"repasse.cef.terreno",
INDIRECT("tb_rec_uni[empresa]"),E$6)</f>
        <v>0</v>
      </c>
      <c r="F66" s="126">
        <v>0</v>
      </c>
      <c r="G66" s="123">
        <f ca="1">SUMIFS(tb_rec_uni[2026-04-01],
INDIRECT("tb_rec_uni[natureza]"),"taxa.extra",
INDIRECT("tb_rec_uni[empresa]"),G$6)</f>
        <v>0</v>
      </c>
      <c r="H66" s="111"/>
      <c r="I66" s="123">
        <f ca="1">SUMIFS(
  m.vb[valor],
  m.vb[nucleo],$B$1,
  m.vb[variavel],I$7,
  m.vb[mes],$A66
)</f>
        <v>0</v>
      </c>
      <c r="J66" s="123">
        <f ca="1">SUMIFS(
  m.vb[valor],
  m.vb[nucleo],$B$1,
  m.vb[variavel],J$7,
  m.vb[mes],$A66
)</f>
        <v>0</v>
      </c>
      <c r="K66" s="123">
        <f ca="1">SUMIFS(
  m.vb[valor],
  m.vb[nucleo],$B$1,
  m.vb[variavel],K$7,
  m.vb[mes],$A66
)</f>
        <v>0</v>
      </c>
      <c r="L66" s="123">
        <f ca="1">SUMIFS(
  m.vb[valor],
  m.vb[nucleo],$B$1,
  m.vb[variavel],L$7,
  m.vb[mes],$A66
)</f>
        <v>0</v>
      </c>
      <c r="M66" s="123">
        <f ca="1">SUMIFS(
  m.vb[valor],
  m.vb[nucleo],$B$1,
  m.vb[variavel],M$7,
  m.vb[mes],$A66
)</f>
        <v>0</v>
      </c>
      <c r="N66" s="122">
        <f>COUNTIFS(
    tb_estq[empresa], N$6,
    tb_estq[Data da venda / reserva], "&gt;=" &amp; $A66,
    tb_estq[Data da venda / reserva], "&lt;"  &amp; EOMONTH($A66,0) + 1
)</f>
        <v>0</v>
      </c>
      <c r="O66" s="123">
        <f ca="1">SUMIFS(tb_rec_uni[2026-04-01],
INDIRECT("tb_rec_uni[natureza]"),"pro.soluto",
INDIRECT("tb_rec_uni[empresa]"),O$6)</f>
        <v>0</v>
      </c>
      <c r="P66" s="123">
        <f ca="1">SUMIFS(tb_rec_uni[2026-04-01],
INDIRECT("tb_rec_uni[natureza]"),"repasse.cef.obra",
INDIRECT("tb_rec_uni[empresa]"),P$6)</f>
        <v>0</v>
      </c>
      <c r="Q66" s="123">
        <f ca="1">SUMIFS(tb_rec_uni[2026-04-01],
INDIRECT("tb_rec_uni[natureza]"),"repasse.cef.terreno",
INDIRECT("tb_rec_uni[empresa]"),Q$6)</f>
        <v>0</v>
      </c>
      <c r="R66" s="126">
        <v>0</v>
      </c>
      <c r="S66" s="123">
        <f ca="1">SUMIFS(tb_rec_uni[2026-04-01],
INDIRECT("tb_rec_uni[natureza]"),"taxa.extra",
INDIRECT("tb_rec_uni[empresa]"),S$6)</f>
        <v>0</v>
      </c>
      <c r="T66" s="111"/>
      <c r="U66" s="123">
        <f ca="1">SUMIFS(
  m.vb[valor],
  m.vb[nucleo],$N$1,
  m.vb[variavel],U$7,
  m.vb[mes],$A66
)</f>
        <v>0</v>
      </c>
      <c r="V66" s="123">
        <f ca="1">SUMIFS(
  m.vb[valor],
  m.vb[nucleo],$N$1,
  m.vb[variavel],V$7,
  m.vb[mes],$A66
)</f>
        <v>0</v>
      </c>
      <c r="W66" s="123">
        <f ca="1">SUMIFS(
  m.vb[valor],
  m.vb[nucleo],$N$1,
  m.vb[variavel],W$7,
  m.vb[mes],$A66
)</f>
        <v>0</v>
      </c>
      <c r="X66" s="123">
        <f ca="1">SUMIFS(
  m.vb[valor],
  m.vb[nucleo],$N$1,
  m.vb[variavel],X$7,
  m.vb[mes],$A66
)</f>
        <v>0</v>
      </c>
      <c r="Y66" s="123">
        <f ca="1">SUMIFS(
  m.vb[valor],
  m.vb[nucleo],$N$1,
  m.vb[variavel],Y$7,
  m.vb[mes],$A66
)</f>
        <v>0</v>
      </c>
      <c r="Z66" s="122">
        <f>COUNTIFS(
    tb_estq[empresa], Z$6,
    tb_estq[Data da venda / reserva], "&gt;=" &amp; $A66,
    tb_estq[Data da venda / reserva], "&lt;"  &amp; EOMONTH($A66,0) + 1
)</f>
        <v>0</v>
      </c>
      <c r="AA66" s="123">
        <f ca="1">SUMIFS(tb_rec_uni[2026-04-01],
INDIRECT("tb_rec_uni[natureza]"),"pro.soluto",
INDIRECT("tb_rec_uni[empresa]"),AA$6)</f>
        <v>0</v>
      </c>
      <c r="AB66" s="126">
        <f ca="1">SUMIFS(tb_rec_uni[2026-04-01],
INDIRECT("tb_rec_uni[natureza]"),"parcela.fin.total.ik",
INDIRECT("tb_rec_uni[empresa]"),AB$6)</f>
        <v>0</v>
      </c>
      <c r="AC66" s="123">
        <f ca="1">SUMIFS(tb_rec_uni[2026-04-01],
INDIRECT("tb_rec_uni[natureza]"),"taxa.extra",
INDIRECT("tb_rec_uni[empresa]"),AC$6)</f>
        <v>0</v>
      </c>
      <c r="AD66" s="111"/>
      <c r="AE66" s="123">
        <f ca="1">SUMIFS(
  m.vb[valor],
  m.vb[nucleo],$Z$1,
  m.vb[variavel],AE$7,
  m.vb[mes],$A66
)</f>
        <v>0</v>
      </c>
      <c r="AF66" s="123">
        <f ca="1">SUMIFS(
  m.vb[valor],
  m.vb[nucleo],$Z$1,
  m.vb[variavel],AF$7,
  m.vb[mes],$A66
)</f>
        <v>0</v>
      </c>
      <c r="AG66" s="123">
        <f ca="1">SUMIFS(
  m.vb[valor],
  m.vb[nucleo],$Z$1,
  m.vb[variavel],AG$7,
  m.vb[mes],$A66
)</f>
        <v>0</v>
      </c>
      <c r="AH66" s="123">
        <f ca="1">SUMIFS(
  m.vb[valor],
  m.vb[nucleo],$Z$1,
  m.vb[variavel],AH$7,
  m.vb[mes],$A66
)</f>
        <v>0</v>
      </c>
      <c r="AI66" s="123">
        <f ca="1">SUMIFS(
  m.vb[valor],
  m.vb[nucleo],$Z$1,
  m.vb[variavel],AI$7,
  m.vb[mes],$A66
)</f>
        <v>0</v>
      </c>
      <c r="AJ66" s="122">
        <f>COUNTIFS(
    tb_estq[empresa], AJ$6,
    tb_estq[Data da venda / reserva], "&gt;=" &amp; $A66,
    tb_estq[Data da venda / reserva], "&lt;"  &amp; EOMONTH($A66,0) + 1
)</f>
        <v>0</v>
      </c>
      <c r="AK66" s="123">
        <f ca="1">SUMIFS(tb_rec_uni[2026-04-01],
INDIRECT("tb_rec_uni[natureza]"),"pro.soluto",
INDIRECT("tb_rec_uni[empresa]"),AK$6)</f>
        <v>0</v>
      </c>
      <c r="AL66" s="123">
        <f ca="1">SUMIFS(tb_rec_uni[2026-04-01],
INDIRECT("tb_rec_uni[natureza]"),"repasse.cef.obra",
INDIRECT("tb_rec_uni[empresa]"),AL$6)</f>
        <v>0</v>
      </c>
      <c r="AM66" s="126">
        <f ca="1">SUMIFS(tb_rec_uni[2026-04-01],
INDIRECT("tb_rec_uni[natureza]"),"repasse.cef.terreno",
INDIRECT("tb_rec_uni[empresa]"),AM$6)</f>
        <v>0</v>
      </c>
      <c r="AN66" s="126">
        <v>0</v>
      </c>
      <c r="AO66" s="123">
        <f ca="1">SUMIFS(tb_rec_uni[2026-04-01],
INDIRECT("tb_rec_uni[natureza]"),"taxa.extra",
INDIRECT("tb_rec_uni[empresa]"),AO$6)</f>
        <v>0</v>
      </c>
      <c r="AP66" s="111"/>
      <c r="AQ66" s="123">
        <f ca="1">SUMIFS(
  m.vb[valor],
  m.vb[nucleo],$AJ$1,
  m.vb[variavel],AQ$7,
  m.vb[mes],$A66
)</f>
        <v>0</v>
      </c>
      <c r="AR66" s="123">
        <f ca="1">SUMIFS(
  m.vb[valor],
  m.vb[nucleo],$AJ$1,
  m.vb[variavel],AR$7,
  m.vb[mes],$A66
)</f>
        <v>0</v>
      </c>
      <c r="AS66" s="123">
        <f ca="1">SUMIFS(
  m.vb[valor],
  m.vb[nucleo],$AJ$1,
  m.vb[variavel],AS$7,
  m.vb[mes],$A66
)</f>
        <v>0</v>
      </c>
      <c r="AT66" s="123">
        <f ca="1">SUMIFS(
  m.vb[valor],
  m.vb[nucleo],$AJ$1,
  m.vb[variavel],AT$7,
  m.vb[mes],$A66
)</f>
        <v>0</v>
      </c>
      <c r="AU66" s="123">
        <f ca="1">SUMIFS(
  m.vb[valor],
  m.vb[nucleo],$AJ$1,
  m.vb[variavel],AU$7,
  m.vb[mes],$A66
)</f>
        <v>0</v>
      </c>
      <c r="AV66" s="122">
        <f>COUNTIFS(
    tb_estq[empresa], AV$6,
    tb_estq[Data da venda / reserva], "&gt;=" &amp; $A66,
    tb_estq[Data da venda / reserva], "&lt;"  &amp; EOMONTH($A66,0) + 1
)</f>
        <v>0</v>
      </c>
      <c r="AW66" s="123">
        <f ca="1">SUMIFS(tb_rec_uni[2026-04-01],
INDIRECT("tb_rec_uni[natureza]"),"pro.soluto",
INDIRECT("tb_rec_uni[empresa]"),AW$6)</f>
        <v>0</v>
      </c>
      <c r="AX66" s="123">
        <f ca="1">SUMIFS(tb_rec_uni[2026-04-01],
INDIRECT("tb_rec_uni[natureza]"),"repasse.cef.obra",
INDIRECT("tb_rec_uni[empresa]"),AX$6)</f>
        <v>0</v>
      </c>
      <c r="AY66" s="126">
        <f ca="1">SUMIFS(tb_rec_uni[2026-04-01],
INDIRECT("tb_rec_uni[natureza]"),"repasse.cef.terreno",
INDIRECT("tb_rec_uni[empresa]"),AY$6)</f>
        <v>0</v>
      </c>
      <c r="AZ66" s="126">
        <v>465160.57</v>
      </c>
      <c r="BA66" s="123">
        <f ca="1">SUMIFS(tb_rec_uni[2026-04-01],
INDIRECT("tb_rec_uni[natureza]"),"taxa.extra",
INDIRECT("tb_rec_uni[empresa]"),BA$6)</f>
        <v>0</v>
      </c>
      <c r="BB66" s="111"/>
      <c r="BC66" s="123">
        <f ca="1">SUMIFS(
  m.vb[valor],
  m.vb[nucleo],$AV$1,
  m.vb[variavel],BC$7,
  m.vb[mes],$A66
)</f>
        <v>0</v>
      </c>
      <c r="BD66" s="123">
        <f ca="1">SUMIFS(
  m.vb[valor],
  m.vb[nucleo],$AV$1,
  m.vb[variavel],BD$7,
  m.vb[mes],$A66
)</f>
        <v>0</v>
      </c>
      <c r="BE66" s="123">
        <f ca="1">SUMIFS(
  m.vb[valor],
  m.vb[nucleo],$AV$1,
  m.vb[variavel],BE$7,
  m.vb[mes],$A66
)</f>
        <v>0</v>
      </c>
      <c r="BF66" s="123">
        <f ca="1">SUMIFS(
  m.vb[valor],
  m.vb[nucleo],$AV$1,
  m.vb[variavel],BF$7,
  m.vb[mes],$A66
)</f>
        <v>0</v>
      </c>
      <c r="BG66" s="123">
        <f ca="1">SUMIFS(
  m.vb[valor],
  m.vb[nucleo],$AV$1,
  m.vb[variavel],BG$7,
  m.vb[mes],$A66
)</f>
        <v>0</v>
      </c>
      <c r="BH66" s="122">
        <f>COUNTIFS(
    tb_estq[empresa], BH$6,
    tb_estq[Data da venda / reserva], "&gt;=" &amp; $A66,
    tb_estq[Data da venda / reserva], "&lt;"  &amp; EOMONTH($A66,0) + 1
)</f>
        <v>0</v>
      </c>
      <c r="BI66" s="123">
        <f ca="1">SUMIFS(tb_rec_uni[2026-04-01],
INDIRECT("tb_rec_uni[natureza]"),"pro.soluto",
INDIRECT("tb_rec_uni[empresa]"),BI$6)</f>
        <v>0</v>
      </c>
      <c r="BJ66" s="127">
        <f>4.11*94736</f>
        <v>389364.96</v>
      </c>
      <c r="BK66" s="123">
        <f ca="1">SUMIFS(tb_rec_uni[2026-04-01],
INDIRECT("tb_rec_uni[natureza]"),"taxa.extra",
INDIRECT("tb_rec_uni[empresa]"),BK$6)</f>
        <v>0</v>
      </c>
      <c r="BL66" s="111"/>
      <c r="BM66" s="123">
        <f ca="1">SUMIFS(
  m.vb[valor],
  m.vb[nucleo],$BH$1,
  m.vb[variavel],BM$7,
  m.vb[mes],$A66
)</f>
        <v>0</v>
      </c>
      <c r="BN66" s="123">
        <f ca="1">SUMIFS(
  m.vb[valor],
  m.vb[nucleo],$BH$1,
  m.vb[variavel],BN$7,
  m.vb[mes],$A66
)</f>
        <v>0</v>
      </c>
      <c r="BO66" s="123">
        <f ca="1">SUMIFS(
  m.vb[valor],
  m.vb[nucleo],$BH$1,
  m.vb[variavel],BO$7,
  m.vb[mes],$A66
)</f>
        <v>0</v>
      </c>
      <c r="BP66" s="123">
        <f ca="1">SUMIFS(
  m.vb[valor],
  m.vb[nucleo],$BH$1,
  m.vb[variavel],BP$7,
  m.vb[mes],$A66
)</f>
        <v>0</v>
      </c>
      <c r="BQ66" s="123">
        <f ca="1">SUMIFS(
  m.vb[valor],
  m.vb[nucleo],$BH$1,
  m.vb[variavel],BQ$7,
  m.vb[mes],$A66
)</f>
        <v>0</v>
      </c>
      <c r="BR66" s="122">
        <f>COUNTIFS(
    tb_estq[empresa], BR$6,
    tb_estq[Data da venda / reserva], "&gt;=" &amp; $A66,
    tb_estq[Data da venda / reserva], "&lt;"  &amp; EOMONTH($A66,0) + 1
)</f>
        <v>0</v>
      </c>
      <c r="BS66" s="123">
        <f ca="1">SUMIFS(tb_rec_uni[2026-04-01],
INDIRECT("tb_rec_uni[natureza]"),"pro.soluto",
INDIRECT("tb_rec_uni[empresa]"),BS$6)</f>
        <v>0</v>
      </c>
      <c r="BT66" s="126">
        <f ca="1">SUMIFS(tb_rec_uni[2026-04-01],
INDIRECT("tb_rec_uni[natureza]"),"parcela.fin.total.ik",
INDIRECT("tb_rec_uni[empresa]"),BT$6)</f>
        <v>0</v>
      </c>
      <c r="BU66" s="123">
        <f ca="1">SUMIFS(tb_rec_uni[2026-04-01],
INDIRECT("tb_rec_uni[natureza]"),"taxa.extra",
INDIRECT("tb_rec_uni[empresa]"),BU$6)</f>
        <v>0</v>
      </c>
      <c r="BV66" s="111"/>
      <c r="BW66" s="123">
        <f ca="1">SUMIFS(
  m.vb[valor],
  m.vb[nucleo],$BR$1,
  m.vb[variavel],BW$7,
  m.vb[mes],$A66
)</f>
        <v>0</v>
      </c>
      <c r="BX66" s="123">
        <f ca="1">SUMIFS(
  m.vb[valor],
  m.vb[nucleo],$BR$1,
  m.vb[variavel],BX$7,
  m.vb[mes],$A66
)</f>
        <v>0</v>
      </c>
      <c r="BY66" s="123">
        <f ca="1">SUMIFS(
  m.vb[valor],
  m.vb[nucleo],$BR$1,
  m.vb[variavel],BY$7,
  m.vb[mes],$A66
)</f>
        <v>0</v>
      </c>
      <c r="BZ66" s="123">
        <f ca="1">SUMIFS(
  m.vb[valor],
  m.vb[nucleo],$BR$1,
  m.vb[variavel],BZ$7,
  m.vb[mes],$A66
)</f>
        <v>0</v>
      </c>
      <c r="CA66" s="123">
        <f ca="1">SUMIFS(
  m.vb[valor],
  m.vb[nucleo],$BR$1,
  m.vb[variavel],CA$7,
  m.vb[mes],$A66
)</f>
        <v>0</v>
      </c>
      <c r="CB66" s="122">
        <f>COUNTIFS(
    tb_estq[empresa], CB$6,
    tb_estq[Data da venda / reserva], "&gt;=" &amp; $A66,
    tb_estq[Data da venda / reserva], "&lt;"  &amp; EOMONTH($A66,0) + 1
)</f>
        <v>0</v>
      </c>
      <c r="CC66" s="123">
        <f ca="1">SUMIFS(tb_rec_uni[2026-04-01],
INDIRECT("tb_rec_uni[natureza]"),"pro.soluto",
INDIRECT("tb_rec_uni[empresa]"),CC$6)</f>
        <v>0</v>
      </c>
      <c r="CD66" s="123">
        <f ca="1">SUMIFS(tb_rec_uni[2026-04-01],
INDIRECT("tb_rec_uni[natureza]"),"repasse.cef.obra",
INDIRECT("tb_rec_uni[empresa]"),CD$6)</f>
        <v>0</v>
      </c>
      <c r="CE66" s="126">
        <f ca="1">SUMIFS(tb_rec_uni[2026-04-01],
INDIRECT("tb_rec_uni[natureza]"),"repasse.cef.terreno",
INDIRECT("tb_rec_uni[empresa]"),CE$6)</f>
        <v>0</v>
      </c>
      <c r="CF66" s="126">
        <v>437711.45</v>
      </c>
      <c r="CG66" s="123">
        <f ca="1">SUMIFS(tb_rec_uni[2026-04-01],
INDIRECT("tb_rec_uni[natureza]"),"taxa.extra",
INDIRECT("tb_rec_uni[empresa]"),CG$6)</f>
        <v>0</v>
      </c>
      <c r="CH66" s="111"/>
      <c r="CI66" s="123">
        <f ca="1">SUMIFS(
  m.vb[valor],
  m.vb[nucleo],$CB$1,
  m.vb[variavel],CI$7,
  m.vb[mes],$A66
)</f>
        <v>0</v>
      </c>
      <c r="CJ66" s="123">
        <f ca="1">SUMIFS(
  m.vb[valor],
  m.vb[nucleo],$CB$1,
  m.vb[variavel],CJ$7,
  m.vb[mes],$A66
)</f>
        <v>0</v>
      </c>
      <c r="CK66" s="123">
        <f ca="1">SUMIFS(
  m.vb[valor],
  m.vb[nucleo],$CB$1,
  m.vb[variavel],CK$7,
  m.vb[mes],$A66
)</f>
        <v>0</v>
      </c>
      <c r="CL66" s="123">
        <f ca="1">SUMIFS(
  m.vb[valor],
  m.vb[nucleo],$CB$1,
  m.vb[variavel],CL$7,
  m.vb[mes],$A66
)</f>
        <v>0</v>
      </c>
      <c r="CM66" s="123">
        <f ca="1">SUMIFS(
  m.vb[valor],
  m.vb[nucleo],$CB$1,
  m.vb[variavel],CM$7,
  m.vb[mes],$A66
)</f>
        <v>0</v>
      </c>
      <c r="CN66" s="122">
        <f>COUNTIFS(
    tb_estq[empresa], CN$6,
    tb_estq[Data da venda / reserva], "&gt;=" &amp; $A66,
    tb_estq[Data da venda / reserva], "&lt;"  &amp; EOMONTH($A66,0) + 1
)</f>
        <v>0</v>
      </c>
      <c r="CO66" s="123">
        <f ca="1">SUMIFS(tb_rec_uni[2026-04-01],
INDIRECT("tb_rec_uni[natureza]"),"pro.soluto",
INDIRECT("tb_rec_uni[empresa]"),CO$6)</f>
        <v>0</v>
      </c>
      <c r="CP66" s="123">
        <f ca="1">SUMIFS(tb_rec_uni[2026-04-01],
INDIRECT("tb_rec_uni[natureza]"),"repasse.cef.obra",
INDIRECT("tb_rec_uni[empresa]"),CP$6)</f>
        <v>0</v>
      </c>
      <c r="CQ66" s="126">
        <f ca="1">SUMIFS(tb_rec_uni[2026-04-01],
INDIRECT("tb_rec_uni[natureza]"),"repasse.cef.terreno",
INDIRECT("tb_rec_uni[empresa]"),CQ$6)</f>
        <v>0</v>
      </c>
      <c r="CR66" s="126">
        <v>0</v>
      </c>
      <c r="CS66" s="123">
        <f ca="1">SUMIFS(tb_rec_uni[2026-04-01],
INDIRECT("tb_rec_uni[natureza]"),"taxa.extra",
INDIRECT("tb_rec_uni[empresa]"),CS$6)</f>
        <v>0</v>
      </c>
      <c r="CT66" s="111"/>
      <c r="CU66" s="123">
        <f ca="1">SUMIFS(
  m.vb[valor],
  m.vb[nucleo],$CN$1,
  m.vb[variavel],CU$7,
  m.vb[mes],$A66
)</f>
        <v>0</v>
      </c>
      <c r="CV66" s="123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3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3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3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21">
        <v>46143</v>
      </c>
      <c r="B67" s="122">
        <f>COUNTIFS(
    tb_estq[empresa], B$6,
    tb_estq[Data da venda / reserva], "&gt;=" &amp; $A67,
    tb_estq[Data da venda / reserva], "&lt;"  &amp; EOMONTH($A67,0) + 1
)</f>
        <v>0</v>
      </c>
      <c r="C67" s="123">
        <f ca="1">SUMIFS(tb_rec_uni[2026-05-01],
INDIRECT("tb_rec_uni[natureza]"),"pro.soluto",
INDIRECT("tb_rec_uni[empresa]"),C$6)</f>
        <v>0</v>
      </c>
      <c r="D67" s="123">
        <f ca="1">SUMIFS(tb_rec_uni[2026-05-01],
INDIRECT("tb_rec_uni[natureza]"),"repasse.cef.obra",
INDIRECT("tb_rec_uni[empresa]"),D$6)</f>
        <v>0</v>
      </c>
      <c r="E67" s="123">
        <f ca="1">SUMIFS(tb_rec_uni[2026-05-01],
INDIRECT("tb_rec_uni[natureza]"),"repasse.cef.terreno",
INDIRECT("tb_rec_uni[empresa]"),E$6)</f>
        <v>0</v>
      </c>
      <c r="F67" s="126">
        <v>0</v>
      </c>
      <c r="G67" s="123">
        <f ca="1">SUMIFS(tb_rec_uni[2026-05-01],
INDIRECT("tb_rec_uni[natureza]"),"taxa.extra",
INDIRECT("tb_rec_uni[empresa]"),G$6)</f>
        <v>0</v>
      </c>
      <c r="H67" s="111"/>
      <c r="I67" s="123">
        <f ca="1">SUMIFS(
  m.vb[valor],
  m.vb[nucleo],$B$1,
  m.vb[variavel],I$7,
  m.vb[mes],$A67
)</f>
        <v>0</v>
      </c>
      <c r="J67" s="123">
        <f ca="1">SUMIFS(
  m.vb[valor],
  m.vb[nucleo],$B$1,
  m.vb[variavel],J$7,
  m.vb[mes],$A67
)</f>
        <v>0</v>
      </c>
      <c r="K67" s="123">
        <f ca="1">SUMIFS(
  m.vb[valor],
  m.vb[nucleo],$B$1,
  m.vb[variavel],K$7,
  m.vb[mes],$A67
)</f>
        <v>0</v>
      </c>
      <c r="L67" s="123">
        <f ca="1">SUMIFS(
  m.vb[valor],
  m.vb[nucleo],$B$1,
  m.vb[variavel],L$7,
  m.vb[mes],$A67
)</f>
        <v>0</v>
      </c>
      <c r="M67" s="123">
        <f ca="1">SUMIFS(
  m.vb[valor],
  m.vb[nucleo],$B$1,
  m.vb[variavel],M$7,
  m.vb[mes],$A67
)</f>
        <v>0</v>
      </c>
      <c r="N67" s="122">
        <f>COUNTIFS(
    tb_estq[empresa], N$6,
    tb_estq[Data da venda / reserva], "&gt;=" &amp; $A67,
    tb_estq[Data da venda / reserva], "&lt;"  &amp; EOMONTH($A67,0) + 1
)</f>
        <v>0</v>
      </c>
      <c r="O67" s="123">
        <f ca="1">SUMIFS(tb_rec_uni[2026-05-01],
INDIRECT("tb_rec_uni[natureza]"),"pro.soluto",
INDIRECT("tb_rec_uni[empresa]"),O$6)</f>
        <v>0</v>
      </c>
      <c r="P67" s="123">
        <f ca="1">SUMIFS(tb_rec_uni[2026-05-01],
INDIRECT("tb_rec_uni[natureza]"),"repasse.cef.obra",
INDIRECT("tb_rec_uni[empresa]"),P$6)</f>
        <v>0</v>
      </c>
      <c r="Q67" s="123">
        <f ca="1">SUMIFS(tb_rec_uni[2026-05-01],
INDIRECT("tb_rec_uni[natureza]"),"repasse.cef.terreno",
INDIRECT("tb_rec_uni[empresa]"),Q$6)</f>
        <v>0</v>
      </c>
      <c r="R67" s="126">
        <v>0</v>
      </c>
      <c r="S67" s="123">
        <f ca="1">SUMIFS(tb_rec_uni[2026-05-01],
INDIRECT("tb_rec_uni[natureza]"),"taxa.extra",
INDIRECT("tb_rec_uni[empresa]"),S$6)</f>
        <v>0</v>
      </c>
      <c r="T67" s="111"/>
      <c r="U67" s="123">
        <f ca="1">SUMIFS(
  m.vb[valor],
  m.vb[nucleo],$N$1,
  m.vb[variavel],U$7,
  m.vb[mes],$A67
)</f>
        <v>0</v>
      </c>
      <c r="V67" s="123">
        <f ca="1">SUMIFS(
  m.vb[valor],
  m.vb[nucleo],$N$1,
  m.vb[variavel],V$7,
  m.vb[mes],$A67
)</f>
        <v>0</v>
      </c>
      <c r="W67" s="123">
        <f ca="1">SUMIFS(
  m.vb[valor],
  m.vb[nucleo],$N$1,
  m.vb[variavel],W$7,
  m.vb[mes],$A67
)</f>
        <v>0</v>
      </c>
      <c r="X67" s="123">
        <f ca="1">SUMIFS(
  m.vb[valor],
  m.vb[nucleo],$N$1,
  m.vb[variavel],X$7,
  m.vb[mes],$A67
)</f>
        <v>0</v>
      </c>
      <c r="Y67" s="123">
        <f ca="1">SUMIFS(
  m.vb[valor],
  m.vb[nucleo],$N$1,
  m.vb[variavel],Y$7,
  m.vb[mes],$A67
)</f>
        <v>0</v>
      </c>
      <c r="Z67" s="122">
        <f>COUNTIFS(
    tb_estq[empresa], Z$6,
    tb_estq[Data da venda / reserva], "&gt;=" &amp; $A67,
    tb_estq[Data da venda / reserva], "&lt;"  &amp; EOMONTH($A67,0) + 1
)</f>
        <v>0</v>
      </c>
      <c r="AA67" s="123">
        <f ca="1">SUMIFS(tb_rec_uni[2026-05-01],
INDIRECT("tb_rec_uni[natureza]"),"pro.soluto",
INDIRECT("tb_rec_uni[empresa]"),AA$6)</f>
        <v>0</v>
      </c>
      <c r="AB67" s="126">
        <f ca="1">SUMIFS(tb_rec_uni[2026-05-01],
INDIRECT("tb_rec_uni[natureza]"),"parcela.fin.total.ik",
INDIRECT("tb_rec_uni[empresa]"),AB$6)</f>
        <v>0</v>
      </c>
      <c r="AC67" s="123">
        <f ca="1">SUMIFS(tb_rec_uni[2026-05-01],
INDIRECT("tb_rec_uni[natureza]"),"taxa.extra",
INDIRECT("tb_rec_uni[empresa]"),AC$6)</f>
        <v>0</v>
      </c>
      <c r="AD67" s="111"/>
      <c r="AE67" s="123">
        <f ca="1">SUMIFS(
  m.vb[valor],
  m.vb[nucleo],$Z$1,
  m.vb[variavel],AE$7,
  m.vb[mes],$A67
)</f>
        <v>0</v>
      </c>
      <c r="AF67" s="123">
        <f ca="1">SUMIFS(
  m.vb[valor],
  m.vb[nucleo],$Z$1,
  m.vb[variavel],AF$7,
  m.vb[mes],$A67
)</f>
        <v>0</v>
      </c>
      <c r="AG67" s="123">
        <f ca="1">SUMIFS(
  m.vb[valor],
  m.vb[nucleo],$Z$1,
  m.vb[variavel],AG$7,
  m.vb[mes],$A67
)</f>
        <v>0</v>
      </c>
      <c r="AH67" s="123">
        <f ca="1">SUMIFS(
  m.vb[valor],
  m.vb[nucleo],$Z$1,
  m.vb[variavel],AH$7,
  m.vb[mes],$A67
)</f>
        <v>0</v>
      </c>
      <c r="AI67" s="123">
        <f ca="1">SUMIFS(
  m.vb[valor],
  m.vb[nucleo],$Z$1,
  m.vb[variavel],AI$7,
  m.vb[mes],$A67
)</f>
        <v>0</v>
      </c>
      <c r="AJ67" s="122">
        <f>COUNTIFS(
    tb_estq[empresa], AJ$6,
    tb_estq[Data da venda / reserva], "&gt;=" &amp; $A67,
    tb_estq[Data da venda / reserva], "&lt;"  &amp; EOMONTH($A67,0) + 1
)</f>
        <v>0</v>
      </c>
      <c r="AK67" s="123">
        <f ca="1">SUMIFS(tb_rec_uni[2026-05-01],
INDIRECT("tb_rec_uni[natureza]"),"pro.soluto",
INDIRECT("tb_rec_uni[empresa]"),AK$6)</f>
        <v>0</v>
      </c>
      <c r="AL67" s="123">
        <f ca="1">SUMIFS(tb_rec_uni[2026-05-01],
INDIRECT("tb_rec_uni[natureza]"),"repasse.cef.obra",
INDIRECT("tb_rec_uni[empresa]"),AL$6)</f>
        <v>0</v>
      </c>
      <c r="AM67" s="126">
        <f ca="1">SUMIFS(tb_rec_uni[2026-05-01],
INDIRECT("tb_rec_uni[natureza]"),"repasse.cef.terreno",
INDIRECT("tb_rec_uni[empresa]"),AM$6)</f>
        <v>0</v>
      </c>
      <c r="AN67" s="126">
        <v>434622.68</v>
      </c>
      <c r="AO67" s="123">
        <f ca="1">SUMIFS(tb_rec_uni[2026-05-01],
INDIRECT("tb_rec_uni[natureza]"),"taxa.extra",
INDIRECT("tb_rec_uni[empresa]"),AO$6)</f>
        <v>0</v>
      </c>
      <c r="AP67" s="111"/>
      <c r="AQ67" s="123">
        <f ca="1">SUMIFS(
  m.vb[valor],
  m.vb[nucleo],$AJ$1,
  m.vb[variavel],AQ$7,
  m.vb[mes],$A67
)</f>
        <v>0</v>
      </c>
      <c r="AR67" s="123">
        <f ca="1">SUMIFS(
  m.vb[valor],
  m.vb[nucleo],$AJ$1,
  m.vb[variavel],AR$7,
  m.vb[mes],$A67
)</f>
        <v>0</v>
      </c>
      <c r="AS67" s="123">
        <f ca="1">SUMIFS(
  m.vb[valor],
  m.vb[nucleo],$AJ$1,
  m.vb[variavel],AS$7,
  m.vb[mes],$A67
)</f>
        <v>0</v>
      </c>
      <c r="AT67" s="123">
        <f ca="1">SUMIFS(
  m.vb[valor],
  m.vb[nucleo],$AJ$1,
  m.vb[variavel],AT$7,
  m.vb[mes],$A67
)</f>
        <v>0</v>
      </c>
      <c r="AU67" s="123">
        <f ca="1">SUMIFS(
  m.vb[valor],
  m.vb[nucleo],$AJ$1,
  m.vb[variavel],AU$7,
  m.vb[mes],$A67
)</f>
        <v>0</v>
      </c>
      <c r="AV67" s="122">
        <f>COUNTIFS(
    tb_estq[empresa], AV$6,
    tb_estq[Data da venda / reserva], "&gt;=" &amp; $A67,
    tb_estq[Data da venda / reserva], "&lt;"  &amp; EOMONTH($A67,0) + 1
)</f>
        <v>0</v>
      </c>
      <c r="AW67" s="123">
        <f ca="1">SUMIFS(tb_rec_uni[2026-05-01],
INDIRECT("tb_rec_uni[natureza]"),"pro.soluto",
INDIRECT("tb_rec_uni[empresa]"),AW$6)</f>
        <v>0</v>
      </c>
      <c r="AX67" s="123">
        <f ca="1">SUMIFS(tb_rec_uni[2026-05-01],
INDIRECT("tb_rec_uni[natureza]"),"repasse.cef.obra",
INDIRECT("tb_rec_uni[empresa]"),AX$6)</f>
        <v>0</v>
      </c>
      <c r="AY67" s="126">
        <f ca="1">SUMIFS(tb_rec_uni[2026-05-01],
INDIRECT("tb_rec_uni[natureza]"),"repasse.cef.terreno",
INDIRECT("tb_rec_uni[empresa]"),AY$6)</f>
        <v>0</v>
      </c>
      <c r="AZ67" s="126">
        <v>919179.34</v>
      </c>
      <c r="BA67" s="123">
        <f ca="1">SUMIFS(tb_rec_uni[2026-05-01],
INDIRECT("tb_rec_uni[natureza]"),"taxa.extra",
INDIRECT("tb_rec_uni[empresa]"),BA$6)</f>
        <v>0</v>
      </c>
      <c r="BB67" s="111"/>
      <c r="BC67" s="123">
        <f ca="1">SUMIFS(
  m.vb[valor],
  m.vb[nucleo],$AV$1,
  m.vb[variavel],BC$7,
  m.vb[mes],$A67
)</f>
        <v>0</v>
      </c>
      <c r="BD67" s="123">
        <f ca="1">SUMIFS(
  m.vb[valor],
  m.vb[nucleo],$AV$1,
  m.vb[variavel],BD$7,
  m.vb[mes],$A67
)</f>
        <v>0</v>
      </c>
      <c r="BE67" s="123">
        <f ca="1">SUMIFS(
  m.vb[valor],
  m.vb[nucleo],$AV$1,
  m.vb[variavel],BE$7,
  m.vb[mes],$A67
)</f>
        <v>0</v>
      </c>
      <c r="BF67" s="123">
        <f ca="1">SUMIFS(
  m.vb[valor],
  m.vb[nucleo],$AV$1,
  m.vb[variavel],BF$7,
  m.vb[mes],$A67
)</f>
        <v>0</v>
      </c>
      <c r="BG67" s="123">
        <f ca="1">SUMIFS(
  m.vb[valor],
  m.vb[nucleo],$AV$1,
  m.vb[variavel],BG$7,
  m.vb[mes],$A67
)</f>
        <v>0</v>
      </c>
      <c r="BH67" s="122">
        <f>COUNTIFS(
    tb_estq[empresa], BH$6,
    tb_estq[Data da venda / reserva], "&gt;=" &amp; $A67,
    tb_estq[Data da venda / reserva], "&lt;"  &amp; EOMONTH($A67,0) + 1
)</f>
        <v>0</v>
      </c>
      <c r="BI67" s="123">
        <f ca="1">SUMIFS(tb_rec_uni[2026-05-01],
INDIRECT("tb_rec_uni[natureza]"),"pro.soluto",
INDIRECT("tb_rec_uni[empresa]"),BI$6)</f>
        <v>0</v>
      </c>
      <c r="BJ67" s="127">
        <f>5.98*94736</f>
        <v>566521.28</v>
      </c>
      <c r="BK67" s="123">
        <f ca="1">SUMIFS(tb_rec_uni[2026-05-01],
INDIRECT("tb_rec_uni[natureza]"),"taxa.extra",
INDIRECT("tb_rec_uni[empresa]"),BK$6)</f>
        <v>0</v>
      </c>
      <c r="BL67" s="111"/>
      <c r="BM67" s="123">
        <f ca="1">SUMIFS(
  m.vb[valor],
  m.vb[nucleo],$BH$1,
  m.vb[variavel],BM$7,
  m.vb[mes],$A67
)</f>
        <v>0</v>
      </c>
      <c r="BN67" s="123">
        <f ca="1">SUMIFS(
  m.vb[valor],
  m.vb[nucleo],$BH$1,
  m.vb[variavel],BN$7,
  m.vb[mes],$A67
)</f>
        <v>0</v>
      </c>
      <c r="BO67" s="123">
        <f ca="1">SUMIFS(
  m.vb[valor],
  m.vb[nucleo],$BH$1,
  m.vb[variavel],BO$7,
  m.vb[mes],$A67
)</f>
        <v>0</v>
      </c>
      <c r="BP67" s="123">
        <f ca="1">SUMIFS(
  m.vb[valor],
  m.vb[nucleo],$BH$1,
  m.vb[variavel],BP$7,
  m.vb[mes],$A67
)</f>
        <v>0</v>
      </c>
      <c r="BQ67" s="123">
        <f ca="1">SUMIFS(
  m.vb[valor],
  m.vb[nucleo],$BH$1,
  m.vb[variavel],BQ$7,
  m.vb[mes],$A67
)</f>
        <v>0</v>
      </c>
      <c r="BR67" s="122">
        <f>COUNTIFS(
    tb_estq[empresa], BR$6,
    tb_estq[Data da venda / reserva], "&gt;=" &amp; $A67,
    tb_estq[Data da venda / reserva], "&lt;"  &amp; EOMONTH($A67,0) + 1
)</f>
        <v>0</v>
      </c>
      <c r="BS67" s="123">
        <f ca="1">SUMIFS(tb_rec_uni[2026-05-01],
INDIRECT("tb_rec_uni[natureza]"),"pro.soluto",
INDIRECT("tb_rec_uni[empresa]"),BS$6)</f>
        <v>0</v>
      </c>
      <c r="BT67" s="126">
        <f ca="1">SUMIFS(tb_rec_uni[2026-05-01],
INDIRECT("tb_rec_uni[natureza]"),"parcela.fin.total.ik",
INDIRECT("tb_rec_uni[empresa]"),BT$6)</f>
        <v>0</v>
      </c>
      <c r="BU67" s="123">
        <f ca="1">SUMIFS(tb_rec_uni[2026-05-01],
INDIRECT("tb_rec_uni[natureza]"),"taxa.extra",
INDIRECT("tb_rec_uni[empresa]"),BU$6)</f>
        <v>0</v>
      </c>
      <c r="BV67" s="111"/>
      <c r="BW67" s="123">
        <f ca="1">SUMIFS(
  m.vb[valor],
  m.vb[nucleo],$BR$1,
  m.vb[variavel],BW$7,
  m.vb[mes],$A67
)</f>
        <v>0</v>
      </c>
      <c r="BX67" s="123">
        <f ca="1">SUMIFS(
  m.vb[valor],
  m.vb[nucleo],$BR$1,
  m.vb[variavel],BX$7,
  m.vb[mes],$A67
)</f>
        <v>0</v>
      </c>
      <c r="BY67" s="123">
        <f ca="1">SUMIFS(
  m.vb[valor],
  m.vb[nucleo],$BR$1,
  m.vb[variavel],BY$7,
  m.vb[mes],$A67
)</f>
        <v>0</v>
      </c>
      <c r="BZ67" s="123">
        <f ca="1">SUMIFS(
  m.vb[valor],
  m.vb[nucleo],$BR$1,
  m.vb[variavel],BZ$7,
  m.vb[mes],$A67
)</f>
        <v>0</v>
      </c>
      <c r="CA67" s="123">
        <f ca="1">SUMIFS(
  m.vb[valor],
  m.vb[nucleo],$BR$1,
  m.vb[variavel],CA$7,
  m.vb[mes],$A67
)</f>
        <v>0</v>
      </c>
      <c r="CB67" s="122">
        <f>COUNTIFS(
    tb_estq[empresa], CB$6,
    tb_estq[Data da venda / reserva], "&gt;=" &amp; $A67,
    tb_estq[Data da venda / reserva], "&lt;"  &amp; EOMONTH($A67,0) + 1
)</f>
        <v>0</v>
      </c>
      <c r="CC67" s="123">
        <f ca="1">SUMIFS(tb_rec_uni[2026-05-01],
INDIRECT("tb_rec_uni[natureza]"),"pro.soluto",
INDIRECT("tb_rec_uni[empresa]"),CC$6)</f>
        <v>0</v>
      </c>
      <c r="CD67" s="123">
        <f ca="1">SUMIFS(tb_rec_uni[2026-05-01],
INDIRECT("tb_rec_uni[natureza]"),"repasse.cef.obra",
INDIRECT("tb_rec_uni[empresa]"),CD$6)</f>
        <v>0</v>
      </c>
      <c r="CE67" s="126">
        <f ca="1">SUMIFS(tb_rec_uni[2026-05-01],
INDIRECT("tb_rec_uni[natureza]"),"repasse.cef.terreno",
INDIRECT("tb_rec_uni[empresa]"),CE$6)</f>
        <v>0</v>
      </c>
      <c r="CF67" s="126">
        <v>478515.22</v>
      </c>
      <c r="CG67" s="123">
        <f ca="1">SUMIFS(tb_rec_uni[2026-05-01],
INDIRECT("tb_rec_uni[natureza]"),"taxa.extra",
INDIRECT("tb_rec_uni[empresa]"),CG$6)</f>
        <v>0</v>
      </c>
      <c r="CH67" s="111"/>
      <c r="CI67" s="123">
        <f ca="1">SUMIFS(
  m.vb[valor],
  m.vb[nucleo],$CB$1,
  m.vb[variavel],CI$7,
  m.vb[mes],$A67
)</f>
        <v>0</v>
      </c>
      <c r="CJ67" s="123">
        <f ca="1">SUMIFS(
  m.vb[valor],
  m.vb[nucleo],$CB$1,
  m.vb[variavel],CJ$7,
  m.vb[mes],$A67
)</f>
        <v>0</v>
      </c>
      <c r="CK67" s="123">
        <f ca="1">SUMIFS(
  m.vb[valor],
  m.vb[nucleo],$CB$1,
  m.vb[variavel],CK$7,
  m.vb[mes],$A67
)</f>
        <v>0</v>
      </c>
      <c r="CL67" s="123">
        <f ca="1">SUMIFS(
  m.vb[valor],
  m.vb[nucleo],$CB$1,
  m.vb[variavel],CL$7,
  m.vb[mes],$A67
)</f>
        <v>0</v>
      </c>
      <c r="CM67" s="123">
        <f ca="1">SUMIFS(
  m.vb[valor],
  m.vb[nucleo],$CB$1,
  m.vb[variavel],CM$7,
  m.vb[mes],$A67
)</f>
        <v>0</v>
      </c>
      <c r="CN67" s="122">
        <f>COUNTIFS(
    tb_estq[empresa], CN$6,
    tb_estq[Data da venda / reserva], "&gt;=" &amp; $A67,
    tb_estq[Data da venda / reserva], "&lt;"  &amp; EOMONTH($A67,0) + 1
)</f>
        <v>0</v>
      </c>
      <c r="CO67" s="123">
        <f ca="1">SUMIFS(tb_rec_uni[2026-05-01],
INDIRECT("tb_rec_uni[natureza]"),"pro.soluto",
INDIRECT("tb_rec_uni[empresa]"),CO$6)</f>
        <v>0</v>
      </c>
      <c r="CP67" s="123">
        <f ca="1">SUMIFS(tb_rec_uni[2026-05-01],
INDIRECT("tb_rec_uni[natureza]"),"repasse.cef.obra",
INDIRECT("tb_rec_uni[empresa]"),CP$6)</f>
        <v>0</v>
      </c>
      <c r="CQ67" s="126">
        <f ca="1">SUMIFS(tb_rec_uni[2026-05-01],
INDIRECT("tb_rec_uni[natureza]"),"repasse.cef.terreno",
INDIRECT("tb_rec_uni[empresa]"),CQ$6)</f>
        <v>0</v>
      </c>
      <c r="CR67" s="126">
        <v>0</v>
      </c>
      <c r="CS67" s="123">
        <f ca="1">SUMIFS(tb_rec_uni[2026-05-01],
INDIRECT("tb_rec_uni[natureza]"),"taxa.extra",
INDIRECT("tb_rec_uni[empresa]"),CS$6)</f>
        <v>0</v>
      </c>
      <c r="CT67" s="111"/>
      <c r="CU67" s="123">
        <f ca="1">SUMIFS(
  m.vb[valor],
  m.vb[nucleo],$CN$1,
  m.vb[variavel],CU$7,
  m.vb[mes],$A67
)</f>
        <v>0</v>
      </c>
      <c r="CV67" s="123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3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3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3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21">
        <v>46174</v>
      </c>
      <c r="B68" s="122">
        <f>COUNTIFS(
    tb_estq[empresa], B$6,
    tb_estq[Data da venda / reserva], "&gt;=" &amp; $A68,
    tb_estq[Data da venda / reserva], "&lt;"  &amp; EOMONTH($A68,0) + 1
)</f>
        <v>0</v>
      </c>
      <c r="C68" s="123">
        <f ca="1">SUMIFS(tb_rec_uni[2026-06-01],
INDIRECT("tb_rec_uni[natureza]"),"pro.soluto",
INDIRECT("tb_rec_uni[empresa]"),C$6)</f>
        <v>0</v>
      </c>
      <c r="D68" s="123">
        <f ca="1">SUMIFS(tb_rec_uni[2026-06-01],
INDIRECT("tb_rec_uni[natureza]"),"repasse.cef.obra",
INDIRECT("tb_rec_uni[empresa]"),D$6)</f>
        <v>0</v>
      </c>
      <c r="E68" s="123">
        <f ca="1">SUMIFS(tb_rec_uni[2026-06-01],
INDIRECT("tb_rec_uni[natureza]"),"repasse.cef.terreno",
INDIRECT("tb_rec_uni[empresa]"),E$6)</f>
        <v>0</v>
      </c>
      <c r="F68" s="126">
        <v>207868.87</v>
      </c>
      <c r="G68" s="123">
        <f ca="1">SUMIFS(tb_rec_uni[2026-06-01],
INDIRECT("tb_rec_uni[natureza]"),"taxa.extra",
INDIRECT("tb_rec_uni[empresa]"),G$6)</f>
        <v>0</v>
      </c>
      <c r="H68" s="111"/>
      <c r="I68" s="123">
        <f ca="1">SUMIFS(
  m.vb[valor],
  m.vb[nucleo],$B$1,
  m.vb[variavel],I$7,
  m.vb[mes],$A68
)</f>
        <v>0</v>
      </c>
      <c r="J68" s="123">
        <f ca="1">SUMIFS(
  m.vb[valor],
  m.vb[nucleo],$B$1,
  m.vb[variavel],J$7,
  m.vb[mes],$A68
)</f>
        <v>0</v>
      </c>
      <c r="K68" s="123">
        <f ca="1">SUMIFS(
  m.vb[valor],
  m.vb[nucleo],$B$1,
  m.vb[variavel],K$7,
  m.vb[mes],$A68
)</f>
        <v>0</v>
      </c>
      <c r="L68" s="123">
        <f ca="1">SUMIFS(
  m.vb[valor],
  m.vb[nucleo],$B$1,
  m.vb[variavel],L$7,
  m.vb[mes],$A68
)</f>
        <v>0</v>
      </c>
      <c r="M68" s="123">
        <f ca="1">SUMIFS(
  m.vb[valor],
  m.vb[nucleo],$B$1,
  m.vb[variavel],M$7,
  m.vb[mes],$A68
)</f>
        <v>0</v>
      </c>
      <c r="N68" s="122">
        <f>COUNTIFS(
    tb_estq[empresa], N$6,
    tb_estq[Data da venda / reserva], "&gt;=" &amp; $A68,
    tb_estq[Data da venda / reserva], "&lt;"  &amp; EOMONTH($A68,0) + 1
)</f>
        <v>0</v>
      </c>
      <c r="O68" s="123">
        <f ca="1">SUMIFS(tb_rec_uni[2026-06-01],
INDIRECT("tb_rec_uni[natureza]"),"pro.soluto",
INDIRECT("tb_rec_uni[empresa]"),O$6)</f>
        <v>0</v>
      </c>
      <c r="P68" s="123">
        <f ca="1">SUMIFS(tb_rec_uni[2026-06-01],
INDIRECT("tb_rec_uni[natureza]"),"repasse.cef.obra",
INDIRECT("tb_rec_uni[empresa]"),P$6)</f>
        <v>0</v>
      </c>
      <c r="Q68" s="123">
        <f ca="1">SUMIFS(tb_rec_uni[2026-06-01],
INDIRECT("tb_rec_uni[natureza]"),"repasse.cef.terreno",
INDIRECT("tb_rec_uni[empresa]"),Q$6)</f>
        <v>0</v>
      </c>
      <c r="R68" s="126">
        <v>0</v>
      </c>
      <c r="S68" s="123">
        <f ca="1">SUMIFS(tb_rec_uni[2026-06-01],
INDIRECT("tb_rec_uni[natureza]"),"taxa.extra",
INDIRECT("tb_rec_uni[empresa]"),S$6)</f>
        <v>0</v>
      </c>
      <c r="T68" s="111"/>
      <c r="U68" s="123">
        <f ca="1">SUMIFS(
  m.vb[valor],
  m.vb[nucleo],$N$1,
  m.vb[variavel],U$7,
  m.vb[mes],$A68
)</f>
        <v>0</v>
      </c>
      <c r="V68" s="123">
        <f ca="1">SUMIFS(
  m.vb[valor],
  m.vb[nucleo],$N$1,
  m.vb[variavel],V$7,
  m.vb[mes],$A68
)</f>
        <v>0</v>
      </c>
      <c r="W68" s="123">
        <f ca="1">SUMIFS(
  m.vb[valor],
  m.vb[nucleo],$N$1,
  m.vb[variavel],W$7,
  m.vb[mes],$A68
)</f>
        <v>0</v>
      </c>
      <c r="X68" s="123">
        <f ca="1">SUMIFS(
  m.vb[valor],
  m.vb[nucleo],$N$1,
  m.vb[variavel],X$7,
  m.vb[mes],$A68
)</f>
        <v>0</v>
      </c>
      <c r="Y68" s="123">
        <f ca="1">SUMIFS(
  m.vb[valor],
  m.vb[nucleo],$N$1,
  m.vb[variavel],Y$7,
  m.vb[mes],$A68
)</f>
        <v>0</v>
      </c>
      <c r="Z68" s="122">
        <f>COUNTIFS(
    tb_estq[empresa], Z$6,
    tb_estq[Data da venda / reserva], "&gt;=" &amp; $A68,
    tb_estq[Data da venda / reserva], "&lt;"  &amp; EOMONTH($A68,0) + 1
)</f>
        <v>0</v>
      </c>
      <c r="AA68" s="123">
        <f ca="1">SUMIFS(tb_rec_uni[2026-06-01],
INDIRECT("tb_rec_uni[natureza]"),"pro.soluto",
INDIRECT("tb_rec_uni[empresa]"),AA$6)</f>
        <v>0</v>
      </c>
      <c r="AB68" s="126">
        <f ca="1">SUMIFS(tb_rec_uni[2026-06-01],
INDIRECT("tb_rec_uni[natureza]"),"parcela.fin.total.ik",
INDIRECT("tb_rec_uni[empresa]"),AB$6)</f>
        <v>0</v>
      </c>
      <c r="AC68" s="123">
        <f ca="1">SUMIFS(tb_rec_uni[2026-06-01],
INDIRECT("tb_rec_uni[natureza]"),"taxa.extra",
INDIRECT("tb_rec_uni[empresa]"),AC$6)</f>
        <v>0</v>
      </c>
      <c r="AD68" s="111"/>
      <c r="AE68" s="123">
        <f ca="1">SUMIFS(
  m.vb[valor],
  m.vb[nucleo],$Z$1,
  m.vb[variavel],AE$7,
  m.vb[mes],$A68
)</f>
        <v>0</v>
      </c>
      <c r="AF68" s="123">
        <f ca="1">SUMIFS(
  m.vb[valor],
  m.vb[nucleo],$Z$1,
  m.vb[variavel],AF$7,
  m.vb[mes],$A68
)</f>
        <v>0</v>
      </c>
      <c r="AG68" s="123">
        <f ca="1">SUMIFS(
  m.vb[valor],
  m.vb[nucleo],$Z$1,
  m.vb[variavel],AG$7,
  m.vb[mes],$A68
)</f>
        <v>0</v>
      </c>
      <c r="AH68" s="123">
        <f ca="1">SUMIFS(
  m.vb[valor],
  m.vb[nucleo],$Z$1,
  m.vb[variavel],AH$7,
  m.vb[mes],$A68
)</f>
        <v>0</v>
      </c>
      <c r="AI68" s="123">
        <f ca="1">SUMIFS(
  m.vb[valor],
  m.vb[nucleo],$Z$1,
  m.vb[variavel],AI$7,
  m.vb[mes],$A68
)</f>
        <v>0</v>
      </c>
      <c r="AJ68" s="122">
        <f>COUNTIFS(
    tb_estq[empresa], AJ$6,
    tb_estq[Data da venda / reserva], "&gt;=" &amp; $A68,
    tb_estq[Data da venda / reserva], "&lt;"  &amp; EOMONTH($A68,0) + 1
)</f>
        <v>0</v>
      </c>
      <c r="AK68" s="123">
        <f ca="1">SUMIFS(tb_rec_uni[2026-06-01],
INDIRECT("tb_rec_uni[natureza]"),"pro.soluto",
INDIRECT("tb_rec_uni[empresa]"),AK$6)</f>
        <v>0</v>
      </c>
      <c r="AL68" s="123">
        <f ca="1">SUMIFS(tb_rec_uni[2026-06-01],
INDIRECT("tb_rec_uni[natureza]"),"repasse.cef.obra",
INDIRECT("tb_rec_uni[empresa]"),AL$6)</f>
        <v>0</v>
      </c>
      <c r="AM68" s="126">
        <f ca="1">SUMIFS(tb_rec_uni[2026-06-01],
INDIRECT("tb_rec_uni[natureza]"),"repasse.cef.terreno",
INDIRECT("tb_rec_uni[empresa]"),AM$6)</f>
        <v>0</v>
      </c>
      <c r="AN68" s="126">
        <v>0</v>
      </c>
      <c r="AO68" s="123">
        <f ca="1">SUMIFS(tb_rec_uni[2026-06-01],
INDIRECT("tb_rec_uni[natureza]"),"taxa.extra",
INDIRECT("tb_rec_uni[empresa]"),AO$6)</f>
        <v>0</v>
      </c>
      <c r="AP68" s="111"/>
      <c r="AQ68" s="123">
        <f ca="1">SUMIFS(
  m.vb[valor],
  m.vb[nucleo],$AJ$1,
  m.vb[variavel],AQ$7,
  m.vb[mes],$A68
)</f>
        <v>0</v>
      </c>
      <c r="AR68" s="123">
        <f ca="1">SUMIFS(
  m.vb[valor],
  m.vb[nucleo],$AJ$1,
  m.vb[variavel],AR$7,
  m.vb[mes],$A68
)</f>
        <v>0</v>
      </c>
      <c r="AS68" s="123">
        <f ca="1">SUMIFS(
  m.vb[valor],
  m.vb[nucleo],$AJ$1,
  m.vb[variavel],AS$7,
  m.vb[mes],$A68
)</f>
        <v>0</v>
      </c>
      <c r="AT68" s="123">
        <f ca="1">SUMIFS(
  m.vb[valor],
  m.vb[nucleo],$AJ$1,
  m.vb[variavel],AT$7,
  m.vb[mes],$A68
)</f>
        <v>0</v>
      </c>
      <c r="AU68" s="123">
        <f ca="1">SUMIFS(
  m.vb[valor],
  m.vb[nucleo],$AJ$1,
  m.vb[variavel],AU$7,
  m.vb[mes],$A68
)</f>
        <v>0</v>
      </c>
      <c r="AV68" s="122">
        <f>COUNTIFS(
    tb_estq[empresa], AV$6,
    tb_estq[Data da venda / reserva], "&gt;=" &amp; $A68,
    tb_estq[Data da venda / reserva], "&lt;"  &amp; EOMONTH($A68,0) + 1
)</f>
        <v>0</v>
      </c>
      <c r="AW68" s="123">
        <f ca="1">SUMIFS(tb_rec_uni[2026-06-01],
INDIRECT("tb_rec_uni[natureza]"),"pro.soluto",
INDIRECT("tb_rec_uni[empresa]"),AW$6)</f>
        <v>0</v>
      </c>
      <c r="AX68" s="123">
        <f ca="1">SUMIFS(tb_rec_uni[2026-06-01],
INDIRECT("tb_rec_uni[natureza]"),"repasse.cef.obra",
INDIRECT("tb_rec_uni[empresa]"),AX$6)</f>
        <v>0</v>
      </c>
      <c r="AY68" s="126">
        <f ca="1">SUMIFS(tb_rec_uni[2026-06-01],
INDIRECT("tb_rec_uni[natureza]"),"repasse.cef.terreno",
INDIRECT("tb_rec_uni[empresa]"),AY$6)</f>
        <v>0</v>
      </c>
      <c r="AZ68" s="126">
        <v>793792.24</v>
      </c>
      <c r="BA68" s="123">
        <f ca="1">SUMIFS(tb_rec_uni[2026-06-01],
INDIRECT("tb_rec_uni[natureza]"),"taxa.extra",
INDIRECT("tb_rec_uni[empresa]"),BA$6)</f>
        <v>0</v>
      </c>
      <c r="BB68" s="111"/>
      <c r="BC68" s="123">
        <f ca="1">SUMIFS(
  m.vb[valor],
  m.vb[nucleo],$AV$1,
  m.vb[variavel],BC$7,
  m.vb[mes],$A68
)</f>
        <v>0</v>
      </c>
      <c r="BD68" s="123">
        <f ca="1">SUMIFS(
  m.vb[valor],
  m.vb[nucleo],$AV$1,
  m.vb[variavel],BD$7,
  m.vb[mes],$A68
)</f>
        <v>0</v>
      </c>
      <c r="BE68" s="123">
        <f ca="1">SUMIFS(
  m.vb[valor],
  m.vb[nucleo],$AV$1,
  m.vb[variavel],BE$7,
  m.vb[mes],$A68
)</f>
        <v>0</v>
      </c>
      <c r="BF68" s="123">
        <f ca="1">SUMIFS(
  m.vb[valor],
  m.vb[nucleo],$AV$1,
  m.vb[variavel],BF$7,
  m.vb[mes],$A68
)</f>
        <v>0</v>
      </c>
      <c r="BG68" s="123">
        <f ca="1">SUMIFS(
  m.vb[valor],
  m.vb[nucleo],$AV$1,
  m.vb[variavel],BG$7,
  m.vb[mes],$A68
)</f>
        <v>0</v>
      </c>
      <c r="BH68" s="122">
        <f>COUNTIFS(
    tb_estq[empresa], BH$6,
    tb_estq[Data da venda / reserva], "&gt;=" &amp; $A68,
    tb_estq[Data da venda / reserva], "&lt;"  &amp; EOMONTH($A68,0) + 1
)</f>
        <v>0</v>
      </c>
      <c r="BI68" s="123">
        <f ca="1">SUMIFS(tb_rec_uni[2026-06-01],
INDIRECT("tb_rec_uni[natureza]"),"pro.soluto",
INDIRECT("tb_rec_uni[empresa]"),BI$6)</f>
        <v>0</v>
      </c>
      <c r="BJ68" s="127">
        <f>4.12*94736</f>
        <v>390312.32</v>
      </c>
      <c r="BK68" s="123">
        <f ca="1">SUMIFS(tb_rec_uni[2026-06-01],
INDIRECT("tb_rec_uni[natureza]"),"taxa.extra",
INDIRECT("tb_rec_uni[empresa]"),BK$6)</f>
        <v>0</v>
      </c>
      <c r="BL68" s="111"/>
      <c r="BM68" s="123">
        <f ca="1">SUMIFS(
  m.vb[valor],
  m.vb[nucleo],$BH$1,
  m.vb[variavel],BM$7,
  m.vb[mes],$A68
)</f>
        <v>0</v>
      </c>
      <c r="BN68" s="123">
        <f ca="1">SUMIFS(
  m.vb[valor],
  m.vb[nucleo],$BH$1,
  m.vb[variavel],BN$7,
  m.vb[mes],$A68
)</f>
        <v>0</v>
      </c>
      <c r="BO68" s="123">
        <f ca="1">SUMIFS(
  m.vb[valor],
  m.vb[nucleo],$BH$1,
  m.vb[variavel],BO$7,
  m.vb[mes],$A68
)</f>
        <v>0</v>
      </c>
      <c r="BP68" s="123">
        <f ca="1">SUMIFS(
  m.vb[valor],
  m.vb[nucleo],$BH$1,
  m.vb[variavel],BP$7,
  m.vb[mes],$A68
)</f>
        <v>0</v>
      </c>
      <c r="BQ68" s="123">
        <f ca="1">SUMIFS(
  m.vb[valor],
  m.vb[nucleo],$BH$1,
  m.vb[variavel],BQ$7,
  m.vb[mes],$A68
)</f>
        <v>0</v>
      </c>
      <c r="BR68" s="122">
        <f>COUNTIFS(
    tb_estq[empresa], BR$6,
    tb_estq[Data da venda / reserva], "&gt;=" &amp; $A68,
    tb_estq[Data da venda / reserva], "&lt;"  &amp; EOMONTH($A68,0) + 1
)</f>
        <v>0</v>
      </c>
      <c r="BS68" s="123">
        <f ca="1">SUMIFS(tb_rec_uni[2026-06-01],
INDIRECT("tb_rec_uni[natureza]"),"pro.soluto",
INDIRECT("tb_rec_uni[empresa]"),BS$6)</f>
        <v>0</v>
      </c>
      <c r="BT68" s="126">
        <f ca="1">SUMIFS(tb_rec_uni[2026-06-01],
INDIRECT("tb_rec_uni[natureza]"),"parcela.fin.total.ik",
INDIRECT("tb_rec_uni[empresa]"),BT$6)</f>
        <v>0</v>
      </c>
      <c r="BU68" s="123">
        <f ca="1">SUMIFS(tb_rec_uni[2026-06-01],
INDIRECT("tb_rec_uni[natureza]"),"taxa.extra",
INDIRECT("tb_rec_uni[empresa]"),BU$6)</f>
        <v>0</v>
      </c>
      <c r="BV68" s="111"/>
      <c r="BW68" s="123">
        <f ca="1">SUMIFS(
  m.vb[valor],
  m.vb[nucleo],$BR$1,
  m.vb[variavel],BW$7,
  m.vb[mes],$A68
)</f>
        <v>0</v>
      </c>
      <c r="BX68" s="123">
        <f ca="1">SUMIFS(
  m.vb[valor],
  m.vb[nucleo],$BR$1,
  m.vb[variavel],BX$7,
  m.vb[mes],$A68
)</f>
        <v>0</v>
      </c>
      <c r="BY68" s="123">
        <f ca="1">SUMIFS(
  m.vb[valor],
  m.vb[nucleo],$BR$1,
  m.vb[variavel],BY$7,
  m.vb[mes],$A68
)</f>
        <v>0</v>
      </c>
      <c r="BZ68" s="123">
        <f ca="1">SUMIFS(
  m.vb[valor],
  m.vb[nucleo],$BR$1,
  m.vb[variavel],BZ$7,
  m.vb[mes],$A68
)</f>
        <v>0</v>
      </c>
      <c r="CA68" s="123">
        <f ca="1">SUMIFS(
  m.vb[valor],
  m.vb[nucleo],$BR$1,
  m.vb[variavel],CA$7,
  m.vb[mes],$A68
)</f>
        <v>0</v>
      </c>
      <c r="CB68" s="122">
        <f>COUNTIFS(
    tb_estq[empresa], CB$6,
    tb_estq[Data da venda / reserva], "&gt;=" &amp; $A68,
    tb_estq[Data da venda / reserva], "&lt;"  &amp; EOMONTH($A68,0) + 1
)</f>
        <v>0</v>
      </c>
      <c r="CC68" s="123">
        <f ca="1">SUMIFS(tb_rec_uni[2026-06-01],
INDIRECT("tb_rec_uni[natureza]"),"pro.soluto",
INDIRECT("tb_rec_uni[empresa]"),CC$6)</f>
        <v>0</v>
      </c>
      <c r="CD68" s="123">
        <f ca="1">SUMIFS(tb_rec_uni[2026-06-01],
INDIRECT("tb_rec_uni[natureza]"),"repasse.cef.obra",
INDIRECT("tb_rec_uni[empresa]"),CD$6)</f>
        <v>0</v>
      </c>
      <c r="CE68" s="126">
        <f ca="1">SUMIFS(tb_rec_uni[2026-06-01],
INDIRECT("tb_rec_uni[natureza]"),"repasse.cef.terreno",
INDIRECT("tb_rec_uni[empresa]"),CE$6)</f>
        <v>0</v>
      </c>
      <c r="CF68" s="126">
        <v>364294.47</v>
      </c>
      <c r="CG68" s="123">
        <f ca="1">SUMIFS(tb_rec_uni[2026-06-01],
INDIRECT("tb_rec_uni[natureza]"),"taxa.extra",
INDIRECT("tb_rec_uni[empresa]"),CG$6)</f>
        <v>0</v>
      </c>
      <c r="CH68" s="111"/>
      <c r="CI68" s="123">
        <f ca="1">SUMIFS(
  m.vb[valor],
  m.vb[nucleo],$CB$1,
  m.vb[variavel],CI$7,
  m.vb[mes],$A68
)</f>
        <v>0</v>
      </c>
      <c r="CJ68" s="123">
        <f ca="1">SUMIFS(
  m.vb[valor],
  m.vb[nucleo],$CB$1,
  m.vb[variavel],CJ$7,
  m.vb[mes],$A68
)</f>
        <v>0</v>
      </c>
      <c r="CK68" s="123">
        <f ca="1">SUMIFS(
  m.vb[valor],
  m.vb[nucleo],$CB$1,
  m.vb[variavel],CK$7,
  m.vb[mes],$A68
)</f>
        <v>0</v>
      </c>
      <c r="CL68" s="123">
        <f ca="1">SUMIFS(
  m.vb[valor],
  m.vb[nucleo],$CB$1,
  m.vb[variavel],CL$7,
  m.vb[mes],$A68
)</f>
        <v>0</v>
      </c>
      <c r="CM68" s="123">
        <f ca="1">SUMIFS(
  m.vb[valor],
  m.vb[nucleo],$CB$1,
  m.vb[variavel],CM$7,
  m.vb[mes],$A68
)</f>
        <v>0</v>
      </c>
      <c r="CN68" s="122">
        <f>COUNTIFS(
    tb_estq[empresa], CN$6,
    tb_estq[Data da venda / reserva], "&gt;=" &amp; $A68,
    tb_estq[Data da venda / reserva], "&lt;"  &amp; EOMONTH($A68,0) + 1
)</f>
        <v>0</v>
      </c>
      <c r="CO68" s="123">
        <f ca="1">SUMIFS(tb_rec_uni[2026-06-01],
INDIRECT("tb_rec_uni[natureza]"),"pro.soluto",
INDIRECT("tb_rec_uni[empresa]"),CO$6)</f>
        <v>0</v>
      </c>
      <c r="CP68" s="123">
        <f ca="1">SUMIFS(tb_rec_uni[2026-06-01],
INDIRECT("tb_rec_uni[natureza]"),"repasse.cef.obra",
INDIRECT("tb_rec_uni[empresa]"),CP$6)</f>
        <v>0</v>
      </c>
      <c r="CQ68" s="126">
        <f ca="1">SUMIFS(tb_rec_uni[2026-06-01],
INDIRECT("tb_rec_uni[natureza]"),"repasse.cef.terreno",
INDIRECT("tb_rec_uni[empresa]"),CQ$6)</f>
        <v>0</v>
      </c>
      <c r="CR68" s="126">
        <v>0</v>
      </c>
      <c r="CS68" s="123">
        <f ca="1">SUMIFS(tb_rec_uni[2026-06-01],
INDIRECT("tb_rec_uni[natureza]"),"taxa.extra",
INDIRECT("tb_rec_uni[empresa]"),CS$6)</f>
        <v>0</v>
      </c>
      <c r="CT68" s="111"/>
      <c r="CU68" s="123">
        <f ca="1">SUMIFS(
  m.vb[valor],
  m.vb[nucleo],$CN$1,
  m.vb[variavel],CU$7,
  m.vb[mes],$A68
)</f>
        <v>0</v>
      </c>
      <c r="CV68" s="123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3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3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3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21">
        <v>46204</v>
      </c>
      <c r="B69" s="122">
        <f>COUNTIFS(
    tb_estq[empresa], B$6,
    tb_estq[Data da venda / reserva], "&gt;=" &amp; $A69,
    tb_estq[Data da venda / reserva], "&lt;"  &amp; EOMONTH($A69,0) + 1
)</f>
        <v>0</v>
      </c>
      <c r="C69" s="123">
        <f ca="1">SUMIFS(tb_rec_uni[2026-07-01],
INDIRECT("tb_rec_uni[natureza]"),"pro.soluto",
INDIRECT("tb_rec_uni[empresa]"),C$6)</f>
        <v>0</v>
      </c>
      <c r="D69" s="123">
        <f ca="1">SUMIFS(tb_rec_uni[2026-07-01],
INDIRECT("tb_rec_uni[natureza]"),"repasse.cef.obra",
INDIRECT("tb_rec_uni[empresa]"),D$6)</f>
        <v>0</v>
      </c>
      <c r="E69" s="123">
        <f ca="1">SUMIFS(tb_rec_uni[2026-07-01],
INDIRECT("tb_rec_uni[natureza]"),"repasse.cef.terreno",
INDIRECT("tb_rec_uni[empresa]"),E$6)</f>
        <v>0</v>
      </c>
      <c r="F69" s="127"/>
      <c r="G69" s="123">
        <f ca="1">SUMIFS(tb_rec_uni[2026-07-01],
INDIRECT("tb_rec_uni[natureza]"),"taxa.extra",
INDIRECT("tb_rec_uni[empresa]"),G$6)</f>
        <v>0</v>
      </c>
      <c r="H69" s="111"/>
      <c r="I69" s="111">
        <f ca="1">SUMIFS(
  m.vb[valor],
  m.vb[nucleo],$B$1,
  m.vb[variavel],I$7,
  m.vb[mes],$A69
)</f>
        <v>0</v>
      </c>
      <c r="J69" s="111">
        <f ca="1">SUMIFS(
  m.vb[valor],
  m.vb[nucleo],$B$1,
  m.vb[variavel],J$7,
  m.vb[mes],$A69
)</f>
        <v>0</v>
      </c>
      <c r="K69" s="111">
        <f ca="1">SUMIFS(
  m.vb[valor],
  m.vb[nucleo],$B$1,
  m.vb[variavel],K$7,
  m.vb[mes],$A69
)</f>
        <v>0</v>
      </c>
      <c r="L69" s="111">
        <f ca="1">SUMIFS(
  m.vb[valor],
  m.vb[nucleo],$B$1,
  m.vb[variavel],L$7,
  m.vb[mes],$A69
)</f>
        <v>0</v>
      </c>
      <c r="M69" s="111">
        <f ca="1">SUMIFS(
  m.vb[valor],
  m.vb[nucleo],$B$1,
  m.vb[variavel],M$7,
  m.vb[mes],$A69
)</f>
        <v>0</v>
      </c>
      <c r="N69" s="122">
        <f>COUNTIFS(
    tb_estq[empresa], N$6,
    tb_estq[Data da venda / reserva], "&gt;=" &amp; $A69,
    tb_estq[Data da venda / reserva], "&lt;"  &amp; EOMONTH($A69,0) + 1
)</f>
        <v>0</v>
      </c>
      <c r="O69" s="123">
        <f ca="1">SUMIFS(tb_rec_uni[2026-07-01],
INDIRECT("tb_rec_uni[natureza]"),"pro.soluto",
INDIRECT("tb_rec_uni[empresa]"),O$6)</f>
        <v>0</v>
      </c>
      <c r="P69" s="123">
        <f ca="1">SUMIFS(tb_rec_uni[2026-07-01],
INDIRECT("tb_rec_uni[natureza]"),"repasse.cef.obra",
INDIRECT("tb_rec_uni[empresa]"),P$6)</f>
        <v>0</v>
      </c>
      <c r="Q69" s="123">
        <f ca="1">SUMIFS(tb_rec_uni[2026-07-01],
INDIRECT("tb_rec_uni[natureza]"),"repasse.cef.terreno",
INDIRECT("tb_rec_uni[empresa]"),Q$6)</f>
        <v>0</v>
      </c>
      <c r="R69" s="127"/>
      <c r="S69" s="123">
        <f ca="1">SUMIFS(tb_rec_uni[2026-07-01],
INDIRECT("tb_rec_uni[natureza]"),"taxa.extra",
INDIRECT("tb_rec_uni[empresa]"),S$6)</f>
        <v>0</v>
      </c>
      <c r="T69" s="111"/>
      <c r="U69" s="111">
        <f ca="1">SUMIFS(
  m.vb[valor],
  m.vb[nucleo],$N$1,
  m.vb[variavel],U$7,
  m.vb[mes],$A69
)</f>
        <v>0</v>
      </c>
      <c r="V69" s="111">
        <f ca="1">SUMIFS(
  m.vb[valor],
  m.vb[nucleo],$N$1,
  m.vb[variavel],V$7,
  m.vb[mes],$A69
)</f>
        <v>0</v>
      </c>
      <c r="W69" s="111">
        <f ca="1">SUMIFS(
  m.vb[valor],
  m.vb[nucleo],$N$1,
  m.vb[variavel],W$7,
  m.vb[mes],$A69
)</f>
        <v>0</v>
      </c>
      <c r="X69" s="111">
        <f ca="1">SUMIFS(
  m.vb[valor],
  m.vb[nucleo],$N$1,
  m.vb[variavel],X$7,
  m.vb[mes],$A69
)</f>
        <v>0</v>
      </c>
      <c r="Y69" s="111">
        <f ca="1">SUMIFS(
  m.vb[valor],
  m.vb[nucleo],$N$1,
  m.vb[variavel],Y$7,
  m.vb[mes],$A69
)</f>
        <v>0</v>
      </c>
      <c r="Z69" s="122">
        <f>COUNTIFS(
    tb_estq[empresa], Z$6,
    tb_estq[Data da venda / reserva], "&gt;=" &amp; $A69,
    tb_estq[Data da venda / reserva], "&lt;"  &amp; EOMONTH($A69,0) + 1
)</f>
        <v>0</v>
      </c>
      <c r="AA69" s="123">
        <f ca="1">SUMIFS(tb_rec_uni[2026-07-01],
INDIRECT("tb_rec_uni[natureza]"),"pro.soluto",
INDIRECT("tb_rec_uni[empresa]"),AA$6)</f>
        <v>0</v>
      </c>
      <c r="AB69" s="127">
        <f ca="1">SUMIFS(tb_rec_uni[2026-07-01],
INDIRECT("tb_rec_uni[natureza]"),"parcela.fin.total.ik",
INDIRECT("tb_rec_uni[empresa]"),AB$6)</f>
        <v>0</v>
      </c>
      <c r="AC69" s="123">
        <f ca="1">SUMIFS(tb_rec_uni[2026-07-01],
INDIRECT("tb_rec_uni[natureza]"),"taxa.extra",
INDIRECT("tb_rec_uni[empresa]"),AC$6)</f>
        <v>0</v>
      </c>
      <c r="AD69" s="111"/>
      <c r="AE69" s="111">
        <f ca="1">SUMIFS(
  m.vb[valor],
  m.vb[nucleo],$Z$1,
  m.vb[variavel],AE$7,
  m.vb[mes],$A69
)</f>
        <v>0</v>
      </c>
      <c r="AF69" s="111">
        <f ca="1">SUMIFS(
  m.vb[valor],
  m.vb[nucleo],$Z$1,
  m.vb[variavel],AF$7,
  m.vb[mes],$A69
)</f>
        <v>0</v>
      </c>
      <c r="AG69" s="111">
        <f ca="1">SUMIFS(
  m.vb[valor],
  m.vb[nucleo],$Z$1,
  m.vb[variavel],AG$7,
  m.vb[mes],$A69
)</f>
        <v>0</v>
      </c>
      <c r="AH69" s="111">
        <f ca="1">SUMIFS(
  m.vb[valor],
  m.vb[nucleo],$Z$1,
  m.vb[variavel],AH$7,
  m.vb[mes],$A69
)</f>
        <v>0</v>
      </c>
      <c r="AI69" s="111">
        <f ca="1">SUMIFS(
  m.vb[valor],
  m.vb[nucleo],$Z$1,
  m.vb[variavel],AI$7,
  m.vb[mes],$A69
)</f>
        <v>0</v>
      </c>
      <c r="AJ69" s="122">
        <f>COUNTIFS(
    tb_estq[empresa], AJ$6,
    tb_estq[Data da venda / reserva], "&gt;=" &amp; $A69,
    tb_estq[Data da venda / reserva], "&lt;"  &amp; EOMONTH($A69,0) + 1
)</f>
        <v>0</v>
      </c>
      <c r="AK69" s="123">
        <f ca="1">SUMIFS(tb_rec_uni[2026-07-01],
INDIRECT("tb_rec_uni[natureza]"),"pro.soluto",
INDIRECT("tb_rec_uni[empresa]"),AK$6)</f>
        <v>0</v>
      </c>
      <c r="AL69" s="123">
        <f ca="1">SUMIFS(tb_rec_uni[2026-07-01],
INDIRECT("tb_rec_uni[natureza]"),"repasse.cef.obra",
INDIRECT("tb_rec_uni[empresa]"),AL$6)</f>
        <v>0</v>
      </c>
      <c r="AM69" s="126">
        <f ca="1">SUMIFS(tb_rec_uni[2026-07-01],
INDIRECT("tb_rec_uni[natureza]"),"repasse.cef.terreno",
INDIRECT("tb_rec_uni[empresa]"),AM$6)</f>
        <v>0</v>
      </c>
      <c r="AN69" s="127"/>
      <c r="AO69" s="123">
        <f ca="1">SUMIFS(tb_rec_uni[2026-07-01],
INDIRECT("tb_rec_uni[natureza]"),"taxa.extra",
INDIRECT("tb_rec_uni[empresa]"),AO$6)</f>
        <v>0</v>
      </c>
      <c r="AP69" s="111"/>
      <c r="AQ69" s="111">
        <f ca="1">SUMIFS(
  m.vb[valor],
  m.vb[nucleo],$AJ$1,
  m.vb[variavel],AQ$7,
  m.vb[mes],$A69
)</f>
        <v>0</v>
      </c>
      <c r="AR69" s="111">
        <f ca="1">SUMIFS(
  m.vb[valor],
  m.vb[nucleo],$AJ$1,
  m.vb[variavel],AR$7,
  m.vb[mes],$A69
)</f>
        <v>0</v>
      </c>
      <c r="AS69" s="111">
        <f ca="1">SUMIFS(
  m.vb[valor],
  m.vb[nucleo],$AJ$1,
  m.vb[variavel],AS$7,
  m.vb[mes],$A69
)</f>
        <v>0</v>
      </c>
      <c r="AT69" s="111">
        <f ca="1">SUMIFS(
  m.vb[valor],
  m.vb[nucleo],$AJ$1,
  m.vb[variavel],AT$7,
  m.vb[mes],$A69
)</f>
        <v>0</v>
      </c>
      <c r="AU69" s="111">
        <f ca="1">SUMIFS(
  m.vb[valor],
  m.vb[nucleo],$AJ$1,
  m.vb[variavel],AU$7,
  m.vb[mes],$A69
)</f>
        <v>0</v>
      </c>
      <c r="AV69" s="122">
        <f>COUNTIFS(
    tb_estq[empresa], AV$6,
    tb_estq[Data da venda / reserva], "&gt;=" &amp; $A69,
    tb_estq[Data da venda / reserva], "&lt;"  &amp; EOMONTH($A69,0) + 1
)</f>
        <v>0</v>
      </c>
      <c r="AW69" s="123">
        <f ca="1">SUMIFS(tb_rec_uni[2026-07-01],
INDIRECT("tb_rec_uni[natureza]"),"pro.soluto",
INDIRECT("tb_rec_uni[empresa]"),AW$6)</f>
        <v>0</v>
      </c>
      <c r="AX69" s="123">
        <f ca="1">SUMIFS(tb_rec_uni[2026-07-01],
INDIRECT("tb_rec_uni[natureza]"),"repasse.cef.obra",
INDIRECT("tb_rec_uni[empresa]"),AX$6)</f>
        <v>0</v>
      </c>
      <c r="AY69" s="126">
        <f ca="1">SUMIFS(tb_rec_uni[2026-07-01],
INDIRECT("tb_rec_uni[natureza]"),"repasse.cef.terreno",
INDIRECT("tb_rec_uni[empresa]"),AY$6)</f>
        <v>0</v>
      </c>
      <c r="AZ69" s="127"/>
      <c r="BA69" s="123">
        <f ca="1">SUMIFS(tb_rec_uni[2026-07-01],
INDIRECT("tb_rec_uni[natureza]"),"taxa.extra",
INDIRECT("tb_rec_uni[empresa]"),BA$6)</f>
        <v>0</v>
      </c>
      <c r="BB69" s="111"/>
      <c r="BC69" s="111">
        <f ca="1">SUMIFS(
  m.vb[valor],
  m.vb[nucleo],$AV$1,
  m.vb[variavel],BC$7,
  m.vb[mes],$A69
)</f>
        <v>0</v>
      </c>
      <c r="BD69" s="111">
        <f ca="1">SUMIFS(
  m.vb[valor],
  m.vb[nucleo],$AV$1,
  m.vb[variavel],BD$7,
  m.vb[mes],$A69
)</f>
        <v>0</v>
      </c>
      <c r="BE69" s="111">
        <f ca="1">SUMIFS(
  m.vb[valor],
  m.vb[nucleo],$AV$1,
  m.vb[variavel],BE$7,
  m.vb[mes],$A69
)</f>
        <v>0</v>
      </c>
      <c r="BF69" s="111">
        <f ca="1">SUMIFS(
  m.vb[valor],
  m.vb[nucleo],$AV$1,
  m.vb[variavel],BF$7,
  m.vb[mes],$A69
)</f>
        <v>0</v>
      </c>
      <c r="BG69" s="111">
        <f ca="1">SUMIFS(
  m.vb[valor],
  m.vb[nucleo],$AV$1,
  m.vb[variavel],BG$7,
  m.vb[mes],$A69
)</f>
        <v>0</v>
      </c>
      <c r="BH69" s="122">
        <f>COUNTIFS(
    tb_estq[empresa], BH$6,
    tb_estq[Data da venda / reserva], "&gt;=" &amp; $A69,
    tb_estq[Data da venda / reserva], "&lt;"  &amp; EOMONTH($A69,0) + 1
)</f>
        <v>0</v>
      </c>
      <c r="BI69" s="123">
        <f ca="1">SUMIFS(tb_rec_uni[2026-07-01],
INDIRECT("tb_rec_uni[natureza]"),"pro.soluto",
INDIRECT("tb_rec_uni[empresa]"),BI$6)</f>
        <v>0</v>
      </c>
      <c r="BJ69" s="127"/>
      <c r="BK69" s="123">
        <f ca="1">SUMIFS(tb_rec_uni[2026-07-01],
INDIRECT("tb_rec_uni[natureza]"),"taxa.extra",
INDIRECT("tb_rec_uni[empresa]"),BK$6)</f>
        <v>0</v>
      </c>
      <c r="BL69" s="111"/>
      <c r="BM69" s="111">
        <f ca="1">SUMIFS(
  m.vb[valor],
  m.vb[nucleo],$BH$1,
  m.vb[variavel],BM$7,
  m.vb[mes],$A69
)</f>
        <v>0</v>
      </c>
      <c r="BN69" s="111">
        <f ca="1">SUMIFS(
  m.vb[valor],
  m.vb[nucleo],$BH$1,
  m.vb[variavel],BN$7,
  m.vb[mes],$A69
)</f>
        <v>0</v>
      </c>
      <c r="BO69" s="111">
        <f ca="1">SUMIFS(
  m.vb[valor],
  m.vb[nucleo],$BH$1,
  m.vb[variavel],BO$7,
  m.vb[mes],$A69
)</f>
        <v>0</v>
      </c>
      <c r="BP69" s="111">
        <f ca="1">SUMIFS(
  m.vb[valor],
  m.vb[nucleo],$BH$1,
  m.vb[variavel],BP$7,
  m.vb[mes],$A69
)</f>
        <v>0</v>
      </c>
      <c r="BQ69" s="111">
        <f ca="1">SUMIFS(
  m.vb[valor],
  m.vb[nucleo],$BH$1,
  m.vb[variavel],BQ$7,
  m.vb[mes],$A69
)</f>
        <v>0</v>
      </c>
      <c r="BR69" s="122">
        <f>COUNTIFS(
    tb_estq[empresa], BR$6,
    tb_estq[Data da venda / reserva], "&gt;=" &amp; $A69,
    tb_estq[Data da venda / reserva], "&lt;"  &amp; EOMONTH($A69,0) + 1
)</f>
        <v>0</v>
      </c>
      <c r="BS69" s="123">
        <f ca="1">SUMIFS(tb_rec_uni[2026-07-01],
INDIRECT("tb_rec_uni[natureza]"),"pro.soluto",
INDIRECT("tb_rec_uni[empresa]"),BS$6)</f>
        <v>0</v>
      </c>
      <c r="BT69" s="127">
        <f ca="1">SUMIFS(tb_rec_uni[2026-07-01],
INDIRECT("tb_rec_uni[natureza]"),"parcela.fin.total.ik",
INDIRECT("tb_rec_uni[empresa]"),BT$6)</f>
        <v>0</v>
      </c>
      <c r="BU69" s="123">
        <f ca="1">SUMIFS(tb_rec_uni[2026-07-01],
INDIRECT("tb_rec_uni[natureza]"),"taxa.extra",
INDIRECT("tb_rec_uni[empresa]"),BU$6)</f>
        <v>0</v>
      </c>
      <c r="BV69" s="111"/>
      <c r="BW69" s="111">
        <f ca="1">SUMIFS(
  m.vb[valor],
  m.vb[nucleo],$BR$1,
  m.vb[variavel],BW$7,
  m.vb[mes],$A69
)</f>
        <v>0</v>
      </c>
      <c r="BX69" s="111">
        <f ca="1">SUMIFS(
  m.vb[valor],
  m.vb[nucleo],$BR$1,
  m.vb[variavel],BX$7,
  m.vb[mes],$A69
)</f>
        <v>0</v>
      </c>
      <c r="BY69" s="111">
        <f ca="1">SUMIFS(
  m.vb[valor],
  m.vb[nucleo],$BR$1,
  m.vb[variavel],BY$7,
  m.vb[mes],$A69
)</f>
        <v>0</v>
      </c>
      <c r="BZ69" s="111">
        <f ca="1">SUMIFS(
  m.vb[valor],
  m.vb[nucleo],$BR$1,
  m.vb[variavel],BZ$7,
  m.vb[mes],$A69
)</f>
        <v>0</v>
      </c>
      <c r="CA69" s="111">
        <f ca="1">SUMIFS(
  m.vb[valor],
  m.vb[nucleo],$BR$1,
  m.vb[variavel],CA$7,
  m.vb[mes],$A69
)</f>
        <v>0</v>
      </c>
      <c r="CB69" s="122">
        <f>COUNTIFS(
    tb_estq[empresa], CB$6,
    tb_estq[Data da venda / reserva], "&gt;=" &amp; $A69,
    tb_estq[Data da venda / reserva], "&lt;"  &amp; EOMONTH($A69,0) + 1
)</f>
        <v>0</v>
      </c>
      <c r="CC69" s="123">
        <f ca="1">SUMIFS(tb_rec_uni[2026-07-01],
INDIRECT("tb_rec_uni[natureza]"),"pro.soluto",
INDIRECT("tb_rec_uni[empresa]"),CC$6)</f>
        <v>0</v>
      </c>
      <c r="CD69" s="123">
        <f ca="1">SUMIFS(tb_rec_uni[2026-07-01],
INDIRECT("tb_rec_uni[natureza]"),"repasse.cef.obra",
INDIRECT("tb_rec_uni[empresa]"),CD$6)</f>
        <v>0</v>
      </c>
      <c r="CE69" s="126">
        <f ca="1">SUMIFS(tb_rec_uni[2026-07-01],
INDIRECT("tb_rec_uni[natureza]"),"repasse.cef.terreno",
INDIRECT("tb_rec_uni[empresa]"),CE$6)</f>
        <v>0</v>
      </c>
      <c r="CF69" s="127"/>
      <c r="CG69" s="123">
        <f ca="1">SUMIFS(tb_rec_uni[2026-07-01],
INDIRECT("tb_rec_uni[natureza]"),"taxa.extra",
INDIRECT("tb_rec_uni[empresa]"),CG$6)</f>
        <v>0</v>
      </c>
      <c r="CH69" s="111"/>
      <c r="CI69" s="111">
        <f ca="1">SUMIFS(
  m.vb[valor],
  m.vb[nucleo],$CB$1,
  m.vb[variavel],CI$7,
  m.vb[mes],$A69
)</f>
        <v>0</v>
      </c>
      <c r="CJ69" s="111">
        <f ca="1">SUMIFS(
  m.vb[valor],
  m.vb[nucleo],$CB$1,
  m.vb[variavel],CJ$7,
  m.vb[mes],$A69
)</f>
        <v>0</v>
      </c>
      <c r="CK69" s="111">
        <f ca="1">SUMIFS(
  m.vb[valor],
  m.vb[nucleo],$CB$1,
  m.vb[variavel],CK$7,
  m.vb[mes],$A69
)</f>
        <v>0</v>
      </c>
      <c r="CL69" s="111">
        <f ca="1">SUMIFS(
  m.vb[valor],
  m.vb[nucleo],$CB$1,
  m.vb[variavel],CL$7,
  m.vb[mes],$A69
)</f>
        <v>0</v>
      </c>
      <c r="CM69" s="111">
        <f ca="1">SUMIFS(
  m.vb[valor],
  m.vb[nucleo],$CB$1,
  m.vb[variavel],CM$7,
  m.vb[mes],$A69
)</f>
        <v>0</v>
      </c>
      <c r="CN69" s="122">
        <f>COUNTIFS(
    tb_estq[empresa], CN$6,
    tb_estq[Data da venda / reserva], "&gt;=" &amp; $A69,
    tb_estq[Data da venda / reserva], "&lt;"  &amp; EOMONTH($A69,0) + 1
)</f>
        <v>0</v>
      </c>
      <c r="CO69" s="123">
        <f ca="1">SUMIFS(tb_rec_uni[2026-07-01],
INDIRECT("tb_rec_uni[natureza]"),"pro.soluto",
INDIRECT("tb_rec_uni[empresa]"),CO$6)</f>
        <v>0</v>
      </c>
      <c r="CP69" s="123">
        <f ca="1">SUMIFS(tb_rec_uni[2026-07-01],
INDIRECT("tb_rec_uni[natureza]"),"repasse.cef.obra",
INDIRECT("tb_rec_uni[empresa]"),CP$6)</f>
        <v>0</v>
      </c>
      <c r="CQ69" s="126">
        <f ca="1">SUMIFS(tb_rec_uni[2026-07-01],
INDIRECT("tb_rec_uni[natureza]"),"repasse.cef.terreno",
INDIRECT("tb_rec_uni[empresa]"),CQ$6)</f>
        <v>0</v>
      </c>
      <c r="CR69" s="127"/>
      <c r="CS69" s="123">
        <f ca="1">SUMIFS(tb_rec_uni[2026-07-01],
INDIRECT("tb_rec_uni[natureza]"),"taxa.extra",
INDIRECT("tb_rec_uni[empresa]"),CS$6)</f>
        <v>0</v>
      </c>
      <c r="CT69" s="111"/>
      <c r="CU69" s="111">
        <f ca="1">SUMIFS(
  m.vb[valor],
  m.vb[nucleo],$CN$1,
  m.vb[variavel],CU$7,
  m.vb[mes],$A69
)</f>
        <v>0</v>
      </c>
      <c r="CV69" s="111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11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11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4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21">
        <v>46235</v>
      </c>
      <c r="B70" s="122">
        <f>COUNTIFS(
    tb_estq[empresa], B$6,
    tb_estq[Data da venda / reserva], "&gt;=" &amp; $A70,
    tb_estq[Data da venda / reserva], "&lt;"  &amp; EOMONTH($A70,0) + 1
)</f>
        <v>0</v>
      </c>
      <c r="C70" s="123">
        <f ca="1">SUMIFS(tb_rec_uni[2026-08-01],
INDIRECT("tb_rec_uni[natureza]"),"pro.soluto",
INDIRECT("tb_rec_uni[empresa]"),C$6)</f>
        <v>0</v>
      </c>
      <c r="D70" s="123">
        <f ca="1">SUMIFS(tb_rec_uni[2026-08-01],
INDIRECT("tb_rec_uni[natureza]"),"repasse.cef.obra",
INDIRECT("tb_rec_uni[empresa]"),D$6)</f>
        <v>0</v>
      </c>
      <c r="E70" s="123">
        <f ca="1">SUMIFS(tb_rec_uni[2026-08-01],
INDIRECT("tb_rec_uni[natureza]"),"repasse.cef.terreno",
INDIRECT("tb_rec_uni[empresa]"),E$6)</f>
        <v>0</v>
      </c>
      <c r="F70" s="127"/>
      <c r="G70" s="123">
        <f ca="1">SUMIFS(tb_rec_uni[2026-08-01],
INDIRECT("tb_rec_uni[natureza]"),"taxa.extra",
INDIRECT("tb_rec_uni[empresa]"),G$6)</f>
        <v>0</v>
      </c>
      <c r="H70" s="111"/>
      <c r="I70" s="111">
        <f ca="1">SUMIFS(
  m.vb[valor],
  m.vb[nucleo],$B$1,
  m.vb[variavel],I$7,
  m.vb[mes],$A70
)</f>
        <v>0</v>
      </c>
      <c r="J70" s="111">
        <f ca="1">SUMIFS(
  m.vb[valor],
  m.vb[nucleo],$B$1,
  m.vb[variavel],J$7,
  m.vb[mes],$A70
)</f>
        <v>0</v>
      </c>
      <c r="K70" s="111">
        <f ca="1">SUMIFS(
  m.vb[valor],
  m.vb[nucleo],$B$1,
  m.vb[variavel],K$7,
  m.vb[mes],$A70
)</f>
        <v>0</v>
      </c>
      <c r="L70" s="111">
        <f ca="1">SUMIFS(
  m.vb[valor],
  m.vb[nucleo],$B$1,
  m.vb[variavel],L$7,
  m.vb[mes],$A70
)</f>
        <v>0</v>
      </c>
      <c r="M70" s="111">
        <f ca="1">SUMIFS(
  m.vb[valor],
  m.vb[nucleo],$B$1,
  m.vb[variavel],M$7,
  m.vb[mes],$A70
)</f>
        <v>0</v>
      </c>
      <c r="N70" s="122">
        <f>COUNTIFS(
    tb_estq[empresa], N$6,
    tb_estq[Data da venda / reserva], "&gt;=" &amp; $A70,
    tb_estq[Data da venda / reserva], "&lt;"  &amp; EOMONTH($A70,0) + 1
)</f>
        <v>0</v>
      </c>
      <c r="O70" s="123">
        <f ca="1">SUMIFS(tb_rec_uni[2026-08-01],
INDIRECT("tb_rec_uni[natureza]"),"pro.soluto",
INDIRECT("tb_rec_uni[empresa]"),O$6)</f>
        <v>0</v>
      </c>
      <c r="P70" s="123">
        <f ca="1">SUMIFS(tb_rec_uni[2026-08-01],
INDIRECT("tb_rec_uni[natureza]"),"repasse.cef.obra",
INDIRECT("tb_rec_uni[empresa]"),P$6)</f>
        <v>0</v>
      </c>
      <c r="Q70" s="123">
        <f ca="1">SUMIFS(tb_rec_uni[2026-08-01],
INDIRECT("tb_rec_uni[natureza]"),"repasse.cef.terreno",
INDIRECT("tb_rec_uni[empresa]"),Q$6)</f>
        <v>0</v>
      </c>
      <c r="R70" s="127"/>
      <c r="S70" s="123">
        <f ca="1">SUMIFS(tb_rec_uni[2026-08-01],
INDIRECT("tb_rec_uni[natureza]"),"taxa.extra",
INDIRECT("tb_rec_uni[empresa]"),S$6)</f>
        <v>0</v>
      </c>
      <c r="T70" s="111"/>
      <c r="U70" s="111">
        <f ca="1">SUMIFS(
  m.vb[valor],
  m.vb[nucleo],$N$1,
  m.vb[variavel],U$7,
  m.vb[mes],$A70
)</f>
        <v>0</v>
      </c>
      <c r="V70" s="111">
        <f ca="1">SUMIFS(
  m.vb[valor],
  m.vb[nucleo],$N$1,
  m.vb[variavel],V$7,
  m.vb[mes],$A70
)</f>
        <v>0</v>
      </c>
      <c r="W70" s="111">
        <f ca="1">SUMIFS(
  m.vb[valor],
  m.vb[nucleo],$N$1,
  m.vb[variavel],W$7,
  m.vb[mes],$A70
)</f>
        <v>0</v>
      </c>
      <c r="X70" s="111">
        <f ca="1">SUMIFS(
  m.vb[valor],
  m.vb[nucleo],$N$1,
  m.vb[variavel],X$7,
  m.vb[mes],$A70
)</f>
        <v>0</v>
      </c>
      <c r="Y70" s="111">
        <f ca="1">SUMIFS(
  m.vb[valor],
  m.vb[nucleo],$N$1,
  m.vb[variavel],Y$7,
  m.vb[mes],$A70
)</f>
        <v>0</v>
      </c>
      <c r="Z70" s="122">
        <f>COUNTIFS(
    tb_estq[empresa], Z$6,
    tb_estq[Data da venda / reserva], "&gt;=" &amp; $A70,
    tb_estq[Data da venda / reserva], "&lt;"  &amp; EOMONTH($A70,0) + 1
)</f>
        <v>0</v>
      </c>
      <c r="AA70" s="123">
        <f ca="1">SUMIFS(tb_rec_uni[2026-08-01],
INDIRECT("tb_rec_uni[natureza]"),"pro.soluto",
INDIRECT("tb_rec_uni[empresa]"),AA$6)</f>
        <v>0</v>
      </c>
      <c r="AB70" s="127">
        <f ca="1">SUMIFS(tb_rec_uni[2026-08-01],
INDIRECT("tb_rec_uni[natureza]"),"parcela.fin.total.ik",
INDIRECT("tb_rec_uni[empresa]"),AB$6)</f>
        <v>0</v>
      </c>
      <c r="AC70" s="123">
        <f ca="1">SUMIFS(tb_rec_uni[2026-08-01],
INDIRECT("tb_rec_uni[natureza]"),"taxa.extra",
INDIRECT("tb_rec_uni[empresa]"),AC$6)</f>
        <v>0</v>
      </c>
      <c r="AD70" s="111"/>
      <c r="AE70" s="111">
        <f ca="1">SUMIFS(
  m.vb[valor],
  m.vb[nucleo],$Z$1,
  m.vb[variavel],AE$7,
  m.vb[mes],$A70
)</f>
        <v>0</v>
      </c>
      <c r="AF70" s="111">
        <f ca="1">SUMIFS(
  m.vb[valor],
  m.vb[nucleo],$Z$1,
  m.vb[variavel],AF$7,
  m.vb[mes],$A70
)</f>
        <v>0</v>
      </c>
      <c r="AG70" s="111">
        <f ca="1">SUMIFS(
  m.vb[valor],
  m.vb[nucleo],$Z$1,
  m.vb[variavel],AG$7,
  m.vb[mes],$A70
)</f>
        <v>0</v>
      </c>
      <c r="AH70" s="111">
        <f ca="1">SUMIFS(
  m.vb[valor],
  m.vb[nucleo],$Z$1,
  m.vb[variavel],AH$7,
  m.vb[mes],$A70
)</f>
        <v>0</v>
      </c>
      <c r="AI70" s="111">
        <f ca="1">SUMIFS(
  m.vb[valor],
  m.vb[nucleo],$Z$1,
  m.vb[variavel],AI$7,
  m.vb[mes],$A70
)</f>
        <v>0</v>
      </c>
      <c r="AJ70" s="122">
        <f>COUNTIFS(
    tb_estq[empresa], AJ$6,
    tb_estq[Data da venda / reserva], "&gt;=" &amp; $A70,
    tb_estq[Data da venda / reserva], "&lt;"  &amp; EOMONTH($A70,0) + 1
)</f>
        <v>0</v>
      </c>
      <c r="AK70" s="123">
        <f ca="1">SUMIFS(tb_rec_uni[2026-08-01],
INDIRECT("tb_rec_uni[natureza]"),"pro.soluto",
INDIRECT("tb_rec_uni[empresa]"),AK$6)</f>
        <v>0</v>
      </c>
      <c r="AL70" s="123">
        <f ca="1">SUMIFS(tb_rec_uni[2026-08-01],
INDIRECT("tb_rec_uni[natureza]"),"repasse.cef.obra",
INDIRECT("tb_rec_uni[empresa]"),AL$6)</f>
        <v>0</v>
      </c>
      <c r="AM70" s="126">
        <f ca="1">SUMIFS(tb_rec_uni[2026-08-01],
INDIRECT("tb_rec_uni[natureza]"),"repasse.cef.terreno",
INDIRECT("tb_rec_uni[empresa]"),AM$6)</f>
        <v>0</v>
      </c>
      <c r="AN70" s="127"/>
      <c r="AO70" s="123">
        <f ca="1">SUMIFS(tb_rec_uni[2026-08-01],
INDIRECT("tb_rec_uni[natureza]"),"taxa.extra",
INDIRECT("tb_rec_uni[empresa]"),AO$6)</f>
        <v>0</v>
      </c>
      <c r="AP70" s="111"/>
      <c r="AQ70" s="111">
        <f ca="1">SUMIFS(
  m.vb[valor],
  m.vb[nucleo],$AJ$1,
  m.vb[variavel],AQ$7,
  m.vb[mes],$A70
)</f>
        <v>0</v>
      </c>
      <c r="AR70" s="111">
        <f ca="1">SUMIFS(
  m.vb[valor],
  m.vb[nucleo],$AJ$1,
  m.vb[variavel],AR$7,
  m.vb[mes],$A70
)</f>
        <v>0</v>
      </c>
      <c r="AS70" s="111">
        <f ca="1">SUMIFS(
  m.vb[valor],
  m.vb[nucleo],$AJ$1,
  m.vb[variavel],AS$7,
  m.vb[mes],$A70
)</f>
        <v>0</v>
      </c>
      <c r="AT70" s="111">
        <f ca="1">SUMIFS(
  m.vb[valor],
  m.vb[nucleo],$AJ$1,
  m.vb[variavel],AT$7,
  m.vb[mes],$A70
)</f>
        <v>0</v>
      </c>
      <c r="AU70" s="111">
        <f ca="1">SUMIFS(
  m.vb[valor],
  m.vb[nucleo],$AJ$1,
  m.vb[variavel],AU$7,
  m.vb[mes],$A70
)</f>
        <v>0</v>
      </c>
      <c r="AV70" s="122">
        <f>COUNTIFS(
    tb_estq[empresa], AV$6,
    tb_estq[Data da venda / reserva], "&gt;=" &amp; $A70,
    tb_estq[Data da venda / reserva], "&lt;"  &amp; EOMONTH($A70,0) + 1
)</f>
        <v>0</v>
      </c>
      <c r="AW70" s="123">
        <f ca="1">SUMIFS(tb_rec_uni[2026-08-01],
INDIRECT("tb_rec_uni[natureza]"),"pro.soluto",
INDIRECT("tb_rec_uni[empresa]"),AW$6)</f>
        <v>0</v>
      </c>
      <c r="AX70" s="123">
        <f ca="1">SUMIFS(tb_rec_uni[2026-08-01],
INDIRECT("tb_rec_uni[natureza]"),"repasse.cef.obra",
INDIRECT("tb_rec_uni[empresa]"),AX$6)</f>
        <v>0</v>
      </c>
      <c r="AY70" s="126">
        <f ca="1">SUMIFS(tb_rec_uni[2026-08-01],
INDIRECT("tb_rec_uni[natureza]"),"repasse.cef.terreno",
INDIRECT("tb_rec_uni[empresa]"),AY$6)</f>
        <v>0</v>
      </c>
      <c r="AZ70" s="127"/>
      <c r="BA70" s="123">
        <f ca="1">SUMIFS(tb_rec_uni[2026-08-01],
INDIRECT("tb_rec_uni[natureza]"),"taxa.extra",
INDIRECT("tb_rec_uni[empresa]"),BA$6)</f>
        <v>0</v>
      </c>
      <c r="BB70" s="111"/>
      <c r="BC70" s="111">
        <f ca="1">SUMIFS(
  m.vb[valor],
  m.vb[nucleo],$AV$1,
  m.vb[variavel],BC$7,
  m.vb[mes],$A70
)</f>
        <v>0</v>
      </c>
      <c r="BD70" s="111">
        <f ca="1">SUMIFS(
  m.vb[valor],
  m.vb[nucleo],$AV$1,
  m.vb[variavel],BD$7,
  m.vb[mes],$A70
)</f>
        <v>0</v>
      </c>
      <c r="BE70" s="111">
        <f ca="1">SUMIFS(
  m.vb[valor],
  m.vb[nucleo],$AV$1,
  m.vb[variavel],BE$7,
  m.vb[mes],$A70
)</f>
        <v>0</v>
      </c>
      <c r="BF70" s="111">
        <f ca="1">SUMIFS(
  m.vb[valor],
  m.vb[nucleo],$AV$1,
  m.vb[variavel],BF$7,
  m.vb[mes],$A70
)</f>
        <v>0</v>
      </c>
      <c r="BG70" s="111">
        <f ca="1">SUMIFS(
  m.vb[valor],
  m.vb[nucleo],$AV$1,
  m.vb[variavel],BG$7,
  m.vb[mes],$A70
)</f>
        <v>0</v>
      </c>
      <c r="BH70" s="122">
        <f>COUNTIFS(
    tb_estq[empresa], BH$6,
    tb_estq[Data da venda / reserva], "&gt;=" &amp; $A70,
    tb_estq[Data da venda / reserva], "&lt;"  &amp; EOMONTH($A70,0) + 1
)</f>
        <v>0</v>
      </c>
      <c r="BI70" s="123">
        <f ca="1">SUMIFS(tb_rec_uni[2026-08-01],
INDIRECT("tb_rec_uni[natureza]"),"pro.soluto",
INDIRECT("tb_rec_uni[empresa]"),BI$6)</f>
        <v>0</v>
      </c>
      <c r="BJ70" s="127"/>
      <c r="BK70" s="123">
        <f ca="1">SUMIFS(tb_rec_uni[2026-08-01],
INDIRECT("tb_rec_uni[natureza]"),"taxa.extra",
INDIRECT("tb_rec_uni[empresa]"),BK$6)</f>
        <v>0</v>
      </c>
      <c r="BL70" s="111"/>
      <c r="BM70" s="111">
        <f ca="1">SUMIFS(
  m.vb[valor],
  m.vb[nucleo],$BH$1,
  m.vb[variavel],BM$7,
  m.vb[mes],$A70
)</f>
        <v>0</v>
      </c>
      <c r="BN70" s="111">
        <f ca="1">SUMIFS(
  m.vb[valor],
  m.vb[nucleo],$BH$1,
  m.vb[variavel],BN$7,
  m.vb[mes],$A70
)</f>
        <v>0</v>
      </c>
      <c r="BO70" s="111">
        <f ca="1">SUMIFS(
  m.vb[valor],
  m.vb[nucleo],$BH$1,
  m.vb[variavel],BO$7,
  m.vb[mes],$A70
)</f>
        <v>0</v>
      </c>
      <c r="BP70" s="111">
        <f ca="1">SUMIFS(
  m.vb[valor],
  m.vb[nucleo],$BH$1,
  m.vb[variavel],BP$7,
  m.vb[mes],$A70
)</f>
        <v>0</v>
      </c>
      <c r="BQ70" s="111">
        <f ca="1">SUMIFS(
  m.vb[valor],
  m.vb[nucleo],$BH$1,
  m.vb[variavel],BQ$7,
  m.vb[mes],$A70
)</f>
        <v>0</v>
      </c>
      <c r="BR70" s="122">
        <f>COUNTIFS(
    tb_estq[empresa], BR$6,
    tb_estq[Data da venda / reserva], "&gt;=" &amp; $A70,
    tb_estq[Data da venda / reserva], "&lt;"  &amp; EOMONTH($A70,0) + 1
)</f>
        <v>0</v>
      </c>
      <c r="BS70" s="123">
        <f ca="1">SUMIFS(tb_rec_uni[2026-08-01],
INDIRECT("tb_rec_uni[natureza]"),"pro.soluto",
INDIRECT("tb_rec_uni[empresa]"),BS$6)</f>
        <v>0</v>
      </c>
      <c r="BT70" s="127">
        <f ca="1">SUMIFS(tb_rec_uni[2026-08-01],
INDIRECT("tb_rec_uni[natureza]"),"parcela.fin.total.ik",
INDIRECT("tb_rec_uni[empresa]"),BT$6)</f>
        <v>0</v>
      </c>
      <c r="BU70" s="123">
        <f ca="1">SUMIFS(tb_rec_uni[2026-08-01],
INDIRECT("tb_rec_uni[natureza]"),"taxa.extra",
INDIRECT("tb_rec_uni[empresa]"),BU$6)</f>
        <v>0</v>
      </c>
      <c r="BV70" s="111"/>
      <c r="BW70" s="111">
        <f ca="1">SUMIFS(
  m.vb[valor],
  m.vb[nucleo],$BR$1,
  m.vb[variavel],BW$7,
  m.vb[mes],$A70
)</f>
        <v>0</v>
      </c>
      <c r="BX70" s="111">
        <f ca="1">SUMIFS(
  m.vb[valor],
  m.vb[nucleo],$BR$1,
  m.vb[variavel],BX$7,
  m.vb[mes],$A70
)</f>
        <v>0</v>
      </c>
      <c r="BY70" s="111">
        <f ca="1">SUMIFS(
  m.vb[valor],
  m.vb[nucleo],$BR$1,
  m.vb[variavel],BY$7,
  m.vb[mes],$A70
)</f>
        <v>0</v>
      </c>
      <c r="BZ70" s="111">
        <f ca="1">SUMIFS(
  m.vb[valor],
  m.vb[nucleo],$BR$1,
  m.vb[variavel],BZ$7,
  m.vb[mes],$A70
)</f>
        <v>0</v>
      </c>
      <c r="CA70" s="111">
        <f ca="1">SUMIFS(
  m.vb[valor],
  m.vb[nucleo],$BR$1,
  m.vb[variavel],CA$7,
  m.vb[mes],$A70
)</f>
        <v>0</v>
      </c>
      <c r="CB70" s="122">
        <f>COUNTIFS(
    tb_estq[empresa], CB$6,
    tb_estq[Data da venda / reserva], "&gt;=" &amp; $A70,
    tb_estq[Data da venda / reserva], "&lt;"  &amp; EOMONTH($A70,0) + 1
)</f>
        <v>0</v>
      </c>
      <c r="CC70" s="123">
        <f ca="1">SUMIFS(tb_rec_uni[2026-08-01],
INDIRECT("tb_rec_uni[natureza]"),"pro.soluto",
INDIRECT("tb_rec_uni[empresa]"),CC$6)</f>
        <v>0</v>
      </c>
      <c r="CD70" s="123">
        <f ca="1">SUMIFS(tb_rec_uni[2026-08-01],
INDIRECT("tb_rec_uni[natureza]"),"repasse.cef.obra",
INDIRECT("tb_rec_uni[empresa]"),CD$6)</f>
        <v>0</v>
      </c>
      <c r="CE70" s="126">
        <f ca="1">SUMIFS(tb_rec_uni[2026-08-01],
INDIRECT("tb_rec_uni[natureza]"),"repasse.cef.terreno",
INDIRECT("tb_rec_uni[empresa]"),CE$6)</f>
        <v>0</v>
      </c>
      <c r="CF70" s="127"/>
      <c r="CG70" s="123">
        <f ca="1">SUMIFS(tb_rec_uni[2026-08-01],
INDIRECT("tb_rec_uni[natureza]"),"taxa.extra",
INDIRECT("tb_rec_uni[empresa]"),CG$6)</f>
        <v>0</v>
      </c>
      <c r="CH70" s="111"/>
      <c r="CI70" s="111">
        <f ca="1">SUMIFS(
  m.vb[valor],
  m.vb[nucleo],$CB$1,
  m.vb[variavel],CI$7,
  m.vb[mes],$A70
)</f>
        <v>0</v>
      </c>
      <c r="CJ70" s="111">
        <f ca="1">SUMIFS(
  m.vb[valor],
  m.vb[nucleo],$CB$1,
  m.vb[variavel],CJ$7,
  m.vb[mes],$A70
)</f>
        <v>0</v>
      </c>
      <c r="CK70" s="111">
        <f ca="1">SUMIFS(
  m.vb[valor],
  m.vb[nucleo],$CB$1,
  m.vb[variavel],CK$7,
  m.vb[mes],$A70
)</f>
        <v>0</v>
      </c>
      <c r="CL70" s="111">
        <f ca="1">SUMIFS(
  m.vb[valor],
  m.vb[nucleo],$CB$1,
  m.vb[variavel],CL$7,
  m.vb[mes],$A70
)</f>
        <v>0</v>
      </c>
      <c r="CM70" s="111">
        <f ca="1">SUMIFS(
  m.vb[valor],
  m.vb[nucleo],$CB$1,
  m.vb[variavel],CM$7,
  m.vb[mes],$A70
)</f>
        <v>0</v>
      </c>
      <c r="CN70" s="122">
        <f>COUNTIFS(
    tb_estq[empresa], CN$6,
    tb_estq[Data da venda / reserva], "&gt;=" &amp; $A70,
    tb_estq[Data da venda / reserva], "&lt;"  &amp; EOMONTH($A70,0) + 1
)</f>
        <v>0</v>
      </c>
      <c r="CO70" s="123">
        <f ca="1">SUMIFS(tb_rec_uni[2026-08-01],
INDIRECT("tb_rec_uni[natureza]"),"pro.soluto",
INDIRECT("tb_rec_uni[empresa]"),CO$6)</f>
        <v>0</v>
      </c>
      <c r="CP70" s="123">
        <f ca="1">SUMIFS(tb_rec_uni[2026-08-01],
INDIRECT("tb_rec_uni[natureza]"),"repasse.cef.obra",
INDIRECT("tb_rec_uni[empresa]"),CP$6)</f>
        <v>0</v>
      </c>
      <c r="CQ70" s="126">
        <f ca="1">SUMIFS(tb_rec_uni[2026-08-01],
INDIRECT("tb_rec_uni[natureza]"),"repasse.cef.terreno",
INDIRECT("tb_rec_uni[empresa]"),CQ$6)</f>
        <v>0</v>
      </c>
      <c r="CR70" s="127"/>
      <c r="CS70" s="123">
        <f ca="1">SUMIFS(tb_rec_uni[2026-08-01],
INDIRECT("tb_rec_uni[natureza]"),"taxa.extra",
INDIRECT("tb_rec_uni[empresa]"),CS$6)</f>
        <v>0</v>
      </c>
      <c r="CT70" s="111"/>
      <c r="CU70" s="111">
        <f ca="1">SUMIFS(
  m.vb[valor],
  m.vb[nucleo],$CN$1,
  m.vb[variavel],CU$7,
  m.vb[mes],$A70
)</f>
        <v>0</v>
      </c>
      <c r="CV70" s="111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11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11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4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21">
        <v>46266</v>
      </c>
      <c r="B71" s="122">
        <f>COUNTIFS(
    tb_estq[empresa], B$6,
    tb_estq[Data da venda / reserva], "&gt;=" &amp; $A71,
    tb_estq[Data da venda / reserva], "&lt;"  &amp; EOMONTH($A71,0) + 1
)</f>
        <v>0</v>
      </c>
      <c r="C71" s="123">
        <f ca="1">SUMIFS(tb_rec_uni[2026-09-01],
INDIRECT("tb_rec_uni[natureza]"),"pro.soluto",
INDIRECT("tb_rec_uni[empresa]"),C$6)</f>
        <v>0</v>
      </c>
      <c r="D71" s="123">
        <f ca="1">SUMIFS(tb_rec_uni[2026-09-01],
INDIRECT("tb_rec_uni[natureza]"),"repasse.cef.obra",
INDIRECT("tb_rec_uni[empresa]"),D$6)</f>
        <v>0</v>
      </c>
      <c r="E71" s="123">
        <f ca="1">SUMIFS(tb_rec_uni[2026-09-01],
INDIRECT("tb_rec_uni[natureza]"),"repasse.cef.terreno",
INDIRECT("tb_rec_uni[empresa]"),E$6)</f>
        <v>0</v>
      </c>
      <c r="F71" s="127"/>
      <c r="G71" s="123">
        <f ca="1">SUMIFS(tb_rec_uni[2026-09-01],
INDIRECT("tb_rec_uni[natureza]"),"taxa.extra",
INDIRECT("tb_rec_uni[empresa]"),G$6)</f>
        <v>0</v>
      </c>
      <c r="H71" s="111"/>
      <c r="I71" s="111">
        <f ca="1">SUMIFS(
  m.vb[valor],
  m.vb[nucleo],$B$1,
  m.vb[variavel],I$7,
  m.vb[mes],$A71
)</f>
        <v>0</v>
      </c>
      <c r="J71" s="111">
        <f ca="1">SUMIFS(
  m.vb[valor],
  m.vb[nucleo],$B$1,
  m.vb[variavel],J$7,
  m.vb[mes],$A71
)</f>
        <v>0</v>
      </c>
      <c r="K71" s="111">
        <f ca="1">SUMIFS(
  m.vb[valor],
  m.vb[nucleo],$B$1,
  m.vb[variavel],K$7,
  m.vb[mes],$A71
)</f>
        <v>0</v>
      </c>
      <c r="L71" s="111">
        <f ca="1">SUMIFS(
  m.vb[valor],
  m.vb[nucleo],$B$1,
  m.vb[variavel],L$7,
  m.vb[mes],$A71
)</f>
        <v>0</v>
      </c>
      <c r="M71" s="111">
        <f ca="1">SUMIFS(
  m.vb[valor],
  m.vb[nucleo],$B$1,
  m.vb[variavel],M$7,
  m.vb[mes],$A71
)</f>
        <v>0</v>
      </c>
      <c r="N71" s="122">
        <f>COUNTIFS(
    tb_estq[empresa], N$6,
    tb_estq[Data da venda / reserva], "&gt;=" &amp; $A71,
    tb_estq[Data da venda / reserva], "&lt;"  &amp; EOMONTH($A71,0) + 1
)</f>
        <v>0</v>
      </c>
      <c r="O71" s="123">
        <f ca="1">SUMIFS(tb_rec_uni[2026-09-01],
INDIRECT("tb_rec_uni[natureza]"),"pro.soluto",
INDIRECT("tb_rec_uni[empresa]"),O$6)</f>
        <v>0</v>
      </c>
      <c r="P71" s="123">
        <f ca="1">SUMIFS(tb_rec_uni[2026-09-01],
INDIRECT("tb_rec_uni[natureza]"),"repasse.cef.obra",
INDIRECT("tb_rec_uni[empresa]"),P$6)</f>
        <v>0</v>
      </c>
      <c r="Q71" s="123">
        <f ca="1">SUMIFS(tb_rec_uni[2026-09-01],
INDIRECT("tb_rec_uni[natureza]"),"repasse.cef.terreno",
INDIRECT("tb_rec_uni[empresa]"),Q$6)</f>
        <v>0</v>
      </c>
      <c r="R71" s="127"/>
      <c r="S71" s="123">
        <f ca="1">SUMIFS(tb_rec_uni[2026-09-01],
INDIRECT("tb_rec_uni[natureza]"),"taxa.extra",
INDIRECT("tb_rec_uni[empresa]"),S$6)</f>
        <v>0</v>
      </c>
      <c r="T71" s="111"/>
      <c r="U71" s="111">
        <f ca="1">SUMIFS(
  m.vb[valor],
  m.vb[nucleo],$N$1,
  m.vb[variavel],U$7,
  m.vb[mes],$A71
)</f>
        <v>0</v>
      </c>
      <c r="V71" s="111">
        <f ca="1">SUMIFS(
  m.vb[valor],
  m.vb[nucleo],$N$1,
  m.vb[variavel],V$7,
  m.vb[mes],$A71
)</f>
        <v>0</v>
      </c>
      <c r="W71" s="111">
        <f ca="1">SUMIFS(
  m.vb[valor],
  m.vb[nucleo],$N$1,
  m.vb[variavel],W$7,
  m.vb[mes],$A71
)</f>
        <v>0</v>
      </c>
      <c r="X71" s="111">
        <f ca="1">SUMIFS(
  m.vb[valor],
  m.vb[nucleo],$N$1,
  m.vb[variavel],X$7,
  m.vb[mes],$A71
)</f>
        <v>0</v>
      </c>
      <c r="Y71" s="111">
        <f ca="1">SUMIFS(
  m.vb[valor],
  m.vb[nucleo],$N$1,
  m.vb[variavel],Y$7,
  m.vb[mes],$A71
)</f>
        <v>0</v>
      </c>
      <c r="Z71" s="122">
        <f>COUNTIFS(
    tb_estq[empresa], Z$6,
    tb_estq[Data da venda / reserva], "&gt;=" &amp; $A71,
    tb_estq[Data da venda / reserva], "&lt;"  &amp; EOMONTH($A71,0) + 1
)</f>
        <v>0</v>
      </c>
      <c r="AA71" s="123">
        <f ca="1">SUMIFS(tb_rec_uni[2026-09-01],
INDIRECT("tb_rec_uni[natureza]"),"pro.soluto",
INDIRECT("tb_rec_uni[empresa]"),AA$6)</f>
        <v>0</v>
      </c>
      <c r="AB71" s="127">
        <f ca="1">SUMIFS(tb_rec_uni[2026-09-01],
INDIRECT("tb_rec_uni[natureza]"),"parcela.fin.total.ik",
INDIRECT("tb_rec_uni[empresa]"),AB$6)</f>
        <v>0</v>
      </c>
      <c r="AC71" s="123">
        <f ca="1">SUMIFS(tb_rec_uni[2026-09-01],
INDIRECT("tb_rec_uni[natureza]"),"taxa.extra",
INDIRECT("tb_rec_uni[empresa]"),AC$6)</f>
        <v>0</v>
      </c>
      <c r="AD71" s="111"/>
      <c r="AE71" s="111">
        <f ca="1">SUMIFS(
  m.vb[valor],
  m.vb[nucleo],$Z$1,
  m.vb[variavel],AE$7,
  m.vb[mes],$A71
)</f>
        <v>0</v>
      </c>
      <c r="AF71" s="111">
        <f ca="1">SUMIFS(
  m.vb[valor],
  m.vb[nucleo],$Z$1,
  m.vb[variavel],AF$7,
  m.vb[mes],$A71
)</f>
        <v>0</v>
      </c>
      <c r="AG71" s="111">
        <f ca="1">SUMIFS(
  m.vb[valor],
  m.vb[nucleo],$Z$1,
  m.vb[variavel],AG$7,
  m.vb[mes],$A71
)</f>
        <v>0</v>
      </c>
      <c r="AH71" s="111">
        <f ca="1">SUMIFS(
  m.vb[valor],
  m.vb[nucleo],$Z$1,
  m.vb[variavel],AH$7,
  m.vb[mes],$A71
)</f>
        <v>0</v>
      </c>
      <c r="AI71" s="111">
        <f ca="1">SUMIFS(
  m.vb[valor],
  m.vb[nucleo],$Z$1,
  m.vb[variavel],AI$7,
  m.vb[mes],$A71
)</f>
        <v>0</v>
      </c>
      <c r="AJ71" s="122">
        <f>COUNTIFS(
    tb_estq[empresa], AJ$6,
    tb_estq[Data da venda / reserva], "&gt;=" &amp; $A71,
    tb_estq[Data da venda / reserva], "&lt;"  &amp; EOMONTH($A71,0) + 1
)</f>
        <v>0</v>
      </c>
      <c r="AK71" s="123">
        <f ca="1">SUMIFS(tb_rec_uni[2026-09-01],
INDIRECT("tb_rec_uni[natureza]"),"pro.soluto",
INDIRECT("tb_rec_uni[empresa]"),AK$6)</f>
        <v>0</v>
      </c>
      <c r="AL71" s="123">
        <f ca="1">SUMIFS(tb_rec_uni[2026-09-01],
INDIRECT("tb_rec_uni[natureza]"),"repasse.cef.obra",
INDIRECT("tb_rec_uni[empresa]"),AL$6)</f>
        <v>0</v>
      </c>
      <c r="AM71" s="126">
        <f ca="1">SUMIFS(tb_rec_uni[2026-09-01],
INDIRECT("tb_rec_uni[natureza]"),"repasse.cef.terreno",
INDIRECT("tb_rec_uni[empresa]"),AM$6)</f>
        <v>0</v>
      </c>
      <c r="AN71" s="127"/>
      <c r="AO71" s="123">
        <f ca="1">SUMIFS(tb_rec_uni[2026-09-01],
INDIRECT("tb_rec_uni[natureza]"),"taxa.extra",
INDIRECT("tb_rec_uni[empresa]"),AO$6)</f>
        <v>0</v>
      </c>
      <c r="AP71" s="111"/>
      <c r="AQ71" s="111">
        <f ca="1">SUMIFS(
  m.vb[valor],
  m.vb[nucleo],$AJ$1,
  m.vb[variavel],AQ$7,
  m.vb[mes],$A71
)</f>
        <v>0</v>
      </c>
      <c r="AR71" s="111">
        <f ca="1">SUMIFS(
  m.vb[valor],
  m.vb[nucleo],$AJ$1,
  m.vb[variavel],AR$7,
  m.vb[mes],$A71
)</f>
        <v>0</v>
      </c>
      <c r="AS71" s="111">
        <f ca="1">SUMIFS(
  m.vb[valor],
  m.vb[nucleo],$AJ$1,
  m.vb[variavel],AS$7,
  m.vb[mes],$A71
)</f>
        <v>0</v>
      </c>
      <c r="AT71" s="111">
        <f ca="1">SUMIFS(
  m.vb[valor],
  m.vb[nucleo],$AJ$1,
  m.vb[variavel],AT$7,
  m.vb[mes],$A71
)</f>
        <v>0</v>
      </c>
      <c r="AU71" s="111">
        <f ca="1">SUMIFS(
  m.vb[valor],
  m.vb[nucleo],$AJ$1,
  m.vb[variavel],AU$7,
  m.vb[mes],$A71
)</f>
        <v>0</v>
      </c>
      <c r="AV71" s="122">
        <f>COUNTIFS(
    tb_estq[empresa], AV$6,
    tb_estq[Data da venda / reserva], "&gt;=" &amp; $A71,
    tb_estq[Data da venda / reserva], "&lt;"  &amp; EOMONTH($A71,0) + 1
)</f>
        <v>0</v>
      </c>
      <c r="AW71" s="123">
        <f ca="1">SUMIFS(tb_rec_uni[2026-09-01],
INDIRECT("tb_rec_uni[natureza]"),"pro.soluto",
INDIRECT("tb_rec_uni[empresa]"),AW$6)</f>
        <v>0</v>
      </c>
      <c r="AX71" s="123">
        <f ca="1">SUMIFS(tb_rec_uni[2026-09-01],
INDIRECT("tb_rec_uni[natureza]"),"repasse.cef.obra",
INDIRECT("tb_rec_uni[empresa]"),AX$6)</f>
        <v>0</v>
      </c>
      <c r="AY71" s="126">
        <f ca="1">SUMIFS(tb_rec_uni[2026-09-01],
INDIRECT("tb_rec_uni[natureza]"),"repasse.cef.terreno",
INDIRECT("tb_rec_uni[empresa]"),AY$6)</f>
        <v>0</v>
      </c>
      <c r="AZ71" s="127"/>
      <c r="BA71" s="123">
        <f ca="1">SUMIFS(tb_rec_uni[2026-09-01],
INDIRECT("tb_rec_uni[natureza]"),"taxa.extra",
INDIRECT("tb_rec_uni[empresa]"),BA$6)</f>
        <v>0</v>
      </c>
      <c r="BB71" s="111"/>
      <c r="BC71" s="111">
        <f ca="1">SUMIFS(
  m.vb[valor],
  m.vb[nucleo],$AV$1,
  m.vb[variavel],BC$7,
  m.vb[mes],$A71
)</f>
        <v>0</v>
      </c>
      <c r="BD71" s="111">
        <f ca="1">SUMIFS(
  m.vb[valor],
  m.vb[nucleo],$AV$1,
  m.vb[variavel],BD$7,
  m.vb[mes],$A71
)</f>
        <v>0</v>
      </c>
      <c r="BE71" s="111">
        <f ca="1">SUMIFS(
  m.vb[valor],
  m.vb[nucleo],$AV$1,
  m.vb[variavel],BE$7,
  m.vb[mes],$A71
)</f>
        <v>0</v>
      </c>
      <c r="BF71" s="111">
        <f ca="1">SUMIFS(
  m.vb[valor],
  m.vb[nucleo],$AV$1,
  m.vb[variavel],BF$7,
  m.vb[mes],$A71
)</f>
        <v>0</v>
      </c>
      <c r="BG71" s="111">
        <f ca="1">SUMIFS(
  m.vb[valor],
  m.vb[nucleo],$AV$1,
  m.vb[variavel],BG$7,
  m.vb[mes],$A71
)</f>
        <v>0</v>
      </c>
      <c r="BH71" s="122">
        <f>COUNTIFS(
    tb_estq[empresa], BH$6,
    tb_estq[Data da venda / reserva], "&gt;=" &amp; $A71,
    tb_estq[Data da venda / reserva], "&lt;"  &amp; EOMONTH($A71,0) + 1
)</f>
        <v>0</v>
      </c>
      <c r="BI71" s="123">
        <f ca="1">SUMIFS(tb_rec_uni[2026-09-01],
INDIRECT("tb_rec_uni[natureza]"),"pro.soluto",
INDIRECT("tb_rec_uni[empresa]"),BI$6)</f>
        <v>0</v>
      </c>
      <c r="BJ71" s="127"/>
      <c r="BK71" s="123">
        <f ca="1">SUMIFS(tb_rec_uni[2026-09-01],
INDIRECT("tb_rec_uni[natureza]"),"taxa.extra",
INDIRECT("tb_rec_uni[empresa]"),BK$6)</f>
        <v>0</v>
      </c>
      <c r="BL71" s="111"/>
      <c r="BM71" s="111">
        <f ca="1">SUMIFS(
  m.vb[valor],
  m.vb[nucleo],$BH$1,
  m.vb[variavel],BM$7,
  m.vb[mes],$A71
)</f>
        <v>0</v>
      </c>
      <c r="BN71" s="111">
        <f ca="1">SUMIFS(
  m.vb[valor],
  m.vb[nucleo],$BH$1,
  m.vb[variavel],BN$7,
  m.vb[mes],$A71
)</f>
        <v>0</v>
      </c>
      <c r="BO71" s="111">
        <f ca="1">SUMIFS(
  m.vb[valor],
  m.vb[nucleo],$BH$1,
  m.vb[variavel],BO$7,
  m.vb[mes],$A71
)</f>
        <v>0</v>
      </c>
      <c r="BP71" s="111">
        <f ca="1">SUMIFS(
  m.vb[valor],
  m.vb[nucleo],$BH$1,
  m.vb[variavel],BP$7,
  m.vb[mes],$A71
)</f>
        <v>0</v>
      </c>
      <c r="BQ71" s="111">
        <f ca="1">SUMIFS(
  m.vb[valor],
  m.vb[nucleo],$BH$1,
  m.vb[variavel],BQ$7,
  m.vb[mes],$A71
)</f>
        <v>0</v>
      </c>
      <c r="BR71" s="122">
        <f>COUNTIFS(
    tb_estq[empresa], BR$6,
    tb_estq[Data da venda / reserva], "&gt;=" &amp; $A71,
    tb_estq[Data da venda / reserva], "&lt;"  &amp; EOMONTH($A71,0) + 1
)</f>
        <v>0</v>
      </c>
      <c r="BS71" s="123">
        <f ca="1">SUMIFS(tb_rec_uni[2026-09-01],
INDIRECT("tb_rec_uni[natureza]"),"pro.soluto",
INDIRECT("tb_rec_uni[empresa]"),BS$6)</f>
        <v>0</v>
      </c>
      <c r="BT71" s="127">
        <f ca="1">SUMIFS(tb_rec_uni[2026-09-01],
INDIRECT("tb_rec_uni[natureza]"),"parcela.fin.total.ik",
INDIRECT("tb_rec_uni[empresa]"),BT$6)</f>
        <v>0</v>
      </c>
      <c r="BU71" s="123">
        <f ca="1">SUMIFS(tb_rec_uni[2026-09-01],
INDIRECT("tb_rec_uni[natureza]"),"taxa.extra",
INDIRECT("tb_rec_uni[empresa]"),BU$6)</f>
        <v>0</v>
      </c>
      <c r="BV71" s="111"/>
      <c r="BW71" s="111">
        <f ca="1">SUMIFS(
  m.vb[valor],
  m.vb[nucleo],$BR$1,
  m.vb[variavel],BW$7,
  m.vb[mes],$A71
)</f>
        <v>0</v>
      </c>
      <c r="BX71" s="111">
        <f ca="1">SUMIFS(
  m.vb[valor],
  m.vb[nucleo],$BR$1,
  m.vb[variavel],BX$7,
  m.vb[mes],$A71
)</f>
        <v>0</v>
      </c>
      <c r="BY71" s="111">
        <f ca="1">SUMIFS(
  m.vb[valor],
  m.vb[nucleo],$BR$1,
  m.vb[variavel],BY$7,
  m.vb[mes],$A71
)</f>
        <v>0</v>
      </c>
      <c r="BZ71" s="111">
        <f ca="1">SUMIFS(
  m.vb[valor],
  m.vb[nucleo],$BR$1,
  m.vb[variavel],BZ$7,
  m.vb[mes],$A71
)</f>
        <v>0</v>
      </c>
      <c r="CA71" s="111">
        <f ca="1">SUMIFS(
  m.vb[valor],
  m.vb[nucleo],$BR$1,
  m.vb[variavel],CA$7,
  m.vb[mes],$A71
)</f>
        <v>0</v>
      </c>
      <c r="CB71" s="122">
        <f>COUNTIFS(
    tb_estq[empresa], CB$6,
    tb_estq[Data da venda / reserva], "&gt;=" &amp; $A71,
    tb_estq[Data da venda / reserva], "&lt;"  &amp; EOMONTH($A71,0) + 1
)</f>
        <v>0</v>
      </c>
      <c r="CC71" s="123">
        <f ca="1">SUMIFS(tb_rec_uni[2026-09-01],
INDIRECT("tb_rec_uni[natureza]"),"pro.soluto",
INDIRECT("tb_rec_uni[empresa]"),CC$6)</f>
        <v>0</v>
      </c>
      <c r="CD71" s="123">
        <f ca="1">SUMIFS(tb_rec_uni[2026-09-01],
INDIRECT("tb_rec_uni[natureza]"),"repasse.cef.obra",
INDIRECT("tb_rec_uni[empresa]"),CD$6)</f>
        <v>0</v>
      </c>
      <c r="CE71" s="126">
        <f ca="1">SUMIFS(tb_rec_uni[2026-09-01],
INDIRECT("tb_rec_uni[natureza]"),"repasse.cef.terreno",
INDIRECT("tb_rec_uni[empresa]"),CE$6)</f>
        <v>0</v>
      </c>
      <c r="CF71" s="127"/>
      <c r="CG71" s="123">
        <f ca="1">SUMIFS(tb_rec_uni[2026-09-01],
INDIRECT("tb_rec_uni[natureza]"),"taxa.extra",
INDIRECT("tb_rec_uni[empresa]"),CG$6)</f>
        <v>0</v>
      </c>
      <c r="CH71" s="111"/>
      <c r="CI71" s="111">
        <f ca="1">SUMIFS(
  m.vb[valor],
  m.vb[nucleo],$CB$1,
  m.vb[variavel],CI$7,
  m.vb[mes],$A71
)</f>
        <v>0</v>
      </c>
      <c r="CJ71" s="111">
        <f ca="1">SUMIFS(
  m.vb[valor],
  m.vb[nucleo],$CB$1,
  m.vb[variavel],CJ$7,
  m.vb[mes],$A71
)</f>
        <v>0</v>
      </c>
      <c r="CK71" s="111">
        <f ca="1">SUMIFS(
  m.vb[valor],
  m.vb[nucleo],$CB$1,
  m.vb[variavel],CK$7,
  m.vb[mes],$A71
)</f>
        <v>0</v>
      </c>
      <c r="CL71" s="111">
        <f ca="1">SUMIFS(
  m.vb[valor],
  m.vb[nucleo],$CB$1,
  m.vb[variavel],CL$7,
  m.vb[mes],$A71
)</f>
        <v>0</v>
      </c>
      <c r="CM71" s="111">
        <f ca="1">SUMIFS(
  m.vb[valor],
  m.vb[nucleo],$CB$1,
  m.vb[variavel],CM$7,
  m.vb[mes],$A71
)</f>
        <v>0</v>
      </c>
      <c r="CN71" s="122">
        <f>COUNTIFS(
    tb_estq[empresa], CN$6,
    tb_estq[Data da venda / reserva], "&gt;=" &amp; $A71,
    tb_estq[Data da venda / reserva], "&lt;"  &amp; EOMONTH($A71,0) + 1
)</f>
        <v>0</v>
      </c>
      <c r="CO71" s="123">
        <f ca="1">SUMIFS(tb_rec_uni[2026-09-01],
INDIRECT("tb_rec_uni[natureza]"),"pro.soluto",
INDIRECT("tb_rec_uni[empresa]"),CO$6)</f>
        <v>0</v>
      </c>
      <c r="CP71" s="123">
        <f ca="1">SUMIFS(tb_rec_uni[2026-09-01],
INDIRECT("tb_rec_uni[natureza]"),"repasse.cef.obra",
INDIRECT("tb_rec_uni[empresa]"),CP$6)</f>
        <v>0</v>
      </c>
      <c r="CQ71" s="126">
        <f ca="1">SUMIFS(tb_rec_uni[2026-09-01],
INDIRECT("tb_rec_uni[natureza]"),"repasse.cef.terreno",
INDIRECT("tb_rec_uni[empresa]"),CQ$6)</f>
        <v>0</v>
      </c>
      <c r="CR71" s="127"/>
      <c r="CS71" s="123">
        <f ca="1">SUMIFS(tb_rec_uni[2026-09-01],
INDIRECT("tb_rec_uni[natureza]"),"taxa.extra",
INDIRECT("tb_rec_uni[empresa]"),CS$6)</f>
        <v>0</v>
      </c>
      <c r="CT71" s="111"/>
      <c r="CU71" s="111">
        <f ca="1">SUMIFS(
  m.vb[valor],
  m.vb[nucleo],$CN$1,
  m.vb[variavel],CU$7,
  m.vb[mes],$A71
)</f>
        <v>0</v>
      </c>
      <c r="CV71" s="111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11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11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4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21">
        <v>46296</v>
      </c>
      <c r="B72" s="122">
        <f>COUNTIFS(
    tb_estq[empresa], B$6,
    tb_estq[Data da venda / reserva], "&gt;=" &amp; $A72,
    tb_estq[Data da venda / reserva], "&lt;"  &amp; EOMONTH($A72,0) + 1
)</f>
        <v>0</v>
      </c>
      <c r="C72" s="123">
        <f ca="1">SUMIFS(tb_rec_uni[2026-10-01],
INDIRECT("tb_rec_uni[natureza]"),"pro.soluto",
INDIRECT("tb_rec_uni[empresa]"),C$6)</f>
        <v>0</v>
      </c>
      <c r="D72" s="123">
        <f ca="1">SUMIFS(tb_rec_uni[2026-10-01],
INDIRECT("tb_rec_uni[natureza]"),"repasse.cef.obra",
INDIRECT("tb_rec_uni[empresa]"),D$6)</f>
        <v>0</v>
      </c>
      <c r="E72" s="123">
        <f ca="1">SUMIFS(tb_rec_uni[2026-10-01],
INDIRECT("tb_rec_uni[natureza]"),"repasse.cef.terreno",
INDIRECT("tb_rec_uni[empresa]"),E$6)</f>
        <v>0</v>
      </c>
      <c r="F72" s="127"/>
      <c r="G72" s="123">
        <f ca="1">SUMIFS(tb_rec_uni[2026-10-01],
INDIRECT("tb_rec_uni[natureza]"),"taxa.extra",
INDIRECT("tb_rec_uni[empresa]"),G$6)</f>
        <v>0</v>
      </c>
      <c r="H72" s="111"/>
      <c r="I72" s="111">
        <f ca="1">SUMIFS(
  m.vb[valor],
  m.vb[nucleo],$B$1,
  m.vb[variavel],I$7,
  m.vb[mes],$A72
)</f>
        <v>0</v>
      </c>
      <c r="J72" s="111">
        <f ca="1">SUMIFS(
  m.vb[valor],
  m.vb[nucleo],$B$1,
  m.vb[variavel],J$7,
  m.vb[mes],$A72
)</f>
        <v>0</v>
      </c>
      <c r="K72" s="111">
        <f ca="1">SUMIFS(
  m.vb[valor],
  m.vb[nucleo],$B$1,
  m.vb[variavel],K$7,
  m.vb[mes],$A72
)</f>
        <v>0</v>
      </c>
      <c r="L72" s="111">
        <f ca="1">SUMIFS(
  m.vb[valor],
  m.vb[nucleo],$B$1,
  m.vb[variavel],L$7,
  m.vb[mes],$A72
)</f>
        <v>0</v>
      </c>
      <c r="M72" s="111">
        <f ca="1">SUMIFS(
  m.vb[valor],
  m.vb[nucleo],$B$1,
  m.vb[variavel],M$7,
  m.vb[mes],$A72
)</f>
        <v>0</v>
      </c>
      <c r="N72" s="122">
        <f>COUNTIFS(
    tb_estq[empresa], N$6,
    tb_estq[Data da venda / reserva], "&gt;=" &amp; $A72,
    tb_estq[Data da venda / reserva], "&lt;"  &amp; EOMONTH($A72,0) + 1
)</f>
        <v>0</v>
      </c>
      <c r="O72" s="123">
        <f ca="1">SUMIFS(tb_rec_uni[2026-10-01],
INDIRECT("tb_rec_uni[natureza]"),"pro.soluto",
INDIRECT("tb_rec_uni[empresa]"),O$6)</f>
        <v>0</v>
      </c>
      <c r="P72" s="123">
        <f ca="1">SUMIFS(tb_rec_uni[2026-10-01],
INDIRECT("tb_rec_uni[natureza]"),"repasse.cef.obra",
INDIRECT("tb_rec_uni[empresa]"),P$6)</f>
        <v>0</v>
      </c>
      <c r="Q72" s="123">
        <f ca="1">SUMIFS(tb_rec_uni[2026-10-01],
INDIRECT("tb_rec_uni[natureza]"),"repasse.cef.terreno",
INDIRECT("tb_rec_uni[empresa]"),Q$6)</f>
        <v>0</v>
      </c>
      <c r="R72" s="127"/>
      <c r="S72" s="123">
        <f ca="1">SUMIFS(tb_rec_uni[2026-10-01],
INDIRECT("tb_rec_uni[natureza]"),"taxa.extra",
INDIRECT("tb_rec_uni[empresa]"),S$6)</f>
        <v>0</v>
      </c>
      <c r="T72" s="111"/>
      <c r="U72" s="111">
        <f ca="1">SUMIFS(
  m.vb[valor],
  m.vb[nucleo],$N$1,
  m.vb[variavel],U$7,
  m.vb[mes],$A72
)</f>
        <v>0</v>
      </c>
      <c r="V72" s="111">
        <f ca="1">SUMIFS(
  m.vb[valor],
  m.vb[nucleo],$N$1,
  m.vb[variavel],V$7,
  m.vb[mes],$A72
)</f>
        <v>0</v>
      </c>
      <c r="W72" s="111">
        <f ca="1">SUMIFS(
  m.vb[valor],
  m.vb[nucleo],$N$1,
  m.vb[variavel],W$7,
  m.vb[mes],$A72
)</f>
        <v>0</v>
      </c>
      <c r="X72" s="111">
        <f ca="1">SUMIFS(
  m.vb[valor],
  m.vb[nucleo],$N$1,
  m.vb[variavel],X$7,
  m.vb[mes],$A72
)</f>
        <v>0</v>
      </c>
      <c r="Y72" s="111">
        <f ca="1">SUMIFS(
  m.vb[valor],
  m.vb[nucleo],$N$1,
  m.vb[variavel],Y$7,
  m.vb[mes],$A72
)</f>
        <v>0</v>
      </c>
      <c r="Z72" s="122">
        <f>COUNTIFS(
    tb_estq[empresa], Z$6,
    tb_estq[Data da venda / reserva], "&gt;=" &amp; $A72,
    tb_estq[Data da venda / reserva], "&lt;"  &amp; EOMONTH($A72,0) + 1
)</f>
        <v>0</v>
      </c>
      <c r="AA72" s="123">
        <f ca="1">SUMIFS(tb_rec_uni[2026-10-01],
INDIRECT("tb_rec_uni[natureza]"),"pro.soluto",
INDIRECT("tb_rec_uni[empresa]"),AA$6)</f>
        <v>0</v>
      </c>
      <c r="AB72" s="127">
        <f ca="1">SUMIFS(tb_rec_uni[2026-10-01],
INDIRECT("tb_rec_uni[natureza]"),"parcela.fin.total.ik",
INDIRECT("tb_rec_uni[empresa]"),AB$6)</f>
        <v>0</v>
      </c>
      <c r="AC72" s="123">
        <f ca="1">SUMIFS(tb_rec_uni[2026-10-01],
INDIRECT("tb_rec_uni[natureza]"),"taxa.extra",
INDIRECT("tb_rec_uni[empresa]"),AC$6)</f>
        <v>0</v>
      </c>
      <c r="AD72" s="111"/>
      <c r="AE72" s="111">
        <f ca="1">SUMIFS(
  m.vb[valor],
  m.vb[nucleo],$Z$1,
  m.vb[variavel],AE$7,
  m.vb[mes],$A72
)</f>
        <v>0</v>
      </c>
      <c r="AF72" s="111">
        <f ca="1">SUMIFS(
  m.vb[valor],
  m.vb[nucleo],$Z$1,
  m.vb[variavel],AF$7,
  m.vb[mes],$A72
)</f>
        <v>0</v>
      </c>
      <c r="AG72" s="111">
        <f ca="1">SUMIFS(
  m.vb[valor],
  m.vb[nucleo],$Z$1,
  m.vb[variavel],AG$7,
  m.vb[mes],$A72
)</f>
        <v>0</v>
      </c>
      <c r="AH72" s="111">
        <f ca="1">SUMIFS(
  m.vb[valor],
  m.vb[nucleo],$Z$1,
  m.vb[variavel],AH$7,
  m.vb[mes],$A72
)</f>
        <v>0</v>
      </c>
      <c r="AI72" s="111">
        <f ca="1">SUMIFS(
  m.vb[valor],
  m.vb[nucleo],$Z$1,
  m.vb[variavel],AI$7,
  m.vb[mes],$A72
)</f>
        <v>0</v>
      </c>
      <c r="AJ72" s="122">
        <f>COUNTIFS(
    tb_estq[empresa], AJ$6,
    tb_estq[Data da venda / reserva], "&gt;=" &amp; $A72,
    tb_estq[Data da venda / reserva], "&lt;"  &amp; EOMONTH($A72,0) + 1
)</f>
        <v>0</v>
      </c>
      <c r="AK72" s="123">
        <f ca="1">SUMIFS(tb_rec_uni[2026-10-01],
INDIRECT("tb_rec_uni[natureza]"),"pro.soluto",
INDIRECT("tb_rec_uni[empresa]"),AK$6)</f>
        <v>0</v>
      </c>
      <c r="AL72" s="123">
        <f ca="1">SUMIFS(tb_rec_uni[2026-10-01],
INDIRECT("tb_rec_uni[natureza]"),"repasse.cef.obra",
INDIRECT("tb_rec_uni[empresa]"),AL$6)</f>
        <v>0</v>
      </c>
      <c r="AM72" s="126">
        <f ca="1">SUMIFS(tb_rec_uni[2026-10-01],
INDIRECT("tb_rec_uni[natureza]"),"repasse.cef.terreno",
INDIRECT("tb_rec_uni[empresa]"),AM$6)</f>
        <v>0</v>
      </c>
      <c r="AN72" s="127"/>
      <c r="AO72" s="123">
        <f ca="1">SUMIFS(tb_rec_uni[2026-10-01],
INDIRECT("tb_rec_uni[natureza]"),"taxa.extra",
INDIRECT("tb_rec_uni[empresa]"),AO$6)</f>
        <v>0</v>
      </c>
      <c r="AP72" s="111"/>
      <c r="AQ72" s="111">
        <f ca="1">SUMIFS(
  m.vb[valor],
  m.vb[nucleo],$AJ$1,
  m.vb[variavel],AQ$7,
  m.vb[mes],$A72
)</f>
        <v>0</v>
      </c>
      <c r="AR72" s="111">
        <f ca="1">SUMIFS(
  m.vb[valor],
  m.vb[nucleo],$AJ$1,
  m.vb[variavel],AR$7,
  m.vb[mes],$A72
)</f>
        <v>0</v>
      </c>
      <c r="AS72" s="111">
        <f ca="1">SUMIFS(
  m.vb[valor],
  m.vb[nucleo],$AJ$1,
  m.vb[variavel],AS$7,
  m.vb[mes],$A72
)</f>
        <v>0</v>
      </c>
      <c r="AT72" s="111">
        <f ca="1">SUMIFS(
  m.vb[valor],
  m.vb[nucleo],$AJ$1,
  m.vb[variavel],AT$7,
  m.vb[mes],$A72
)</f>
        <v>0</v>
      </c>
      <c r="AU72" s="111">
        <f ca="1">SUMIFS(
  m.vb[valor],
  m.vb[nucleo],$AJ$1,
  m.vb[variavel],AU$7,
  m.vb[mes],$A72
)</f>
        <v>0</v>
      </c>
      <c r="AV72" s="122">
        <f>COUNTIFS(
    tb_estq[empresa], AV$6,
    tb_estq[Data da venda / reserva], "&gt;=" &amp; $A72,
    tb_estq[Data da venda / reserva], "&lt;"  &amp; EOMONTH($A72,0) + 1
)</f>
        <v>0</v>
      </c>
      <c r="AW72" s="123">
        <f ca="1">SUMIFS(tb_rec_uni[2026-10-01],
INDIRECT("tb_rec_uni[natureza]"),"pro.soluto",
INDIRECT("tb_rec_uni[empresa]"),AW$6)</f>
        <v>0</v>
      </c>
      <c r="AX72" s="123">
        <f ca="1">SUMIFS(tb_rec_uni[2026-10-01],
INDIRECT("tb_rec_uni[natureza]"),"repasse.cef.obra",
INDIRECT("tb_rec_uni[empresa]"),AX$6)</f>
        <v>0</v>
      </c>
      <c r="AY72" s="126">
        <f ca="1">SUMIFS(tb_rec_uni[2026-10-01],
INDIRECT("tb_rec_uni[natureza]"),"repasse.cef.terreno",
INDIRECT("tb_rec_uni[empresa]"),AY$6)</f>
        <v>0</v>
      </c>
      <c r="AZ72" s="127"/>
      <c r="BA72" s="123">
        <f ca="1">SUMIFS(tb_rec_uni[2026-10-01],
INDIRECT("tb_rec_uni[natureza]"),"taxa.extra",
INDIRECT("tb_rec_uni[empresa]"),BA$6)</f>
        <v>0</v>
      </c>
      <c r="BB72" s="111"/>
      <c r="BC72" s="111">
        <f ca="1">SUMIFS(
  m.vb[valor],
  m.vb[nucleo],$AV$1,
  m.vb[variavel],BC$7,
  m.vb[mes],$A72
)</f>
        <v>0</v>
      </c>
      <c r="BD72" s="111">
        <f ca="1">SUMIFS(
  m.vb[valor],
  m.vb[nucleo],$AV$1,
  m.vb[variavel],BD$7,
  m.vb[mes],$A72
)</f>
        <v>0</v>
      </c>
      <c r="BE72" s="111">
        <f ca="1">SUMIFS(
  m.vb[valor],
  m.vb[nucleo],$AV$1,
  m.vb[variavel],BE$7,
  m.vb[mes],$A72
)</f>
        <v>0</v>
      </c>
      <c r="BF72" s="111">
        <f ca="1">SUMIFS(
  m.vb[valor],
  m.vb[nucleo],$AV$1,
  m.vb[variavel],BF$7,
  m.vb[mes],$A72
)</f>
        <v>0</v>
      </c>
      <c r="BG72" s="111">
        <f ca="1">SUMIFS(
  m.vb[valor],
  m.vb[nucleo],$AV$1,
  m.vb[variavel],BG$7,
  m.vb[mes],$A72
)</f>
        <v>0</v>
      </c>
      <c r="BH72" s="122">
        <f>COUNTIFS(
    tb_estq[empresa], BH$6,
    tb_estq[Data da venda / reserva], "&gt;=" &amp; $A72,
    tb_estq[Data da venda / reserva], "&lt;"  &amp; EOMONTH($A72,0) + 1
)</f>
        <v>0</v>
      </c>
      <c r="BI72" s="123">
        <f ca="1">SUMIFS(tb_rec_uni[2026-10-01],
INDIRECT("tb_rec_uni[natureza]"),"pro.soluto",
INDIRECT("tb_rec_uni[empresa]"),BI$6)</f>
        <v>0</v>
      </c>
      <c r="BJ72" s="127"/>
      <c r="BK72" s="123">
        <f ca="1">SUMIFS(tb_rec_uni[2026-10-01],
INDIRECT("tb_rec_uni[natureza]"),"taxa.extra",
INDIRECT("tb_rec_uni[empresa]"),BK$6)</f>
        <v>0</v>
      </c>
      <c r="BL72" s="111"/>
      <c r="BM72" s="111">
        <f ca="1">SUMIFS(
  m.vb[valor],
  m.vb[nucleo],$BH$1,
  m.vb[variavel],BM$7,
  m.vb[mes],$A72
)</f>
        <v>0</v>
      </c>
      <c r="BN72" s="111">
        <f ca="1">SUMIFS(
  m.vb[valor],
  m.vb[nucleo],$BH$1,
  m.vb[variavel],BN$7,
  m.vb[mes],$A72
)</f>
        <v>0</v>
      </c>
      <c r="BO72" s="111">
        <f ca="1">SUMIFS(
  m.vb[valor],
  m.vb[nucleo],$BH$1,
  m.vb[variavel],BO$7,
  m.vb[mes],$A72
)</f>
        <v>0</v>
      </c>
      <c r="BP72" s="111">
        <f ca="1">SUMIFS(
  m.vb[valor],
  m.vb[nucleo],$BH$1,
  m.vb[variavel],BP$7,
  m.vb[mes],$A72
)</f>
        <v>0</v>
      </c>
      <c r="BQ72" s="111">
        <f ca="1">SUMIFS(
  m.vb[valor],
  m.vb[nucleo],$BH$1,
  m.vb[variavel],BQ$7,
  m.vb[mes],$A72
)</f>
        <v>0</v>
      </c>
      <c r="BR72" s="122">
        <f>COUNTIFS(
    tb_estq[empresa], BR$6,
    tb_estq[Data da venda / reserva], "&gt;=" &amp; $A72,
    tb_estq[Data da venda / reserva], "&lt;"  &amp; EOMONTH($A72,0) + 1
)</f>
        <v>0</v>
      </c>
      <c r="BS72" s="123">
        <f ca="1">SUMIFS(tb_rec_uni[2026-10-01],
INDIRECT("tb_rec_uni[natureza]"),"pro.soluto",
INDIRECT("tb_rec_uni[empresa]"),BS$6)</f>
        <v>0</v>
      </c>
      <c r="BT72" s="127">
        <f ca="1">SUMIFS(tb_rec_uni[2026-10-01],
INDIRECT("tb_rec_uni[natureza]"),"parcela.fin.total.ik",
INDIRECT("tb_rec_uni[empresa]"),BT$6)</f>
        <v>0</v>
      </c>
      <c r="BU72" s="123">
        <f ca="1">SUMIFS(tb_rec_uni[2026-10-01],
INDIRECT("tb_rec_uni[natureza]"),"taxa.extra",
INDIRECT("tb_rec_uni[empresa]"),BU$6)</f>
        <v>0</v>
      </c>
      <c r="BV72" s="111"/>
      <c r="BW72" s="111">
        <f ca="1">SUMIFS(
  m.vb[valor],
  m.vb[nucleo],$BR$1,
  m.vb[variavel],BW$7,
  m.vb[mes],$A72
)</f>
        <v>0</v>
      </c>
      <c r="BX72" s="111">
        <f ca="1">SUMIFS(
  m.vb[valor],
  m.vb[nucleo],$BR$1,
  m.vb[variavel],BX$7,
  m.vb[mes],$A72
)</f>
        <v>0</v>
      </c>
      <c r="BY72" s="111">
        <f ca="1">SUMIFS(
  m.vb[valor],
  m.vb[nucleo],$BR$1,
  m.vb[variavel],BY$7,
  m.vb[mes],$A72
)</f>
        <v>0</v>
      </c>
      <c r="BZ72" s="111">
        <f ca="1">SUMIFS(
  m.vb[valor],
  m.vb[nucleo],$BR$1,
  m.vb[variavel],BZ$7,
  m.vb[mes],$A72
)</f>
        <v>0</v>
      </c>
      <c r="CA72" s="111">
        <f ca="1">SUMIFS(
  m.vb[valor],
  m.vb[nucleo],$BR$1,
  m.vb[variavel],CA$7,
  m.vb[mes],$A72
)</f>
        <v>0</v>
      </c>
      <c r="CB72" s="122">
        <f>COUNTIFS(
    tb_estq[empresa], CB$6,
    tb_estq[Data da venda / reserva], "&gt;=" &amp; $A72,
    tb_estq[Data da venda / reserva], "&lt;"  &amp; EOMONTH($A72,0) + 1
)</f>
        <v>0</v>
      </c>
      <c r="CC72" s="123">
        <f ca="1">SUMIFS(tb_rec_uni[2026-10-01],
INDIRECT("tb_rec_uni[natureza]"),"pro.soluto",
INDIRECT("tb_rec_uni[empresa]"),CC$6)</f>
        <v>0</v>
      </c>
      <c r="CD72" s="123">
        <f ca="1">SUMIFS(tb_rec_uni[2026-10-01],
INDIRECT("tb_rec_uni[natureza]"),"repasse.cef.obra",
INDIRECT("tb_rec_uni[empresa]"),CD$6)</f>
        <v>0</v>
      </c>
      <c r="CE72" s="126">
        <f ca="1">SUMIFS(tb_rec_uni[2026-10-01],
INDIRECT("tb_rec_uni[natureza]"),"repasse.cef.terreno",
INDIRECT("tb_rec_uni[empresa]"),CE$6)</f>
        <v>0</v>
      </c>
      <c r="CF72" s="127"/>
      <c r="CG72" s="123">
        <f ca="1">SUMIFS(tb_rec_uni[2026-10-01],
INDIRECT("tb_rec_uni[natureza]"),"taxa.extra",
INDIRECT("tb_rec_uni[empresa]"),CG$6)</f>
        <v>0</v>
      </c>
      <c r="CH72" s="111"/>
      <c r="CI72" s="111">
        <f ca="1">SUMIFS(
  m.vb[valor],
  m.vb[nucleo],$CB$1,
  m.vb[variavel],CI$7,
  m.vb[mes],$A72
)</f>
        <v>0</v>
      </c>
      <c r="CJ72" s="111">
        <f ca="1">SUMIFS(
  m.vb[valor],
  m.vb[nucleo],$CB$1,
  m.vb[variavel],CJ$7,
  m.vb[mes],$A72
)</f>
        <v>0</v>
      </c>
      <c r="CK72" s="111">
        <f ca="1">SUMIFS(
  m.vb[valor],
  m.vb[nucleo],$CB$1,
  m.vb[variavel],CK$7,
  m.vb[mes],$A72
)</f>
        <v>0</v>
      </c>
      <c r="CL72" s="111">
        <f ca="1">SUMIFS(
  m.vb[valor],
  m.vb[nucleo],$CB$1,
  m.vb[variavel],CL$7,
  m.vb[mes],$A72
)</f>
        <v>0</v>
      </c>
      <c r="CM72" s="111">
        <f ca="1">SUMIFS(
  m.vb[valor],
  m.vb[nucleo],$CB$1,
  m.vb[variavel],CM$7,
  m.vb[mes],$A72
)</f>
        <v>0</v>
      </c>
      <c r="CN72" s="122">
        <f>COUNTIFS(
    tb_estq[empresa], CN$6,
    tb_estq[Data da venda / reserva], "&gt;=" &amp; $A72,
    tb_estq[Data da venda / reserva], "&lt;"  &amp; EOMONTH($A72,0) + 1
)</f>
        <v>0</v>
      </c>
      <c r="CO72" s="123">
        <f ca="1">SUMIFS(tb_rec_uni[2026-10-01],
INDIRECT("tb_rec_uni[natureza]"),"pro.soluto",
INDIRECT("tb_rec_uni[empresa]"),CO$6)</f>
        <v>0</v>
      </c>
      <c r="CP72" s="123">
        <f ca="1">SUMIFS(tb_rec_uni[2026-10-01],
INDIRECT("tb_rec_uni[natureza]"),"repasse.cef.obra",
INDIRECT("tb_rec_uni[empresa]"),CP$6)</f>
        <v>0</v>
      </c>
      <c r="CQ72" s="126">
        <f ca="1">SUMIFS(tb_rec_uni[2026-10-01],
INDIRECT("tb_rec_uni[natureza]"),"repasse.cef.terreno",
INDIRECT("tb_rec_uni[empresa]"),CQ$6)</f>
        <v>0</v>
      </c>
      <c r="CR72" s="127"/>
      <c r="CS72" s="123">
        <f ca="1">SUMIFS(tb_rec_uni[2026-10-01],
INDIRECT("tb_rec_uni[natureza]"),"taxa.extra",
INDIRECT("tb_rec_uni[empresa]"),CS$6)</f>
        <v>0</v>
      </c>
      <c r="CT72" s="111"/>
      <c r="CU72" s="111">
        <f ca="1">SUMIFS(
  m.vb[valor],
  m.vb[nucleo],$CN$1,
  m.vb[variavel],CU$7,
  m.vb[mes],$A72
)</f>
        <v>0</v>
      </c>
      <c r="CV72" s="111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11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11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4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21">
        <v>46327</v>
      </c>
      <c r="B73" s="122">
        <f>COUNTIFS(
    tb_estq[empresa], B$6,
    tb_estq[Data da venda / reserva], "&gt;=" &amp; $A73,
    tb_estq[Data da venda / reserva], "&lt;"  &amp; EOMONTH($A73,0) + 1
)</f>
        <v>0</v>
      </c>
      <c r="C73" s="123">
        <f ca="1">SUMIFS(tb_rec_uni[2026-11-01],
INDIRECT("tb_rec_uni[natureza]"),"pro.soluto",
INDIRECT("tb_rec_uni[empresa]"),C$6)</f>
        <v>0</v>
      </c>
      <c r="D73" s="123">
        <f ca="1">SUMIFS(tb_rec_uni[2026-11-01],
INDIRECT("tb_rec_uni[natureza]"),"repasse.cef.obra",
INDIRECT("tb_rec_uni[empresa]"),D$6)</f>
        <v>0</v>
      </c>
      <c r="E73" s="123">
        <f ca="1">SUMIFS(tb_rec_uni[2026-11-01],
INDIRECT("tb_rec_uni[natureza]"),"repasse.cef.terreno",
INDIRECT("tb_rec_uni[empresa]"),E$6)</f>
        <v>0</v>
      </c>
      <c r="F73" s="127"/>
      <c r="G73" s="123">
        <f ca="1">SUMIFS(tb_rec_uni[2026-11-01],
INDIRECT("tb_rec_uni[natureza]"),"taxa.extra",
INDIRECT("tb_rec_uni[empresa]"),G$6)</f>
        <v>0</v>
      </c>
      <c r="H73" s="111"/>
      <c r="I73" s="111">
        <f ca="1">SUMIFS(
  m.vb[valor],
  m.vb[nucleo],$B$1,
  m.vb[variavel],I$7,
  m.vb[mes],$A73
)</f>
        <v>0</v>
      </c>
      <c r="J73" s="111">
        <f ca="1">SUMIFS(
  m.vb[valor],
  m.vb[nucleo],$B$1,
  m.vb[variavel],J$7,
  m.vb[mes],$A73
)</f>
        <v>0</v>
      </c>
      <c r="K73" s="111">
        <f ca="1">SUMIFS(
  m.vb[valor],
  m.vb[nucleo],$B$1,
  m.vb[variavel],K$7,
  m.vb[mes],$A73
)</f>
        <v>0</v>
      </c>
      <c r="L73" s="111">
        <f ca="1">SUMIFS(
  m.vb[valor],
  m.vb[nucleo],$B$1,
  m.vb[variavel],L$7,
  m.vb[mes],$A73
)</f>
        <v>0</v>
      </c>
      <c r="M73" s="111">
        <f ca="1">SUMIFS(
  m.vb[valor],
  m.vb[nucleo],$B$1,
  m.vb[variavel],M$7,
  m.vb[mes],$A73
)</f>
        <v>0</v>
      </c>
      <c r="N73" s="122">
        <f>COUNTIFS(
    tb_estq[empresa], N$6,
    tb_estq[Data da venda / reserva], "&gt;=" &amp; $A73,
    tb_estq[Data da venda / reserva], "&lt;"  &amp; EOMONTH($A73,0) + 1
)</f>
        <v>0</v>
      </c>
      <c r="O73" s="123">
        <f ca="1">SUMIFS(tb_rec_uni[2026-11-01],
INDIRECT("tb_rec_uni[natureza]"),"pro.soluto",
INDIRECT("tb_rec_uni[empresa]"),O$6)</f>
        <v>0</v>
      </c>
      <c r="P73" s="123">
        <f ca="1">SUMIFS(tb_rec_uni[2026-11-01],
INDIRECT("tb_rec_uni[natureza]"),"repasse.cef.obra",
INDIRECT("tb_rec_uni[empresa]"),P$6)</f>
        <v>0</v>
      </c>
      <c r="Q73" s="123">
        <f ca="1">SUMIFS(tb_rec_uni[2026-11-01],
INDIRECT("tb_rec_uni[natureza]"),"repasse.cef.terreno",
INDIRECT("tb_rec_uni[empresa]"),Q$6)</f>
        <v>0</v>
      </c>
      <c r="R73" s="127"/>
      <c r="S73" s="123">
        <f ca="1">SUMIFS(tb_rec_uni[2026-11-01],
INDIRECT("tb_rec_uni[natureza]"),"taxa.extra",
INDIRECT("tb_rec_uni[empresa]"),S$6)</f>
        <v>0</v>
      </c>
      <c r="T73" s="111"/>
      <c r="U73" s="111">
        <f ca="1">SUMIFS(
  m.vb[valor],
  m.vb[nucleo],$N$1,
  m.vb[variavel],U$7,
  m.vb[mes],$A73
)</f>
        <v>0</v>
      </c>
      <c r="V73" s="111">
        <f ca="1">SUMIFS(
  m.vb[valor],
  m.vb[nucleo],$N$1,
  m.vb[variavel],V$7,
  m.vb[mes],$A73
)</f>
        <v>0</v>
      </c>
      <c r="W73" s="111">
        <f ca="1">SUMIFS(
  m.vb[valor],
  m.vb[nucleo],$N$1,
  m.vb[variavel],W$7,
  m.vb[mes],$A73
)</f>
        <v>0</v>
      </c>
      <c r="X73" s="111">
        <f ca="1">SUMIFS(
  m.vb[valor],
  m.vb[nucleo],$N$1,
  m.vb[variavel],X$7,
  m.vb[mes],$A73
)</f>
        <v>0</v>
      </c>
      <c r="Y73" s="111">
        <f ca="1">SUMIFS(
  m.vb[valor],
  m.vb[nucleo],$N$1,
  m.vb[variavel],Y$7,
  m.vb[mes],$A73
)</f>
        <v>0</v>
      </c>
      <c r="Z73" s="122">
        <f>COUNTIFS(
    tb_estq[empresa], Z$6,
    tb_estq[Data da venda / reserva], "&gt;=" &amp; $A73,
    tb_estq[Data da venda / reserva], "&lt;"  &amp; EOMONTH($A73,0) + 1
)</f>
        <v>0</v>
      </c>
      <c r="AA73" s="123">
        <f ca="1">SUMIFS(tb_rec_uni[2026-11-01],
INDIRECT("tb_rec_uni[natureza]"),"pro.soluto",
INDIRECT("tb_rec_uni[empresa]"),AA$6)</f>
        <v>0</v>
      </c>
      <c r="AB73" s="127">
        <f ca="1">SUMIFS(tb_rec_uni[2026-11-01],
INDIRECT("tb_rec_uni[natureza]"),"parcela.fin.total.ik",
INDIRECT("tb_rec_uni[empresa]"),AB$6)</f>
        <v>0</v>
      </c>
      <c r="AC73" s="123">
        <f ca="1">SUMIFS(tb_rec_uni[2026-11-01],
INDIRECT("tb_rec_uni[natureza]"),"taxa.extra",
INDIRECT("tb_rec_uni[empresa]"),AC$6)</f>
        <v>0</v>
      </c>
      <c r="AD73" s="111"/>
      <c r="AE73" s="111">
        <f ca="1">SUMIFS(
  m.vb[valor],
  m.vb[nucleo],$Z$1,
  m.vb[variavel],AE$7,
  m.vb[mes],$A73
)</f>
        <v>0</v>
      </c>
      <c r="AF73" s="111">
        <f ca="1">SUMIFS(
  m.vb[valor],
  m.vb[nucleo],$Z$1,
  m.vb[variavel],AF$7,
  m.vb[mes],$A73
)</f>
        <v>0</v>
      </c>
      <c r="AG73" s="111">
        <f ca="1">SUMIFS(
  m.vb[valor],
  m.vb[nucleo],$Z$1,
  m.vb[variavel],AG$7,
  m.vb[mes],$A73
)</f>
        <v>0</v>
      </c>
      <c r="AH73" s="111">
        <f ca="1">SUMIFS(
  m.vb[valor],
  m.vb[nucleo],$Z$1,
  m.vb[variavel],AH$7,
  m.vb[mes],$A73
)</f>
        <v>0</v>
      </c>
      <c r="AI73" s="111">
        <f ca="1">SUMIFS(
  m.vb[valor],
  m.vb[nucleo],$Z$1,
  m.vb[variavel],AI$7,
  m.vb[mes],$A73
)</f>
        <v>0</v>
      </c>
      <c r="AJ73" s="122">
        <f>COUNTIFS(
    tb_estq[empresa], AJ$6,
    tb_estq[Data da venda / reserva], "&gt;=" &amp; $A73,
    tb_estq[Data da venda / reserva], "&lt;"  &amp; EOMONTH($A73,0) + 1
)</f>
        <v>0</v>
      </c>
      <c r="AK73" s="123">
        <f ca="1">SUMIFS(tb_rec_uni[2026-11-01],
INDIRECT("tb_rec_uni[natureza]"),"pro.soluto",
INDIRECT("tb_rec_uni[empresa]"),AK$6)</f>
        <v>0</v>
      </c>
      <c r="AL73" s="123">
        <f ca="1">SUMIFS(tb_rec_uni[2026-11-01],
INDIRECT("tb_rec_uni[natureza]"),"repasse.cef.obra",
INDIRECT("tb_rec_uni[empresa]"),AL$6)</f>
        <v>0</v>
      </c>
      <c r="AM73" s="126">
        <f ca="1">SUMIFS(tb_rec_uni[2026-11-01],
INDIRECT("tb_rec_uni[natureza]"),"repasse.cef.terreno",
INDIRECT("tb_rec_uni[empresa]"),AM$6)</f>
        <v>0</v>
      </c>
      <c r="AN73" s="127"/>
      <c r="AO73" s="123">
        <f ca="1">SUMIFS(tb_rec_uni[2026-11-01],
INDIRECT("tb_rec_uni[natureza]"),"taxa.extra",
INDIRECT("tb_rec_uni[empresa]"),AO$6)</f>
        <v>0</v>
      </c>
      <c r="AP73" s="111"/>
      <c r="AQ73" s="111">
        <f ca="1">SUMIFS(
  m.vb[valor],
  m.vb[nucleo],$AJ$1,
  m.vb[variavel],AQ$7,
  m.vb[mes],$A73
)</f>
        <v>0</v>
      </c>
      <c r="AR73" s="111">
        <f ca="1">SUMIFS(
  m.vb[valor],
  m.vb[nucleo],$AJ$1,
  m.vb[variavel],AR$7,
  m.vb[mes],$A73
)</f>
        <v>0</v>
      </c>
      <c r="AS73" s="111">
        <f ca="1">SUMIFS(
  m.vb[valor],
  m.vb[nucleo],$AJ$1,
  m.vb[variavel],AS$7,
  m.vb[mes],$A73
)</f>
        <v>0</v>
      </c>
      <c r="AT73" s="111">
        <f ca="1">SUMIFS(
  m.vb[valor],
  m.vb[nucleo],$AJ$1,
  m.vb[variavel],AT$7,
  m.vb[mes],$A73
)</f>
        <v>0</v>
      </c>
      <c r="AU73" s="111">
        <f ca="1">SUMIFS(
  m.vb[valor],
  m.vb[nucleo],$AJ$1,
  m.vb[variavel],AU$7,
  m.vb[mes],$A73
)</f>
        <v>0</v>
      </c>
      <c r="AV73" s="122">
        <f>COUNTIFS(
    tb_estq[empresa], AV$6,
    tb_estq[Data da venda / reserva], "&gt;=" &amp; $A73,
    tb_estq[Data da venda / reserva], "&lt;"  &amp; EOMONTH($A73,0) + 1
)</f>
        <v>0</v>
      </c>
      <c r="AW73" s="123">
        <f ca="1">SUMIFS(tb_rec_uni[2026-11-01],
INDIRECT("tb_rec_uni[natureza]"),"pro.soluto",
INDIRECT("tb_rec_uni[empresa]"),AW$6)</f>
        <v>0</v>
      </c>
      <c r="AX73" s="123">
        <f ca="1">SUMIFS(tb_rec_uni[2026-11-01],
INDIRECT("tb_rec_uni[natureza]"),"repasse.cef.obra",
INDIRECT("tb_rec_uni[empresa]"),AX$6)</f>
        <v>0</v>
      </c>
      <c r="AY73" s="126">
        <f ca="1">SUMIFS(tb_rec_uni[2026-11-01],
INDIRECT("tb_rec_uni[natureza]"),"repasse.cef.terreno",
INDIRECT("tb_rec_uni[empresa]"),AY$6)</f>
        <v>0</v>
      </c>
      <c r="AZ73" s="127"/>
      <c r="BA73" s="123">
        <f ca="1">SUMIFS(tb_rec_uni[2026-11-01],
INDIRECT("tb_rec_uni[natureza]"),"taxa.extra",
INDIRECT("tb_rec_uni[empresa]"),BA$6)</f>
        <v>0</v>
      </c>
      <c r="BB73" s="111"/>
      <c r="BC73" s="111">
        <f ca="1">SUMIFS(
  m.vb[valor],
  m.vb[nucleo],$AV$1,
  m.vb[variavel],BC$7,
  m.vb[mes],$A73
)</f>
        <v>0</v>
      </c>
      <c r="BD73" s="111">
        <f ca="1">SUMIFS(
  m.vb[valor],
  m.vb[nucleo],$AV$1,
  m.vb[variavel],BD$7,
  m.vb[mes],$A73
)</f>
        <v>0</v>
      </c>
      <c r="BE73" s="111">
        <f ca="1">SUMIFS(
  m.vb[valor],
  m.vb[nucleo],$AV$1,
  m.vb[variavel],BE$7,
  m.vb[mes],$A73
)</f>
        <v>0</v>
      </c>
      <c r="BF73" s="111">
        <f ca="1">SUMIFS(
  m.vb[valor],
  m.vb[nucleo],$AV$1,
  m.vb[variavel],BF$7,
  m.vb[mes],$A73
)</f>
        <v>0</v>
      </c>
      <c r="BG73" s="111">
        <f ca="1">SUMIFS(
  m.vb[valor],
  m.vb[nucleo],$AV$1,
  m.vb[variavel],BG$7,
  m.vb[mes],$A73
)</f>
        <v>0</v>
      </c>
      <c r="BH73" s="122">
        <f>COUNTIFS(
    tb_estq[empresa], BH$6,
    tb_estq[Data da venda / reserva], "&gt;=" &amp; $A73,
    tb_estq[Data da venda / reserva], "&lt;"  &amp; EOMONTH($A73,0) + 1
)</f>
        <v>0</v>
      </c>
      <c r="BI73" s="123">
        <f ca="1">SUMIFS(tb_rec_uni[2026-11-01],
INDIRECT("tb_rec_uni[natureza]"),"pro.soluto",
INDIRECT("tb_rec_uni[empresa]"),BI$6)</f>
        <v>0</v>
      </c>
      <c r="BJ73" s="127"/>
      <c r="BK73" s="123">
        <f ca="1">SUMIFS(tb_rec_uni[2026-11-01],
INDIRECT("tb_rec_uni[natureza]"),"taxa.extra",
INDIRECT("tb_rec_uni[empresa]"),BK$6)</f>
        <v>0</v>
      </c>
      <c r="BL73" s="111"/>
      <c r="BM73" s="111">
        <f ca="1">SUMIFS(
  m.vb[valor],
  m.vb[nucleo],$BH$1,
  m.vb[variavel],BM$7,
  m.vb[mes],$A73
)</f>
        <v>0</v>
      </c>
      <c r="BN73" s="111">
        <f ca="1">SUMIFS(
  m.vb[valor],
  m.vb[nucleo],$BH$1,
  m.vb[variavel],BN$7,
  m.vb[mes],$A73
)</f>
        <v>0</v>
      </c>
      <c r="BO73" s="111">
        <f ca="1">SUMIFS(
  m.vb[valor],
  m.vb[nucleo],$BH$1,
  m.vb[variavel],BO$7,
  m.vb[mes],$A73
)</f>
        <v>0</v>
      </c>
      <c r="BP73" s="111">
        <f ca="1">SUMIFS(
  m.vb[valor],
  m.vb[nucleo],$BH$1,
  m.vb[variavel],BP$7,
  m.vb[mes],$A73
)</f>
        <v>0</v>
      </c>
      <c r="BQ73" s="111">
        <f ca="1">SUMIFS(
  m.vb[valor],
  m.vb[nucleo],$BH$1,
  m.vb[variavel],BQ$7,
  m.vb[mes],$A73
)</f>
        <v>0</v>
      </c>
      <c r="BR73" s="122">
        <f>COUNTIFS(
    tb_estq[empresa], BR$6,
    tb_estq[Data da venda / reserva], "&gt;=" &amp; $A73,
    tb_estq[Data da venda / reserva], "&lt;"  &amp; EOMONTH($A73,0) + 1
)</f>
        <v>0</v>
      </c>
      <c r="BS73" s="123">
        <f ca="1">SUMIFS(tb_rec_uni[2026-11-01],
INDIRECT("tb_rec_uni[natureza]"),"pro.soluto",
INDIRECT("tb_rec_uni[empresa]"),BS$6)</f>
        <v>0</v>
      </c>
      <c r="BT73" s="127">
        <f ca="1">SUMIFS(tb_rec_uni[2026-11-01],
INDIRECT("tb_rec_uni[natureza]"),"parcela.fin.total.ik",
INDIRECT("tb_rec_uni[empresa]"),BT$6)</f>
        <v>0</v>
      </c>
      <c r="BU73" s="123">
        <f ca="1">SUMIFS(tb_rec_uni[2026-11-01],
INDIRECT("tb_rec_uni[natureza]"),"taxa.extra",
INDIRECT("tb_rec_uni[empresa]"),BU$6)</f>
        <v>0</v>
      </c>
      <c r="BV73" s="111"/>
      <c r="BW73" s="111">
        <f ca="1">SUMIFS(
  m.vb[valor],
  m.vb[nucleo],$BR$1,
  m.vb[variavel],BW$7,
  m.vb[mes],$A73
)</f>
        <v>0</v>
      </c>
      <c r="BX73" s="111">
        <f ca="1">SUMIFS(
  m.vb[valor],
  m.vb[nucleo],$BR$1,
  m.vb[variavel],BX$7,
  m.vb[mes],$A73
)</f>
        <v>0</v>
      </c>
      <c r="BY73" s="111">
        <f ca="1">SUMIFS(
  m.vb[valor],
  m.vb[nucleo],$BR$1,
  m.vb[variavel],BY$7,
  m.vb[mes],$A73
)</f>
        <v>0</v>
      </c>
      <c r="BZ73" s="111">
        <f ca="1">SUMIFS(
  m.vb[valor],
  m.vb[nucleo],$BR$1,
  m.vb[variavel],BZ$7,
  m.vb[mes],$A73
)</f>
        <v>0</v>
      </c>
      <c r="CA73" s="111">
        <f ca="1">SUMIFS(
  m.vb[valor],
  m.vb[nucleo],$BR$1,
  m.vb[variavel],CA$7,
  m.vb[mes],$A73
)</f>
        <v>0</v>
      </c>
      <c r="CB73" s="122">
        <f>COUNTIFS(
    tb_estq[empresa], CB$6,
    tb_estq[Data da venda / reserva], "&gt;=" &amp; $A73,
    tb_estq[Data da venda / reserva], "&lt;"  &amp; EOMONTH($A73,0) + 1
)</f>
        <v>0</v>
      </c>
      <c r="CC73" s="123">
        <f ca="1">SUMIFS(tb_rec_uni[2026-11-01],
INDIRECT("tb_rec_uni[natureza]"),"pro.soluto",
INDIRECT("tb_rec_uni[empresa]"),CC$6)</f>
        <v>0</v>
      </c>
      <c r="CD73" s="123">
        <f ca="1">SUMIFS(tb_rec_uni[2026-11-01],
INDIRECT("tb_rec_uni[natureza]"),"repasse.cef.obra",
INDIRECT("tb_rec_uni[empresa]"),CD$6)</f>
        <v>0</v>
      </c>
      <c r="CE73" s="126">
        <f ca="1">SUMIFS(tb_rec_uni[2026-11-01],
INDIRECT("tb_rec_uni[natureza]"),"repasse.cef.terreno",
INDIRECT("tb_rec_uni[empresa]"),CE$6)</f>
        <v>0</v>
      </c>
      <c r="CF73" s="127"/>
      <c r="CG73" s="123">
        <f ca="1">SUMIFS(tb_rec_uni[2026-11-01],
INDIRECT("tb_rec_uni[natureza]"),"taxa.extra",
INDIRECT("tb_rec_uni[empresa]"),CG$6)</f>
        <v>0</v>
      </c>
      <c r="CH73" s="111"/>
      <c r="CI73" s="111">
        <f ca="1">SUMIFS(
  m.vb[valor],
  m.vb[nucleo],$CB$1,
  m.vb[variavel],CI$7,
  m.vb[mes],$A73
)</f>
        <v>0</v>
      </c>
      <c r="CJ73" s="111">
        <f ca="1">SUMIFS(
  m.vb[valor],
  m.vb[nucleo],$CB$1,
  m.vb[variavel],CJ$7,
  m.vb[mes],$A73
)</f>
        <v>0</v>
      </c>
      <c r="CK73" s="111">
        <f ca="1">SUMIFS(
  m.vb[valor],
  m.vb[nucleo],$CB$1,
  m.vb[variavel],CK$7,
  m.vb[mes],$A73
)</f>
        <v>0</v>
      </c>
      <c r="CL73" s="111">
        <f ca="1">SUMIFS(
  m.vb[valor],
  m.vb[nucleo],$CB$1,
  m.vb[variavel],CL$7,
  m.vb[mes],$A73
)</f>
        <v>0</v>
      </c>
      <c r="CM73" s="111">
        <f ca="1">SUMIFS(
  m.vb[valor],
  m.vb[nucleo],$CB$1,
  m.vb[variavel],CM$7,
  m.vb[mes],$A73
)</f>
        <v>0</v>
      </c>
      <c r="CN73" s="122">
        <f>COUNTIFS(
    tb_estq[empresa], CN$6,
    tb_estq[Data da venda / reserva], "&gt;=" &amp; $A73,
    tb_estq[Data da venda / reserva], "&lt;"  &amp; EOMONTH($A73,0) + 1
)</f>
        <v>0</v>
      </c>
      <c r="CO73" s="123">
        <f ca="1">SUMIFS(tb_rec_uni[2026-11-01],
INDIRECT("tb_rec_uni[natureza]"),"pro.soluto",
INDIRECT("tb_rec_uni[empresa]"),CO$6)</f>
        <v>0</v>
      </c>
      <c r="CP73" s="123">
        <f ca="1">SUMIFS(tb_rec_uni[2026-11-01],
INDIRECT("tb_rec_uni[natureza]"),"repasse.cef.obra",
INDIRECT("tb_rec_uni[empresa]"),CP$6)</f>
        <v>0</v>
      </c>
      <c r="CQ73" s="126">
        <f ca="1">SUMIFS(tb_rec_uni[2026-11-01],
INDIRECT("tb_rec_uni[natureza]"),"repasse.cef.terreno",
INDIRECT("tb_rec_uni[empresa]"),CQ$6)</f>
        <v>0</v>
      </c>
      <c r="CR73" s="127"/>
      <c r="CS73" s="123">
        <f ca="1">SUMIFS(tb_rec_uni[2026-11-01],
INDIRECT("tb_rec_uni[natureza]"),"taxa.extra",
INDIRECT("tb_rec_uni[empresa]"),CS$6)</f>
        <v>0</v>
      </c>
      <c r="CT73" s="111"/>
      <c r="CU73" s="111">
        <f ca="1">SUMIFS(
  m.vb[valor],
  m.vb[nucleo],$CN$1,
  m.vb[variavel],CU$7,
  m.vb[mes],$A73
)</f>
        <v>0</v>
      </c>
      <c r="CV73" s="111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11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11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4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21">
        <v>46357</v>
      </c>
      <c r="B74" s="122">
        <f>COUNTIFS(
    tb_estq[empresa], B$6,
    tb_estq[Data da venda / reserva], "&gt;=" &amp; $A74,
    tb_estq[Data da venda / reserva], "&lt;"  &amp; EOMONTH($A74,0) + 1
)</f>
        <v>0</v>
      </c>
      <c r="C74" s="123">
        <f ca="1">SUMIFS(tb_rec_uni[2026-12-01],
INDIRECT("tb_rec_uni[natureza]"),"pro.soluto",
INDIRECT("tb_rec_uni[empresa]"),C$6)</f>
        <v>0</v>
      </c>
      <c r="D74" s="123">
        <f ca="1">SUMIFS(tb_rec_uni[2026-12-01],
INDIRECT("tb_rec_uni[natureza]"),"repasse.cef.obra",
INDIRECT("tb_rec_uni[empresa]"),D$6)</f>
        <v>0</v>
      </c>
      <c r="E74" s="123">
        <f ca="1">SUMIFS(tb_rec_uni[2026-12-01],
INDIRECT("tb_rec_uni[natureza]"),"repasse.cef.terreno",
INDIRECT("tb_rec_uni[empresa]"),E$6)</f>
        <v>0</v>
      </c>
      <c r="F74" s="127"/>
      <c r="G74" s="123">
        <f ca="1">SUMIFS(tb_rec_uni[2026-12-01],
INDIRECT("tb_rec_uni[natureza]"),"taxa.extra",
INDIRECT("tb_rec_uni[empresa]"),G$6)</f>
        <v>0</v>
      </c>
      <c r="H74" s="111"/>
      <c r="I74" s="111">
        <f ca="1">SUMIFS(
  m.vb[valor],
  m.vb[nucleo],$B$1,
  m.vb[variavel],I$7,
  m.vb[mes],$A74
)</f>
        <v>0</v>
      </c>
      <c r="J74" s="111">
        <f ca="1">SUMIFS(
  m.vb[valor],
  m.vb[nucleo],$B$1,
  m.vb[variavel],J$7,
  m.vb[mes],$A74
)</f>
        <v>0</v>
      </c>
      <c r="K74" s="111">
        <f ca="1">SUMIFS(
  m.vb[valor],
  m.vb[nucleo],$B$1,
  m.vb[variavel],K$7,
  m.vb[mes],$A74
)</f>
        <v>0</v>
      </c>
      <c r="L74" s="111">
        <f ca="1">SUMIFS(
  m.vb[valor],
  m.vb[nucleo],$B$1,
  m.vb[variavel],L$7,
  m.vb[mes],$A74
)</f>
        <v>0</v>
      </c>
      <c r="M74" s="111">
        <f ca="1">SUMIFS(
  m.vb[valor],
  m.vb[nucleo],$B$1,
  m.vb[variavel],M$7,
  m.vb[mes],$A74
)</f>
        <v>0</v>
      </c>
      <c r="N74" s="122">
        <f>COUNTIFS(
    tb_estq[empresa], N$6,
    tb_estq[Data da venda / reserva], "&gt;=" &amp; $A74,
    tb_estq[Data da venda / reserva], "&lt;"  &amp; EOMONTH($A74,0) + 1
)</f>
        <v>0</v>
      </c>
      <c r="O74" s="123">
        <f ca="1">SUMIFS(tb_rec_uni[2026-12-01],
INDIRECT("tb_rec_uni[natureza]"),"pro.soluto",
INDIRECT("tb_rec_uni[empresa]"),O$6)</f>
        <v>0</v>
      </c>
      <c r="P74" s="123">
        <f ca="1">SUMIFS(tb_rec_uni[2026-12-01],
INDIRECT("tb_rec_uni[natureza]"),"repasse.cef.obra",
INDIRECT("tb_rec_uni[empresa]"),P$6)</f>
        <v>0</v>
      </c>
      <c r="Q74" s="123">
        <f ca="1">SUMIFS(tb_rec_uni[2026-12-01],
INDIRECT("tb_rec_uni[natureza]"),"repasse.cef.terreno",
INDIRECT("tb_rec_uni[empresa]"),Q$6)</f>
        <v>0</v>
      </c>
      <c r="R74" s="127"/>
      <c r="S74" s="123">
        <f ca="1">SUMIFS(tb_rec_uni[2026-12-01],
INDIRECT("tb_rec_uni[natureza]"),"taxa.extra",
INDIRECT("tb_rec_uni[empresa]"),S$6)</f>
        <v>0</v>
      </c>
      <c r="T74" s="111"/>
      <c r="U74" s="111">
        <f ca="1">SUMIFS(
  m.vb[valor],
  m.vb[nucleo],$N$1,
  m.vb[variavel],U$7,
  m.vb[mes],$A74
)</f>
        <v>0</v>
      </c>
      <c r="V74" s="111">
        <f ca="1">SUMIFS(
  m.vb[valor],
  m.vb[nucleo],$N$1,
  m.vb[variavel],V$7,
  m.vb[mes],$A74
)</f>
        <v>0</v>
      </c>
      <c r="W74" s="111">
        <f ca="1">SUMIFS(
  m.vb[valor],
  m.vb[nucleo],$N$1,
  m.vb[variavel],W$7,
  m.vb[mes],$A74
)</f>
        <v>0</v>
      </c>
      <c r="X74" s="111">
        <f ca="1">SUMIFS(
  m.vb[valor],
  m.vb[nucleo],$N$1,
  m.vb[variavel],X$7,
  m.vb[mes],$A74
)</f>
        <v>0</v>
      </c>
      <c r="Y74" s="111">
        <f ca="1">SUMIFS(
  m.vb[valor],
  m.vb[nucleo],$N$1,
  m.vb[variavel],Y$7,
  m.vb[mes],$A74
)</f>
        <v>0</v>
      </c>
      <c r="Z74" s="122">
        <f>COUNTIFS(
    tb_estq[empresa], Z$6,
    tb_estq[Data da venda / reserva], "&gt;=" &amp; $A74,
    tb_estq[Data da venda / reserva], "&lt;"  &amp; EOMONTH($A74,0) + 1
)</f>
        <v>0</v>
      </c>
      <c r="AA74" s="123">
        <f ca="1">SUMIFS(tb_rec_uni[2026-12-01],
INDIRECT("tb_rec_uni[natureza]"),"pro.soluto",
INDIRECT("tb_rec_uni[empresa]"),AA$6)</f>
        <v>0</v>
      </c>
      <c r="AB74" s="127">
        <f ca="1">SUMIFS(tb_rec_uni[2026-12-01],
INDIRECT("tb_rec_uni[natureza]"),"parcela.fin.total.ik",
INDIRECT("tb_rec_uni[empresa]"),AB$6)</f>
        <v>0</v>
      </c>
      <c r="AC74" s="123">
        <f ca="1">SUMIFS(tb_rec_uni[2026-12-01],
INDIRECT("tb_rec_uni[natureza]"),"taxa.extra",
INDIRECT("tb_rec_uni[empresa]"),AC$6)</f>
        <v>0</v>
      </c>
      <c r="AD74" s="111"/>
      <c r="AE74" s="111">
        <f ca="1">SUMIFS(
  m.vb[valor],
  m.vb[nucleo],$Z$1,
  m.vb[variavel],AE$7,
  m.vb[mes],$A74
)</f>
        <v>0</v>
      </c>
      <c r="AF74" s="111">
        <f ca="1">SUMIFS(
  m.vb[valor],
  m.vb[nucleo],$Z$1,
  m.vb[variavel],AF$7,
  m.vb[mes],$A74
)</f>
        <v>0</v>
      </c>
      <c r="AG74" s="111">
        <f ca="1">SUMIFS(
  m.vb[valor],
  m.vb[nucleo],$Z$1,
  m.vb[variavel],AG$7,
  m.vb[mes],$A74
)</f>
        <v>0</v>
      </c>
      <c r="AH74" s="111">
        <f ca="1">SUMIFS(
  m.vb[valor],
  m.vb[nucleo],$Z$1,
  m.vb[variavel],AH$7,
  m.vb[mes],$A74
)</f>
        <v>0</v>
      </c>
      <c r="AI74" s="111">
        <f ca="1">SUMIFS(
  m.vb[valor],
  m.vb[nucleo],$Z$1,
  m.vb[variavel],AI$7,
  m.vb[mes],$A74
)</f>
        <v>0</v>
      </c>
      <c r="AJ74" s="122">
        <f>COUNTIFS(
    tb_estq[empresa], AJ$6,
    tb_estq[Data da venda / reserva], "&gt;=" &amp; $A74,
    tb_estq[Data da venda / reserva], "&lt;"  &amp; EOMONTH($A74,0) + 1
)</f>
        <v>0</v>
      </c>
      <c r="AK74" s="123">
        <f ca="1">SUMIFS(tb_rec_uni[2026-12-01],
INDIRECT("tb_rec_uni[natureza]"),"pro.soluto",
INDIRECT("tb_rec_uni[empresa]"),AK$6)</f>
        <v>0</v>
      </c>
      <c r="AL74" s="123">
        <f ca="1">SUMIFS(tb_rec_uni[2026-12-01],
INDIRECT("tb_rec_uni[natureza]"),"repasse.cef.obra",
INDIRECT("tb_rec_uni[empresa]"),AL$6)</f>
        <v>0</v>
      </c>
      <c r="AM74" s="126">
        <f ca="1">SUMIFS(tb_rec_uni[2026-12-01],
INDIRECT("tb_rec_uni[natureza]"),"repasse.cef.terreno",
INDIRECT("tb_rec_uni[empresa]"),AM$6)</f>
        <v>0</v>
      </c>
      <c r="AN74" s="127"/>
      <c r="AO74" s="123">
        <f ca="1">SUMIFS(tb_rec_uni[2026-12-01],
INDIRECT("tb_rec_uni[natureza]"),"taxa.extra",
INDIRECT("tb_rec_uni[empresa]"),AO$6)</f>
        <v>0</v>
      </c>
      <c r="AP74" s="111"/>
      <c r="AQ74" s="111">
        <f ca="1">SUMIFS(
  m.vb[valor],
  m.vb[nucleo],$AJ$1,
  m.vb[variavel],AQ$7,
  m.vb[mes],$A74
)</f>
        <v>0</v>
      </c>
      <c r="AR74" s="111">
        <f ca="1">SUMIFS(
  m.vb[valor],
  m.vb[nucleo],$AJ$1,
  m.vb[variavel],AR$7,
  m.vb[mes],$A74
)</f>
        <v>0</v>
      </c>
      <c r="AS74" s="111">
        <f ca="1">SUMIFS(
  m.vb[valor],
  m.vb[nucleo],$AJ$1,
  m.vb[variavel],AS$7,
  m.vb[mes],$A74
)</f>
        <v>0</v>
      </c>
      <c r="AT74" s="111">
        <f ca="1">SUMIFS(
  m.vb[valor],
  m.vb[nucleo],$AJ$1,
  m.vb[variavel],AT$7,
  m.vb[mes],$A74
)</f>
        <v>0</v>
      </c>
      <c r="AU74" s="111">
        <f ca="1">SUMIFS(
  m.vb[valor],
  m.vb[nucleo],$AJ$1,
  m.vb[variavel],AU$7,
  m.vb[mes],$A74
)</f>
        <v>0</v>
      </c>
      <c r="AV74" s="122">
        <f>COUNTIFS(
    tb_estq[empresa], AV$6,
    tb_estq[Data da venda / reserva], "&gt;=" &amp; $A74,
    tb_estq[Data da venda / reserva], "&lt;"  &amp; EOMONTH($A74,0) + 1
)</f>
        <v>0</v>
      </c>
      <c r="AW74" s="123">
        <f ca="1">SUMIFS(tb_rec_uni[2026-12-01],
INDIRECT("tb_rec_uni[natureza]"),"pro.soluto",
INDIRECT("tb_rec_uni[empresa]"),AW$6)</f>
        <v>0</v>
      </c>
      <c r="AX74" s="123">
        <f ca="1">SUMIFS(tb_rec_uni[2026-12-01],
INDIRECT("tb_rec_uni[natureza]"),"repasse.cef.obra",
INDIRECT("tb_rec_uni[empresa]"),AX$6)</f>
        <v>0</v>
      </c>
      <c r="AY74" s="126">
        <f ca="1">SUMIFS(tb_rec_uni[2026-12-01],
INDIRECT("tb_rec_uni[natureza]"),"repasse.cef.terreno",
INDIRECT("tb_rec_uni[empresa]"),AY$6)</f>
        <v>0</v>
      </c>
      <c r="AZ74" s="127"/>
      <c r="BA74" s="123">
        <f ca="1">SUMIFS(tb_rec_uni[2026-12-01],
INDIRECT("tb_rec_uni[natureza]"),"taxa.extra",
INDIRECT("tb_rec_uni[empresa]"),BA$6)</f>
        <v>0</v>
      </c>
      <c r="BB74" s="111"/>
      <c r="BC74" s="111">
        <f ca="1">SUMIFS(
  m.vb[valor],
  m.vb[nucleo],$AV$1,
  m.vb[variavel],BC$7,
  m.vb[mes],$A74
)</f>
        <v>0</v>
      </c>
      <c r="BD74" s="111">
        <f ca="1">SUMIFS(
  m.vb[valor],
  m.vb[nucleo],$AV$1,
  m.vb[variavel],BD$7,
  m.vb[mes],$A74
)</f>
        <v>0</v>
      </c>
      <c r="BE74" s="111">
        <f ca="1">SUMIFS(
  m.vb[valor],
  m.vb[nucleo],$AV$1,
  m.vb[variavel],BE$7,
  m.vb[mes],$A74
)</f>
        <v>0</v>
      </c>
      <c r="BF74" s="111">
        <f ca="1">SUMIFS(
  m.vb[valor],
  m.vb[nucleo],$AV$1,
  m.vb[variavel],BF$7,
  m.vb[mes],$A74
)</f>
        <v>0</v>
      </c>
      <c r="BG74" s="111">
        <f ca="1">SUMIFS(
  m.vb[valor],
  m.vb[nucleo],$AV$1,
  m.vb[variavel],BG$7,
  m.vb[mes],$A74
)</f>
        <v>0</v>
      </c>
      <c r="BH74" s="122">
        <f>COUNTIFS(
    tb_estq[empresa], BH$6,
    tb_estq[Data da venda / reserva], "&gt;=" &amp; $A74,
    tb_estq[Data da venda / reserva], "&lt;"  &amp; EOMONTH($A74,0) + 1
)</f>
        <v>0</v>
      </c>
      <c r="BI74" s="123">
        <f ca="1">SUMIFS(tb_rec_uni[2026-12-01],
INDIRECT("tb_rec_uni[natureza]"),"pro.soluto",
INDIRECT("tb_rec_uni[empresa]"),BI$6)</f>
        <v>0</v>
      </c>
      <c r="BJ74" s="127"/>
      <c r="BK74" s="123">
        <f ca="1">SUMIFS(tb_rec_uni[2026-12-01],
INDIRECT("tb_rec_uni[natureza]"),"taxa.extra",
INDIRECT("tb_rec_uni[empresa]"),BK$6)</f>
        <v>0</v>
      </c>
      <c r="BL74" s="111"/>
      <c r="BM74" s="111">
        <f ca="1">SUMIFS(
  m.vb[valor],
  m.vb[nucleo],$BH$1,
  m.vb[variavel],BM$7,
  m.vb[mes],$A74
)</f>
        <v>0</v>
      </c>
      <c r="BN74" s="111">
        <f ca="1">SUMIFS(
  m.vb[valor],
  m.vb[nucleo],$BH$1,
  m.vb[variavel],BN$7,
  m.vb[mes],$A74
)</f>
        <v>0</v>
      </c>
      <c r="BO74" s="111">
        <f ca="1">SUMIFS(
  m.vb[valor],
  m.vb[nucleo],$BH$1,
  m.vb[variavel],BO$7,
  m.vb[mes],$A74
)</f>
        <v>0</v>
      </c>
      <c r="BP74" s="111">
        <f ca="1">SUMIFS(
  m.vb[valor],
  m.vb[nucleo],$BH$1,
  m.vb[variavel],BP$7,
  m.vb[mes],$A74
)</f>
        <v>0</v>
      </c>
      <c r="BQ74" s="111">
        <f ca="1">SUMIFS(
  m.vb[valor],
  m.vb[nucleo],$BH$1,
  m.vb[variavel],BQ$7,
  m.vb[mes],$A74
)</f>
        <v>0</v>
      </c>
      <c r="BR74" s="122">
        <f>COUNTIFS(
    tb_estq[empresa], BR$6,
    tb_estq[Data da venda / reserva], "&gt;=" &amp; $A74,
    tb_estq[Data da venda / reserva], "&lt;"  &amp; EOMONTH($A74,0) + 1
)</f>
        <v>0</v>
      </c>
      <c r="BS74" s="123">
        <f ca="1">SUMIFS(tb_rec_uni[2026-12-01],
INDIRECT("tb_rec_uni[natureza]"),"pro.soluto",
INDIRECT("tb_rec_uni[empresa]"),BS$6)</f>
        <v>0</v>
      </c>
      <c r="BT74" s="127">
        <f ca="1">SUMIFS(tb_rec_uni[2026-12-01],
INDIRECT("tb_rec_uni[natureza]"),"parcela.fin.total.ik",
INDIRECT("tb_rec_uni[empresa]"),BT$6)</f>
        <v>0</v>
      </c>
      <c r="BU74" s="123">
        <f ca="1">SUMIFS(tb_rec_uni[2026-12-01],
INDIRECT("tb_rec_uni[natureza]"),"taxa.extra",
INDIRECT("tb_rec_uni[empresa]"),BU$6)</f>
        <v>0</v>
      </c>
      <c r="BV74" s="111"/>
      <c r="BW74" s="111">
        <f ca="1">SUMIFS(
  m.vb[valor],
  m.vb[nucleo],$BR$1,
  m.vb[variavel],BW$7,
  m.vb[mes],$A74
)</f>
        <v>0</v>
      </c>
      <c r="BX74" s="111">
        <f ca="1">SUMIFS(
  m.vb[valor],
  m.vb[nucleo],$BR$1,
  m.vb[variavel],BX$7,
  m.vb[mes],$A74
)</f>
        <v>0</v>
      </c>
      <c r="BY74" s="111">
        <f ca="1">SUMIFS(
  m.vb[valor],
  m.vb[nucleo],$BR$1,
  m.vb[variavel],BY$7,
  m.vb[mes],$A74
)</f>
        <v>0</v>
      </c>
      <c r="BZ74" s="111">
        <f ca="1">SUMIFS(
  m.vb[valor],
  m.vb[nucleo],$BR$1,
  m.vb[variavel],BZ$7,
  m.vb[mes],$A74
)</f>
        <v>0</v>
      </c>
      <c r="CA74" s="111">
        <f ca="1">SUMIFS(
  m.vb[valor],
  m.vb[nucleo],$BR$1,
  m.vb[variavel],CA$7,
  m.vb[mes],$A74
)</f>
        <v>0</v>
      </c>
      <c r="CB74" s="122">
        <f>COUNTIFS(
    tb_estq[empresa], CB$6,
    tb_estq[Data da venda / reserva], "&gt;=" &amp; $A74,
    tb_estq[Data da venda / reserva], "&lt;"  &amp; EOMONTH($A74,0) + 1
)</f>
        <v>0</v>
      </c>
      <c r="CC74" s="123">
        <f ca="1">SUMIFS(tb_rec_uni[2026-12-01],
INDIRECT("tb_rec_uni[natureza]"),"pro.soluto",
INDIRECT("tb_rec_uni[empresa]"),CC$6)</f>
        <v>0</v>
      </c>
      <c r="CD74" s="123">
        <f ca="1">SUMIFS(tb_rec_uni[2026-12-01],
INDIRECT("tb_rec_uni[natureza]"),"repasse.cef.obra",
INDIRECT("tb_rec_uni[empresa]"),CD$6)</f>
        <v>0</v>
      </c>
      <c r="CE74" s="126">
        <f ca="1">SUMIFS(tb_rec_uni[2026-12-01],
INDIRECT("tb_rec_uni[natureza]"),"repasse.cef.terreno",
INDIRECT("tb_rec_uni[empresa]"),CE$6)</f>
        <v>0</v>
      </c>
      <c r="CF74" s="127"/>
      <c r="CG74" s="123">
        <f ca="1">SUMIFS(tb_rec_uni[2026-12-01],
INDIRECT("tb_rec_uni[natureza]"),"taxa.extra",
INDIRECT("tb_rec_uni[empresa]"),CG$6)</f>
        <v>0</v>
      </c>
      <c r="CH74" s="111"/>
      <c r="CI74" s="111">
        <f ca="1">SUMIFS(
  m.vb[valor],
  m.vb[nucleo],$CB$1,
  m.vb[variavel],CI$7,
  m.vb[mes],$A74
)</f>
        <v>0</v>
      </c>
      <c r="CJ74" s="111">
        <f ca="1">SUMIFS(
  m.vb[valor],
  m.vb[nucleo],$CB$1,
  m.vb[variavel],CJ$7,
  m.vb[mes],$A74
)</f>
        <v>0</v>
      </c>
      <c r="CK74" s="111">
        <f ca="1">SUMIFS(
  m.vb[valor],
  m.vb[nucleo],$CB$1,
  m.vb[variavel],CK$7,
  m.vb[mes],$A74
)</f>
        <v>0</v>
      </c>
      <c r="CL74" s="111">
        <f ca="1">SUMIFS(
  m.vb[valor],
  m.vb[nucleo],$CB$1,
  m.vb[variavel],CL$7,
  m.vb[mes],$A74
)</f>
        <v>0</v>
      </c>
      <c r="CM74" s="111">
        <f ca="1">SUMIFS(
  m.vb[valor],
  m.vb[nucleo],$CB$1,
  m.vb[variavel],CM$7,
  m.vb[mes],$A74
)</f>
        <v>0</v>
      </c>
      <c r="CN74" s="122">
        <f>COUNTIFS(
    tb_estq[empresa], CN$6,
    tb_estq[Data da venda / reserva], "&gt;=" &amp; $A74,
    tb_estq[Data da venda / reserva], "&lt;"  &amp; EOMONTH($A74,0) + 1
)</f>
        <v>0</v>
      </c>
      <c r="CO74" s="123">
        <f ca="1">SUMIFS(tb_rec_uni[2026-12-01],
INDIRECT("tb_rec_uni[natureza]"),"pro.soluto",
INDIRECT("tb_rec_uni[empresa]"),CO$6)</f>
        <v>0</v>
      </c>
      <c r="CP74" s="123">
        <f ca="1">SUMIFS(tb_rec_uni[2026-12-01],
INDIRECT("tb_rec_uni[natureza]"),"repasse.cef.obra",
INDIRECT("tb_rec_uni[empresa]"),CP$6)</f>
        <v>0</v>
      </c>
      <c r="CQ74" s="126">
        <f ca="1">SUMIFS(tb_rec_uni[2026-12-01],
INDIRECT("tb_rec_uni[natureza]"),"repasse.cef.terreno",
INDIRECT("tb_rec_uni[empresa]"),CQ$6)</f>
        <v>0</v>
      </c>
      <c r="CR74" s="127"/>
      <c r="CS74" s="123">
        <f ca="1">SUMIFS(tb_rec_uni[2026-12-01],
INDIRECT("tb_rec_uni[natureza]"),"taxa.extra",
INDIRECT("tb_rec_uni[empresa]"),CS$6)</f>
        <v>0</v>
      </c>
      <c r="CT74" s="111"/>
      <c r="CU74" s="111">
        <f ca="1">SUMIFS(
  m.vb[valor],
  m.vb[nucleo],$CN$1,
  m.vb[variavel],CU$7,
  m.vb[mes],$A74
)</f>
        <v>0</v>
      </c>
      <c r="CV74" s="111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11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11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4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21">
        <v>46388</v>
      </c>
      <c r="B75" s="122">
        <f>COUNTIFS(
    tb_estq[empresa], B$6,
    tb_estq[Data da venda / reserva], "&gt;=" &amp; $A75,
    tb_estq[Data da venda / reserva], "&lt;"  &amp; EOMONTH($A75,0) + 1
)</f>
        <v>0</v>
      </c>
      <c r="C75" s="123">
        <f ca="1">SUMIFS(tb_rec_uni[2027-01-01],
INDIRECT("tb_rec_uni[natureza]"),"pro.soluto",
INDIRECT("tb_rec_uni[empresa]"),C$6)</f>
        <v>0</v>
      </c>
      <c r="D75" s="123">
        <f ca="1">SUMIFS(tb_rec_uni[2027-01-01],
INDIRECT("tb_rec_uni[natureza]"),"repasse.cef.obra",
INDIRECT("tb_rec_uni[empresa]"),D$6)</f>
        <v>0</v>
      </c>
      <c r="E75" s="123">
        <f ca="1">SUMIFS(tb_rec_uni[2027-01-01],
INDIRECT("tb_rec_uni[natureza]"),"repasse.cef.terreno",
INDIRECT("tb_rec_uni[empresa]"),E$6)</f>
        <v>0</v>
      </c>
      <c r="F75" s="127"/>
      <c r="G75" s="123">
        <f ca="1">SUMIFS(tb_rec_uni[2027-01-01],
INDIRECT("tb_rec_uni[natureza]"),"taxa.extra",
INDIRECT("tb_rec_uni[empresa]"),G$6)</f>
        <v>0</v>
      </c>
      <c r="H75" s="111"/>
      <c r="I75" s="111">
        <f ca="1">SUMIFS(
  m.vb[valor],
  m.vb[nucleo],$B$1,
  m.vb[variavel],I$7,
  m.vb[mes],$A75
)</f>
        <v>0</v>
      </c>
      <c r="J75" s="111">
        <f ca="1">SUMIFS(
  m.vb[valor],
  m.vb[nucleo],$B$1,
  m.vb[variavel],J$7,
  m.vb[mes],$A75
)</f>
        <v>0</v>
      </c>
      <c r="K75" s="111">
        <f ca="1">SUMIFS(
  m.vb[valor],
  m.vb[nucleo],$B$1,
  m.vb[variavel],K$7,
  m.vb[mes],$A75
)</f>
        <v>0</v>
      </c>
      <c r="L75" s="111">
        <f ca="1">SUMIFS(
  m.vb[valor],
  m.vb[nucleo],$B$1,
  m.vb[variavel],L$7,
  m.vb[mes],$A75
)</f>
        <v>0</v>
      </c>
      <c r="M75" s="111">
        <f ca="1">SUMIFS(
  m.vb[valor],
  m.vb[nucleo],$B$1,
  m.vb[variavel],M$7,
  m.vb[mes],$A75
)</f>
        <v>0</v>
      </c>
      <c r="N75" s="122">
        <f>COUNTIFS(
    tb_estq[empresa], N$6,
    tb_estq[Data da venda / reserva], "&gt;=" &amp; $A75,
    tb_estq[Data da venda / reserva], "&lt;"  &amp; EOMONTH($A75,0) + 1
)</f>
        <v>0</v>
      </c>
      <c r="O75" s="123">
        <f ca="1">SUMIFS(tb_rec_uni[2027-01-01],
INDIRECT("tb_rec_uni[natureza]"),"pro.soluto",
INDIRECT("tb_rec_uni[empresa]"),O$6)</f>
        <v>0</v>
      </c>
      <c r="P75" s="123">
        <f ca="1">SUMIFS(tb_rec_uni[2027-01-01],
INDIRECT("tb_rec_uni[natureza]"),"repasse.cef.obra",
INDIRECT("tb_rec_uni[empresa]"),P$6)</f>
        <v>0</v>
      </c>
      <c r="Q75" s="123">
        <f ca="1">SUMIFS(tb_rec_uni[2027-01-01],
INDIRECT("tb_rec_uni[natureza]"),"repasse.cef.terreno",
INDIRECT("tb_rec_uni[empresa]"),Q$6)</f>
        <v>0</v>
      </c>
      <c r="R75" s="127"/>
      <c r="S75" s="123">
        <f ca="1">SUMIFS(tb_rec_uni[2027-01-01],
INDIRECT("tb_rec_uni[natureza]"),"taxa.extra",
INDIRECT("tb_rec_uni[empresa]"),S$6)</f>
        <v>0</v>
      </c>
      <c r="T75" s="111"/>
      <c r="U75" s="111">
        <f ca="1">SUMIFS(
  m.vb[valor],
  m.vb[nucleo],$N$1,
  m.vb[variavel],U$7,
  m.vb[mes],$A75
)</f>
        <v>0</v>
      </c>
      <c r="V75" s="111">
        <f ca="1">SUMIFS(
  m.vb[valor],
  m.vb[nucleo],$N$1,
  m.vb[variavel],V$7,
  m.vb[mes],$A75
)</f>
        <v>0</v>
      </c>
      <c r="W75" s="111">
        <f ca="1">SUMIFS(
  m.vb[valor],
  m.vb[nucleo],$N$1,
  m.vb[variavel],W$7,
  m.vb[mes],$A75
)</f>
        <v>0</v>
      </c>
      <c r="X75" s="111">
        <f ca="1">SUMIFS(
  m.vb[valor],
  m.vb[nucleo],$N$1,
  m.vb[variavel],X$7,
  m.vb[mes],$A75
)</f>
        <v>0</v>
      </c>
      <c r="Y75" s="111">
        <f ca="1">SUMIFS(
  m.vb[valor],
  m.vb[nucleo],$N$1,
  m.vb[variavel],Y$7,
  m.vb[mes],$A75
)</f>
        <v>0</v>
      </c>
      <c r="Z75" s="122">
        <f>COUNTIFS(
    tb_estq[empresa], Z$6,
    tb_estq[Data da venda / reserva], "&gt;=" &amp; $A75,
    tb_estq[Data da venda / reserva], "&lt;"  &amp; EOMONTH($A75,0) + 1
)</f>
        <v>0</v>
      </c>
      <c r="AA75" s="123">
        <f ca="1">SUMIFS(tb_rec_uni[2027-01-01],
INDIRECT("tb_rec_uni[natureza]"),"pro.soluto",
INDIRECT("tb_rec_uni[empresa]"),AA$6)</f>
        <v>0</v>
      </c>
      <c r="AB75" s="127">
        <f ca="1">SUMIFS(tb_rec_uni[2027-01-01],
INDIRECT("tb_rec_uni[natureza]"),"parcela.fin.total.ik",
INDIRECT("tb_rec_uni[empresa]"),AB$6)</f>
        <v>0</v>
      </c>
      <c r="AC75" s="123">
        <f ca="1">SUMIFS(tb_rec_uni[2027-01-01],
INDIRECT("tb_rec_uni[natureza]"),"taxa.extra",
INDIRECT("tb_rec_uni[empresa]"),AC$6)</f>
        <v>0</v>
      </c>
      <c r="AD75" s="111"/>
      <c r="AE75" s="111">
        <f ca="1">SUMIFS(
  m.vb[valor],
  m.vb[nucleo],$Z$1,
  m.vb[variavel],AE$7,
  m.vb[mes],$A75
)</f>
        <v>0</v>
      </c>
      <c r="AF75" s="111">
        <f ca="1">SUMIFS(
  m.vb[valor],
  m.vb[nucleo],$Z$1,
  m.vb[variavel],AF$7,
  m.vb[mes],$A75
)</f>
        <v>0</v>
      </c>
      <c r="AG75" s="111">
        <f ca="1">SUMIFS(
  m.vb[valor],
  m.vb[nucleo],$Z$1,
  m.vb[variavel],AG$7,
  m.vb[mes],$A75
)</f>
        <v>0</v>
      </c>
      <c r="AH75" s="111">
        <f ca="1">SUMIFS(
  m.vb[valor],
  m.vb[nucleo],$Z$1,
  m.vb[variavel],AH$7,
  m.vb[mes],$A75
)</f>
        <v>0</v>
      </c>
      <c r="AI75" s="111">
        <f ca="1">SUMIFS(
  m.vb[valor],
  m.vb[nucleo],$Z$1,
  m.vb[variavel],AI$7,
  m.vb[mes],$A75
)</f>
        <v>0</v>
      </c>
      <c r="AJ75" s="122">
        <f>COUNTIFS(
    tb_estq[empresa], AJ$6,
    tb_estq[Data da venda / reserva], "&gt;=" &amp; $A75,
    tb_estq[Data da venda / reserva], "&lt;"  &amp; EOMONTH($A75,0) + 1
)</f>
        <v>0</v>
      </c>
      <c r="AK75" s="123">
        <f ca="1">SUMIFS(tb_rec_uni[2027-01-01],
INDIRECT("tb_rec_uni[natureza]"),"pro.soluto",
INDIRECT("tb_rec_uni[empresa]"),AK$6)</f>
        <v>0</v>
      </c>
      <c r="AL75" s="123">
        <f ca="1">SUMIFS(tb_rec_uni[2027-01-01],
INDIRECT("tb_rec_uni[natureza]"),"repasse.cef.obra",
INDIRECT("tb_rec_uni[empresa]"),AL$6)</f>
        <v>0</v>
      </c>
      <c r="AM75" s="126">
        <f ca="1">SUMIFS(tb_rec_uni[2027-01-01],
INDIRECT("tb_rec_uni[natureza]"),"repasse.cef.terreno",
INDIRECT("tb_rec_uni[empresa]"),AM$6)</f>
        <v>0</v>
      </c>
      <c r="AN75" s="127"/>
      <c r="AO75" s="123">
        <f ca="1">SUMIFS(tb_rec_uni[2027-01-01],
INDIRECT("tb_rec_uni[natureza]"),"taxa.extra",
INDIRECT("tb_rec_uni[empresa]"),AO$6)</f>
        <v>0</v>
      </c>
      <c r="AP75" s="111"/>
      <c r="AQ75" s="111">
        <f ca="1">SUMIFS(
  m.vb[valor],
  m.vb[nucleo],$AJ$1,
  m.vb[variavel],AQ$7,
  m.vb[mes],$A75
)</f>
        <v>0</v>
      </c>
      <c r="AR75" s="111">
        <f ca="1">SUMIFS(
  m.vb[valor],
  m.vb[nucleo],$AJ$1,
  m.vb[variavel],AR$7,
  m.vb[mes],$A75
)</f>
        <v>0</v>
      </c>
      <c r="AS75" s="111">
        <f ca="1">SUMIFS(
  m.vb[valor],
  m.vb[nucleo],$AJ$1,
  m.vb[variavel],AS$7,
  m.vb[mes],$A75
)</f>
        <v>0</v>
      </c>
      <c r="AT75" s="111">
        <f ca="1">SUMIFS(
  m.vb[valor],
  m.vb[nucleo],$AJ$1,
  m.vb[variavel],AT$7,
  m.vb[mes],$A75
)</f>
        <v>0</v>
      </c>
      <c r="AU75" s="111">
        <f ca="1">SUMIFS(
  m.vb[valor],
  m.vb[nucleo],$AJ$1,
  m.vb[variavel],AU$7,
  m.vb[mes],$A75
)</f>
        <v>0</v>
      </c>
      <c r="AV75" s="122">
        <f>COUNTIFS(
    tb_estq[empresa], AV$6,
    tb_estq[Data da venda / reserva], "&gt;=" &amp; $A75,
    tb_estq[Data da venda / reserva], "&lt;"  &amp; EOMONTH($A75,0) + 1
)</f>
        <v>0</v>
      </c>
      <c r="AW75" s="123">
        <f ca="1">SUMIFS(tb_rec_uni[2027-01-01],
INDIRECT("tb_rec_uni[natureza]"),"pro.soluto",
INDIRECT("tb_rec_uni[empresa]"),AW$6)</f>
        <v>0</v>
      </c>
      <c r="AX75" s="123">
        <f ca="1">SUMIFS(tb_rec_uni[2027-01-01],
INDIRECT("tb_rec_uni[natureza]"),"repasse.cef.obra",
INDIRECT("tb_rec_uni[empresa]"),AX$6)</f>
        <v>0</v>
      </c>
      <c r="AY75" s="126">
        <f ca="1">SUMIFS(tb_rec_uni[2027-01-01],
INDIRECT("tb_rec_uni[natureza]"),"repasse.cef.terreno",
INDIRECT("tb_rec_uni[empresa]"),AY$6)</f>
        <v>0</v>
      </c>
      <c r="AZ75" s="127"/>
      <c r="BA75" s="123">
        <f ca="1">SUMIFS(tb_rec_uni[2027-01-01],
INDIRECT("tb_rec_uni[natureza]"),"taxa.extra",
INDIRECT("tb_rec_uni[empresa]"),BA$6)</f>
        <v>0</v>
      </c>
      <c r="BB75" s="111"/>
      <c r="BC75" s="111">
        <f ca="1">SUMIFS(
  m.vb[valor],
  m.vb[nucleo],$AV$1,
  m.vb[variavel],BC$7,
  m.vb[mes],$A75
)</f>
        <v>0</v>
      </c>
      <c r="BD75" s="111">
        <f ca="1">SUMIFS(
  m.vb[valor],
  m.vb[nucleo],$AV$1,
  m.vb[variavel],BD$7,
  m.vb[mes],$A75
)</f>
        <v>0</v>
      </c>
      <c r="BE75" s="111">
        <f ca="1">SUMIFS(
  m.vb[valor],
  m.vb[nucleo],$AV$1,
  m.vb[variavel],BE$7,
  m.vb[mes],$A75
)</f>
        <v>0</v>
      </c>
      <c r="BF75" s="111">
        <f ca="1">SUMIFS(
  m.vb[valor],
  m.vb[nucleo],$AV$1,
  m.vb[variavel],BF$7,
  m.vb[mes],$A75
)</f>
        <v>0</v>
      </c>
      <c r="BG75" s="111">
        <f ca="1">SUMIFS(
  m.vb[valor],
  m.vb[nucleo],$AV$1,
  m.vb[variavel],BG$7,
  m.vb[mes],$A75
)</f>
        <v>0</v>
      </c>
      <c r="BH75" s="122">
        <f>COUNTIFS(
    tb_estq[empresa], BH$6,
    tb_estq[Data da venda / reserva], "&gt;=" &amp; $A75,
    tb_estq[Data da venda / reserva], "&lt;"  &amp; EOMONTH($A75,0) + 1
)</f>
        <v>0</v>
      </c>
      <c r="BI75" s="123">
        <f ca="1">SUMIFS(tb_rec_uni[2027-01-01],
INDIRECT("tb_rec_uni[natureza]"),"pro.soluto",
INDIRECT("tb_rec_uni[empresa]"),BI$6)</f>
        <v>0</v>
      </c>
      <c r="BJ75" s="127"/>
      <c r="BK75" s="123">
        <f ca="1">SUMIFS(tb_rec_uni[2027-01-01],
INDIRECT("tb_rec_uni[natureza]"),"taxa.extra",
INDIRECT("tb_rec_uni[empresa]"),BK$6)</f>
        <v>0</v>
      </c>
      <c r="BL75" s="111"/>
      <c r="BM75" s="111">
        <f ca="1">SUMIFS(
  m.vb[valor],
  m.vb[nucleo],$BH$1,
  m.vb[variavel],BM$7,
  m.vb[mes],$A75
)</f>
        <v>0</v>
      </c>
      <c r="BN75" s="111">
        <f ca="1">SUMIFS(
  m.vb[valor],
  m.vb[nucleo],$BH$1,
  m.vb[variavel],BN$7,
  m.vb[mes],$A75
)</f>
        <v>0</v>
      </c>
      <c r="BO75" s="111">
        <f ca="1">SUMIFS(
  m.vb[valor],
  m.vb[nucleo],$BH$1,
  m.vb[variavel],BO$7,
  m.vb[mes],$A75
)</f>
        <v>0</v>
      </c>
      <c r="BP75" s="111">
        <f ca="1">SUMIFS(
  m.vb[valor],
  m.vb[nucleo],$BH$1,
  m.vb[variavel],BP$7,
  m.vb[mes],$A75
)</f>
        <v>0</v>
      </c>
      <c r="BQ75" s="111">
        <f ca="1">SUMIFS(
  m.vb[valor],
  m.vb[nucleo],$BH$1,
  m.vb[variavel],BQ$7,
  m.vb[mes],$A75
)</f>
        <v>0</v>
      </c>
      <c r="BR75" s="122">
        <f>COUNTIFS(
    tb_estq[empresa], BR$6,
    tb_estq[Data da venda / reserva], "&gt;=" &amp; $A75,
    tb_estq[Data da venda / reserva], "&lt;"  &amp; EOMONTH($A75,0) + 1
)</f>
        <v>0</v>
      </c>
      <c r="BS75" s="123">
        <f ca="1">SUMIFS(tb_rec_uni[2027-01-01],
INDIRECT("tb_rec_uni[natureza]"),"pro.soluto",
INDIRECT("tb_rec_uni[empresa]"),BS$6)</f>
        <v>0</v>
      </c>
      <c r="BT75" s="127">
        <f ca="1">SUMIFS(tb_rec_uni[2027-01-01],
INDIRECT("tb_rec_uni[natureza]"),"parcela.fin.total.ik",
INDIRECT("tb_rec_uni[empresa]"),BT$6)</f>
        <v>0</v>
      </c>
      <c r="BU75" s="123">
        <f ca="1">SUMIFS(tb_rec_uni[2027-01-01],
INDIRECT("tb_rec_uni[natureza]"),"taxa.extra",
INDIRECT("tb_rec_uni[empresa]"),BU$6)</f>
        <v>0</v>
      </c>
      <c r="BV75" s="111"/>
      <c r="BW75" s="111">
        <f ca="1">SUMIFS(
  m.vb[valor],
  m.vb[nucleo],$BR$1,
  m.vb[variavel],BW$7,
  m.vb[mes],$A75
)</f>
        <v>0</v>
      </c>
      <c r="BX75" s="111">
        <f ca="1">SUMIFS(
  m.vb[valor],
  m.vb[nucleo],$BR$1,
  m.vb[variavel],BX$7,
  m.vb[mes],$A75
)</f>
        <v>0</v>
      </c>
      <c r="BY75" s="111">
        <f ca="1">SUMIFS(
  m.vb[valor],
  m.vb[nucleo],$BR$1,
  m.vb[variavel],BY$7,
  m.vb[mes],$A75
)</f>
        <v>0</v>
      </c>
      <c r="BZ75" s="111">
        <f ca="1">SUMIFS(
  m.vb[valor],
  m.vb[nucleo],$BR$1,
  m.vb[variavel],BZ$7,
  m.vb[mes],$A75
)</f>
        <v>0</v>
      </c>
      <c r="CA75" s="111">
        <f ca="1">SUMIFS(
  m.vb[valor],
  m.vb[nucleo],$BR$1,
  m.vb[variavel],CA$7,
  m.vb[mes],$A75
)</f>
        <v>0</v>
      </c>
      <c r="CB75" s="122">
        <f>COUNTIFS(
    tb_estq[empresa], CB$6,
    tb_estq[Data da venda / reserva], "&gt;=" &amp; $A75,
    tb_estq[Data da venda / reserva], "&lt;"  &amp; EOMONTH($A75,0) + 1
)</f>
        <v>0</v>
      </c>
      <c r="CC75" s="123">
        <f ca="1">SUMIFS(tb_rec_uni[2027-01-01],
INDIRECT("tb_rec_uni[natureza]"),"pro.soluto",
INDIRECT("tb_rec_uni[empresa]"),CC$6)</f>
        <v>0</v>
      </c>
      <c r="CD75" s="123">
        <f ca="1">SUMIFS(tb_rec_uni[2027-01-01],
INDIRECT("tb_rec_uni[natureza]"),"repasse.cef.obra",
INDIRECT("tb_rec_uni[empresa]"),CD$6)</f>
        <v>0</v>
      </c>
      <c r="CE75" s="126">
        <f ca="1">SUMIFS(tb_rec_uni[2027-01-01],
INDIRECT("tb_rec_uni[natureza]"),"repasse.cef.terreno",
INDIRECT("tb_rec_uni[empresa]"),CE$6)</f>
        <v>0</v>
      </c>
      <c r="CF75" s="127"/>
      <c r="CG75" s="123">
        <f ca="1">SUMIFS(tb_rec_uni[2027-01-01],
INDIRECT("tb_rec_uni[natureza]"),"taxa.extra",
INDIRECT("tb_rec_uni[empresa]"),CG$6)</f>
        <v>0</v>
      </c>
      <c r="CH75" s="111"/>
      <c r="CI75" s="111">
        <f ca="1">SUMIFS(
  m.vb[valor],
  m.vb[nucleo],$CB$1,
  m.vb[variavel],CI$7,
  m.vb[mes],$A75
)</f>
        <v>0</v>
      </c>
      <c r="CJ75" s="111">
        <f ca="1">SUMIFS(
  m.vb[valor],
  m.vb[nucleo],$CB$1,
  m.vb[variavel],CJ$7,
  m.vb[mes],$A75
)</f>
        <v>0</v>
      </c>
      <c r="CK75" s="111">
        <f ca="1">SUMIFS(
  m.vb[valor],
  m.vb[nucleo],$CB$1,
  m.vb[variavel],CK$7,
  m.vb[mes],$A75
)</f>
        <v>0</v>
      </c>
      <c r="CL75" s="111">
        <f ca="1">SUMIFS(
  m.vb[valor],
  m.vb[nucleo],$CB$1,
  m.vb[variavel],CL$7,
  m.vb[mes],$A75
)</f>
        <v>0</v>
      </c>
      <c r="CM75" s="111">
        <f ca="1">SUMIFS(
  m.vb[valor],
  m.vb[nucleo],$CB$1,
  m.vb[variavel],CM$7,
  m.vb[mes],$A75
)</f>
        <v>0</v>
      </c>
      <c r="CN75" s="122">
        <f>COUNTIFS(
    tb_estq[empresa], CN$6,
    tb_estq[Data da venda / reserva], "&gt;=" &amp; $A75,
    tb_estq[Data da venda / reserva], "&lt;"  &amp; EOMONTH($A75,0) + 1
)</f>
        <v>0</v>
      </c>
      <c r="CO75" s="123">
        <f ca="1">SUMIFS(tb_rec_uni[2027-01-01],
INDIRECT("tb_rec_uni[natureza]"),"pro.soluto",
INDIRECT("tb_rec_uni[empresa]"),CO$6)</f>
        <v>0</v>
      </c>
      <c r="CP75" s="123">
        <f ca="1">SUMIFS(tb_rec_uni[2027-01-01],
INDIRECT("tb_rec_uni[natureza]"),"repasse.cef.obra",
INDIRECT("tb_rec_uni[empresa]"),CP$6)</f>
        <v>0</v>
      </c>
      <c r="CQ75" s="126">
        <f ca="1">SUMIFS(tb_rec_uni[2027-01-01],
INDIRECT("tb_rec_uni[natureza]"),"repasse.cef.terreno",
INDIRECT("tb_rec_uni[empresa]"),CQ$6)</f>
        <v>0</v>
      </c>
      <c r="CR75" s="127"/>
      <c r="CS75" s="123">
        <f ca="1">SUMIFS(tb_rec_uni[2027-01-01],
INDIRECT("tb_rec_uni[natureza]"),"taxa.extra",
INDIRECT("tb_rec_uni[empresa]"),CS$6)</f>
        <v>0</v>
      </c>
      <c r="CT75" s="111"/>
      <c r="CU75" s="111">
        <f ca="1">SUMIFS(
  m.vb[valor],
  m.vb[nucleo],$CN$1,
  m.vb[variavel],CU$7,
  m.vb[mes],$A75
)</f>
        <v>0</v>
      </c>
      <c r="CV75" s="111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11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11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4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21">
        <v>46419</v>
      </c>
      <c r="B76" s="122">
        <f>COUNTIFS(
    tb_estq[empresa], B$6,
    tb_estq[Data da venda / reserva], "&gt;=" &amp; $A76,
    tb_estq[Data da venda / reserva], "&lt;"  &amp; EOMONTH($A76,0) + 1
)</f>
        <v>0</v>
      </c>
      <c r="C76" s="123">
        <f ca="1">SUMIFS(tb_rec_uni[2027-02-01],
INDIRECT("tb_rec_uni[natureza]"),"pro.soluto",
INDIRECT("tb_rec_uni[empresa]"),C$6)</f>
        <v>0</v>
      </c>
      <c r="D76" s="123">
        <f ca="1">SUMIFS(tb_rec_uni[2027-02-01],
INDIRECT("tb_rec_uni[natureza]"),"repasse.cef.obra",
INDIRECT("tb_rec_uni[empresa]"),D$6)</f>
        <v>0</v>
      </c>
      <c r="E76" s="123">
        <f ca="1">SUMIFS(tb_rec_uni[2027-02-01],
INDIRECT("tb_rec_uni[natureza]"),"repasse.cef.terreno",
INDIRECT("tb_rec_uni[empresa]"),E$6)</f>
        <v>0</v>
      </c>
      <c r="F76" s="127"/>
      <c r="G76" s="123">
        <f ca="1">SUMIFS(tb_rec_uni[2027-02-01],
INDIRECT("tb_rec_uni[natureza]"),"taxa.extra",
INDIRECT("tb_rec_uni[empresa]"),G$6)</f>
        <v>0</v>
      </c>
      <c r="H76" s="111"/>
      <c r="I76" s="111">
        <f ca="1">SUMIFS(
  m.vb[valor],
  m.vb[nucleo],$B$1,
  m.vb[variavel],I$7,
  m.vb[mes],$A76
)</f>
        <v>0</v>
      </c>
      <c r="J76" s="111">
        <f ca="1">SUMIFS(
  m.vb[valor],
  m.vb[nucleo],$B$1,
  m.vb[variavel],J$7,
  m.vb[mes],$A76
)</f>
        <v>0</v>
      </c>
      <c r="K76" s="111">
        <f ca="1">SUMIFS(
  m.vb[valor],
  m.vb[nucleo],$B$1,
  m.vb[variavel],K$7,
  m.vb[mes],$A76
)</f>
        <v>0</v>
      </c>
      <c r="L76" s="111">
        <f ca="1">SUMIFS(
  m.vb[valor],
  m.vb[nucleo],$B$1,
  m.vb[variavel],L$7,
  m.vb[mes],$A76
)</f>
        <v>0</v>
      </c>
      <c r="M76" s="111">
        <f ca="1">SUMIFS(
  m.vb[valor],
  m.vb[nucleo],$B$1,
  m.vb[variavel],M$7,
  m.vb[mes],$A76
)</f>
        <v>0</v>
      </c>
      <c r="N76" s="122">
        <f>COUNTIFS(
    tb_estq[empresa], N$6,
    tb_estq[Data da venda / reserva], "&gt;=" &amp; $A76,
    tb_estq[Data da venda / reserva], "&lt;"  &amp; EOMONTH($A76,0) + 1
)</f>
        <v>0</v>
      </c>
      <c r="O76" s="123">
        <f ca="1">SUMIFS(tb_rec_uni[2027-02-01],
INDIRECT("tb_rec_uni[natureza]"),"pro.soluto",
INDIRECT("tb_rec_uni[empresa]"),O$6)</f>
        <v>0</v>
      </c>
      <c r="P76" s="123">
        <f ca="1">SUMIFS(tb_rec_uni[2027-02-01],
INDIRECT("tb_rec_uni[natureza]"),"repasse.cef.obra",
INDIRECT("tb_rec_uni[empresa]"),P$6)</f>
        <v>0</v>
      </c>
      <c r="Q76" s="123">
        <f ca="1">SUMIFS(tb_rec_uni[2027-02-01],
INDIRECT("tb_rec_uni[natureza]"),"repasse.cef.terreno",
INDIRECT("tb_rec_uni[empresa]"),Q$6)</f>
        <v>0</v>
      </c>
      <c r="R76" s="127"/>
      <c r="S76" s="123">
        <f ca="1">SUMIFS(tb_rec_uni[2027-02-01],
INDIRECT("tb_rec_uni[natureza]"),"taxa.extra",
INDIRECT("tb_rec_uni[empresa]"),S$6)</f>
        <v>0</v>
      </c>
      <c r="T76" s="111"/>
      <c r="U76" s="111">
        <f ca="1">SUMIFS(
  m.vb[valor],
  m.vb[nucleo],$N$1,
  m.vb[variavel],U$7,
  m.vb[mes],$A76
)</f>
        <v>0</v>
      </c>
      <c r="V76" s="111">
        <f ca="1">SUMIFS(
  m.vb[valor],
  m.vb[nucleo],$N$1,
  m.vb[variavel],V$7,
  m.vb[mes],$A76
)</f>
        <v>0</v>
      </c>
      <c r="W76" s="111">
        <f ca="1">SUMIFS(
  m.vb[valor],
  m.vb[nucleo],$N$1,
  m.vb[variavel],W$7,
  m.vb[mes],$A76
)</f>
        <v>0</v>
      </c>
      <c r="X76" s="111">
        <f ca="1">SUMIFS(
  m.vb[valor],
  m.vb[nucleo],$N$1,
  m.vb[variavel],X$7,
  m.vb[mes],$A76
)</f>
        <v>0</v>
      </c>
      <c r="Y76" s="111">
        <f ca="1">SUMIFS(
  m.vb[valor],
  m.vb[nucleo],$N$1,
  m.vb[variavel],Y$7,
  m.vb[mes],$A76
)</f>
        <v>0</v>
      </c>
      <c r="Z76" s="122">
        <f>COUNTIFS(
    tb_estq[empresa], Z$6,
    tb_estq[Data da venda / reserva], "&gt;=" &amp; $A76,
    tb_estq[Data da venda / reserva], "&lt;"  &amp; EOMONTH($A76,0) + 1
)</f>
        <v>0</v>
      </c>
      <c r="AA76" s="123">
        <f ca="1">SUMIFS(tb_rec_uni[2027-02-01],
INDIRECT("tb_rec_uni[natureza]"),"pro.soluto",
INDIRECT("tb_rec_uni[empresa]"),AA$6)</f>
        <v>0</v>
      </c>
      <c r="AB76" s="127">
        <f ca="1">SUMIFS(tb_rec_uni[2027-02-01],
INDIRECT("tb_rec_uni[natureza]"),"parcela.fin.total.ik",
INDIRECT("tb_rec_uni[empresa]"),AB$6)</f>
        <v>0</v>
      </c>
      <c r="AC76" s="123">
        <f ca="1">SUMIFS(tb_rec_uni[2027-02-01],
INDIRECT("tb_rec_uni[natureza]"),"taxa.extra",
INDIRECT("tb_rec_uni[empresa]"),AC$6)</f>
        <v>0</v>
      </c>
      <c r="AD76" s="111"/>
      <c r="AE76" s="111">
        <f ca="1">SUMIFS(
  m.vb[valor],
  m.vb[nucleo],$Z$1,
  m.vb[variavel],AE$7,
  m.vb[mes],$A76
)</f>
        <v>0</v>
      </c>
      <c r="AF76" s="111">
        <f ca="1">SUMIFS(
  m.vb[valor],
  m.vb[nucleo],$Z$1,
  m.vb[variavel],AF$7,
  m.vb[mes],$A76
)</f>
        <v>0</v>
      </c>
      <c r="AG76" s="111">
        <f ca="1">SUMIFS(
  m.vb[valor],
  m.vb[nucleo],$Z$1,
  m.vb[variavel],AG$7,
  m.vb[mes],$A76
)</f>
        <v>0</v>
      </c>
      <c r="AH76" s="111">
        <f ca="1">SUMIFS(
  m.vb[valor],
  m.vb[nucleo],$Z$1,
  m.vb[variavel],AH$7,
  m.vb[mes],$A76
)</f>
        <v>0</v>
      </c>
      <c r="AI76" s="111">
        <f ca="1">SUMIFS(
  m.vb[valor],
  m.vb[nucleo],$Z$1,
  m.vb[variavel],AI$7,
  m.vb[mes],$A76
)</f>
        <v>0</v>
      </c>
      <c r="AJ76" s="122">
        <f>COUNTIFS(
    tb_estq[empresa], AJ$6,
    tb_estq[Data da venda / reserva], "&gt;=" &amp; $A76,
    tb_estq[Data da venda / reserva], "&lt;"  &amp; EOMONTH($A76,0) + 1
)</f>
        <v>0</v>
      </c>
      <c r="AK76" s="123">
        <f ca="1">SUMIFS(tb_rec_uni[2027-02-01],
INDIRECT("tb_rec_uni[natureza]"),"pro.soluto",
INDIRECT("tb_rec_uni[empresa]"),AK$6)</f>
        <v>0</v>
      </c>
      <c r="AL76" s="123">
        <f ca="1">SUMIFS(tb_rec_uni[2027-02-01],
INDIRECT("tb_rec_uni[natureza]"),"repasse.cef.obra",
INDIRECT("tb_rec_uni[empresa]"),AL$6)</f>
        <v>0</v>
      </c>
      <c r="AM76" s="126">
        <f ca="1">SUMIFS(tb_rec_uni[2027-02-01],
INDIRECT("tb_rec_uni[natureza]"),"repasse.cef.terreno",
INDIRECT("tb_rec_uni[empresa]"),AM$6)</f>
        <v>0</v>
      </c>
      <c r="AN76" s="127"/>
      <c r="AO76" s="123">
        <f ca="1">SUMIFS(tb_rec_uni[2027-02-01],
INDIRECT("tb_rec_uni[natureza]"),"taxa.extra",
INDIRECT("tb_rec_uni[empresa]"),AO$6)</f>
        <v>0</v>
      </c>
      <c r="AP76" s="111"/>
      <c r="AQ76" s="111">
        <f ca="1">SUMIFS(
  m.vb[valor],
  m.vb[nucleo],$AJ$1,
  m.vb[variavel],AQ$7,
  m.vb[mes],$A76
)</f>
        <v>0</v>
      </c>
      <c r="AR76" s="111">
        <f ca="1">SUMIFS(
  m.vb[valor],
  m.vb[nucleo],$AJ$1,
  m.vb[variavel],AR$7,
  m.vb[mes],$A76
)</f>
        <v>0</v>
      </c>
      <c r="AS76" s="111">
        <f ca="1">SUMIFS(
  m.vb[valor],
  m.vb[nucleo],$AJ$1,
  m.vb[variavel],AS$7,
  m.vb[mes],$A76
)</f>
        <v>0</v>
      </c>
      <c r="AT76" s="111">
        <f ca="1">SUMIFS(
  m.vb[valor],
  m.vb[nucleo],$AJ$1,
  m.vb[variavel],AT$7,
  m.vb[mes],$A76
)</f>
        <v>0</v>
      </c>
      <c r="AU76" s="111">
        <f ca="1">SUMIFS(
  m.vb[valor],
  m.vb[nucleo],$AJ$1,
  m.vb[variavel],AU$7,
  m.vb[mes],$A76
)</f>
        <v>0</v>
      </c>
      <c r="AV76" s="122">
        <f>COUNTIFS(
    tb_estq[empresa], AV$6,
    tb_estq[Data da venda / reserva], "&gt;=" &amp; $A76,
    tb_estq[Data da venda / reserva], "&lt;"  &amp; EOMONTH($A76,0) + 1
)</f>
        <v>0</v>
      </c>
      <c r="AW76" s="123">
        <f ca="1">SUMIFS(tb_rec_uni[2027-02-01],
INDIRECT("tb_rec_uni[natureza]"),"pro.soluto",
INDIRECT("tb_rec_uni[empresa]"),AW$6)</f>
        <v>0</v>
      </c>
      <c r="AX76" s="123">
        <f ca="1">SUMIFS(tb_rec_uni[2027-02-01],
INDIRECT("tb_rec_uni[natureza]"),"repasse.cef.obra",
INDIRECT("tb_rec_uni[empresa]"),AX$6)</f>
        <v>0</v>
      </c>
      <c r="AY76" s="126">
        <f ca="1">SUMIFS(tb_rec_uni[2027-02-01],
INDIRECT("tb_rec_uni[natureza]"),"repasse.cef.terreno",
INDIRECT("tb_rec_uni[empresa]"),AY$6)</f>
        <v>0</v>
      </c>
      <c r="AZ76" s="127"/>
      <c r="BA76" s="123">
        <f ca="1">SUMIFS(tb_rec_uni[2027-02-01],
INDIRECT("tb_rec_uni[natureza]"),"taxa.extra",
INDIRECT("tb_rec_uni[empresa]"),BA$6)</f>
        <v>0</v>
      </c>
      <c r="BB76" s="111"/>
      <c r="BC76" s="111">
        <f ca="1">SUMIFS(
  m.vb[valor],
  m.vb[nucleo],$AV$1,
  m.vb[variavel],BC$7,
  m.vb[mes],$A76
)</f>
        <v>0</v>
      </c>
      <c r="BD76" s="111">
        <f ca="1">SUMIFS(
  m.vb[valor],
  m.vb[nucleo],$AV$1,
  m.vb[variavel],BD$7,
  m.vb[mes],$A76
)</f>
        <v>0</v>
      </c>
      <c r="BE76" s="111">
        <f ca="1">SUMIFS(
  m.vb[valor],
  m.vb[nucleo],$AV$1,
  m.vb[variavel],BE$7,
  m.vb[mes],$A76
)</f>
        <v>0</v>
      </c>
      <c r="BF76" s="111">
        <f ca="1">SUMIFS(
  m.vb[valor],
  m.vb[nucleo],$AV$1,
  m.vb[variavel],BF$7,
  m.vb[mes],$A76
)</f>
        <v>0</v>
      </c>
      <c r="BG76" s="111">
        <f ca="1">SUMIFS(
  m.vb[valor],
  m.vb[nucleo],$AV$1,
  m.vb[variavel],BG$7,
  m.vb[mes],$A76
)</f>
        <v>0</v>
      </c>
      <c r="BH76" s="122">
        <f>COUNTIFS(
    tb_estq[empresa], BH$6,
    tb_estq[Data da venda / reserva], "&gt;=" &amp; $A76,
    tb_estq[Data da venda / reserva], "&lt;"  &amp; EOMONTH($A76,0) + 1
)</f>
        <v>0</v>
      </c>
      <c r="BI76" s="123">
        <f ca="1">SUMIFS(tb_rec_uni[2027-02-01],
INDIRECT("tb_rec_uni[natureza]"),"pro.soluto",
INDIRECT("tb_rec_uni[empresa]"),BI$6)</f>
        <v>0</v>
      </c>
      <c r="BJ76" s="127"/>
      <c r="BK76" s="123">
        <f ca="1">SUMIFS(tb_rec_uni[2027-02-01],
INDIRECT("tb_rec_uni[natureza]"),"taxa.extra",
INDIRECT("tb_rec_uni[empresa]"),BK$6)</f>
        <v>0</v>
      </c>
      <c r="BL76" s="111"/>
      <c r="BM76" s="111">
        <f ca="1">SUMIFS(
  m.vb[valor],
  m.vb[nucleo],$BH$1,
  m.vb[variavel],BM$7,
  m.vb[mes],$A76
)</f>
        <v>0</v>
      </c>
      <c r="BN76" s="111">
        <f ca="1">SUMIFS(
  m.vb[valor],
  m.vb[nucleo],$BH$1,
  m.vb[variavel],BN$7,
  m.vb[mes],$A76
)</f>
        <v>0</v>
      </c>
      <c r="BO76" s="111">
        <f ca="1">SUMIFS(
  m.vb[valor],
  m.vb[nucleo],$BH$1,
  m.vb[variavel],BO$7,
  m.vb[mes],$A76
)</f>
        <v>0</v>
      </c>
      <c r="BP76" s="111">
        <f ca="1">SUMIFS(
  m.vb[valor],
  m.vb[nucleo],$BH$1,
  m.vb[variavel],BP$7,
  m.vb[mes],$A76
)</f>
        <v>0</v>
      </c>
      <c r="BQ76" s="111">
        <f ca="1">SUMIFS(
  m.vb[valor],
  m.vb[nucleo],$BH$1,
  m.vb[variavel],BQ$7,
  m.vb[mes],$A76
)</f>
        <v>0</v>
      </c>
      <c r="BR76" s="122">
        <f>COUNTIFS(
    tb_estq[empresa], BR$6,
    tb_estq[Data da venda / reserva], "&gt;=" &amp; $A76,
    tb_estq[Data da venda / reserva], "&lt;"  &amp; EOMONTH($A76,0) + 1
)</f>
        <v>0</v>
      </c>
      <c r="BS76" s="123">
        <f ca="1">SUMIFS(tb_rec_uni[2027-02-01],
INDIRECT("tb_rec_uni[natureza]"),"pro.soluto",
INDIRECT("tb_rec_uni[empresa]"),BS$6)</f>
        <v>0</v>
      </c>
      <c r="BT76" s="127">
        <f ca="1">SUMIFS(tb_rec_uni[2027-02-01],
INDIRECT("tb_rec_uni[natureza]"),"parcela.fin.total.ik",
INDIRECT("tb_rec_uni[empresa]"),BT$6)</f>
        <v>0</v>
      </c>
      <c r="BU76" s="123">
        <f ca="1">SUMIFS(tb_rec_uni[2027-02-01],
INDIRECT("tb_rec_uni[natureza]"),"taxa.extra",
INDIRECT("tb_rec_uni[empresa]"),BU$6)</f>
        <v>0</v>
      </c>
      <c r="BV76" s="111"/>
      <c r="BW76" s="111">
        <f ca="1">SUMIFS(
  m.vb[valor],
  m.vb[nucleo],$BR$1,
  m.vb[variavel],BW$7,
  m.vb[mes],$A76
)</f>
        <v>0</v>
      </c>
      <c r="BX76" s="111">
        <f ca="1">SUMIFS(
  m.vb[valor],
  m.vb[nucleo],$BR$1,
  m.vb[variavel],BX$7,
  m.vb[mes],$A76
)</f>
        <v>0</v>
      </c>
      <c r="BY76" s="111">
        <f ca="1">SUMIFS(
  m.vb[valor],
  m.vb[nucleo],$BR$1,
  m.vb[variavel],BY$7,
  m.vb[mes],$A76
)</f>
        <v>0</v>
      </c>
      <c r="BZ76" s="111">
        <f ca="1">SUMIFS(
  m.vb[valor],
  m.vb[nucleo],$BR$1,
  m.vb[variavel],BZ$7,
  m.vb[mes],$A76
)</f>
        <v>0</v>
      </c>
      <c r="CA76" s="111">
        <f ca="1">SUMIFS(
  m.vb[valor],
  m.vb[nucleo],$BR$1,
  m.vb[variavel],CA$7,
  m.vb[mes],$A76
)</f>
        <v>0</v>
      </c>
      <c r="CB76" s="122">
        <f>COUNTIFS(
    tb_estq[empresa], CB$6,
    tb_estq[Data da venda / reserva], "&gt;=" &amp; $A76,
    tb_estq[Data da venda / reserva], "&lt;"  &amp; EOMONTH($A76,0) + 1
)</f>
        <v>0</v>
      </c>
      <c r="CC76" s="123">
        <f ca="1">SUMIFS(tb_rec_uni[2027-02-01],
INDIRECT("tb_rec_uni[natureza]"),"pro.soluto",
INDIRECT("tb_rec_uni[empresa]"),CC$6)</f>
        <v>0</v>
      </c>
      <c r="CD76" s="123">
        <f ca="1">SUMIFS(tb_rec_uni[2027-02-01],
INDIRECT("tb_rec_uni[natureza]"),"repasse.cef.obra",
INDIRECT("tb_rec_uni[empresa]"),CD$6)</f>
        <v>0</v>
      </c>
      <c r="CE76" s="126">
        <f ca="1">SUMIFS(tb_rec_uni[2027-02-01],
INDIRECT("tb_rec_uni[natureza]"),"repasse.cef.terreno",
INDIRECT("tb_rec_uni[empresa]"),CE$6)</f>
        <v>0</v>
      </c>
      <c r="CF76" s="127"/>
      <c r="CG76" s="123">
        <f ca="1">SUMIFS(tb_rec_uni[2027-02-01],
INDIRECT("tb_rec_uni[natureza]"),"taxa.extra",
INDIRECT("tb_rec_uni[empresa]"),CG$6)</f>
        <v>0</v>
      </c>
      <c r="CH76" s="111"/>
      <c r="CI76" s="111">
        <f ca="1">SUMIFS(
  m.vb[valor],
  m.vb[nucleo],$CB$1,
  m.vb[variavel],CI$7,
  m.vb[mes],$A76
)</f>
        <v>0</v>
      </c>
      <c r="CJ76" s="111">
        <f ca="1">SUMIFS(
  m.vb[valor],
  m.vb[nucleo],$CB$1,
  m.vb[variavel],CJ$7,
  m.vb[mes],$A76
)</f>
        <v>0</v>
      </c>
      <c r="CK76" s="111">
        <f ca="1">SUMIFS(
  m.vb[valor],
  m.vb[nucleo],$CB$1,
  m.vb[variavel],CK$7,
  m.vb[mes],$A76
)</f>
        <v>0</v>
      </c>
      <c r="CL76" s="111">
        <f ca="1">SUMIFS(
  m.vb[valor],
  m.vb[nucleo],$CB$1,
  m.vb[variavel],CL$7,
  m.vb[mes],$A76
)</f>
        <v>0</v>
      </c>
      <c r="CM76" s="111">
        <f ca="1">SUMIFS(
  m.vb[valor],
  m.vb[nucleo],$CB$1,
  m.vb[variavel],CM$7,
  m.vb[mes],$A76
)</f>
        <v>0</v>
      </c>
      <c r="CN76" s="122">
        <f>COUNTIFS(
    tb_estq[empresa], CN$6,
    tb_estq[Data da venda / reserva], "&gt;=" &amp; $A76,
    tb_estq[Data da venda / reserva], "&lt;"  &amp; EOMONTH($A76,0) + 1
)</f>
        <v>0</v>
      </c>
      <c r="CO76" s="123">
        <f ca="1">SUMIFS(tb_rec_uni[2027-02-01],
INDIRECT("tb_rec_uni[natureza]"),"pro.soluto",
INDIRECT("tb_rec_uni[empresa]"),CO$6)</f>
        <v>0</v>
      </c>
      <c r="CP76" s="123">
        <f ca="1">SUMIFS(tb_rec_uni[2027-02-01],
INDIRECT("tb_rec_uni[natureza]"),"repasse.cef.obra",
INDIRECT("tb_rec_uni[empresa]"),CP$6)</f>
        <v>0</v>
      </c>
      <c r="CQ76" s="126">
        <f ca="1">SUMIFS(tb_rec_uni[2027-02-01],
INDIRECT("tb_rec_uni[natureza]"),"repasse.cef.terreno",
INDIRECT("tb_rec_uni[empresa]"),CQ$6)</f>
        <v>0</v>
      </c>
      <c r="CR76" s="127"/>
      <c r="CS76" s="123">
        <f ca="1">SUMIFS(tb_rec_uni[2027-02-01],
INDIRECT("tb_rec_uni[natureza]"),"taxa.extra",
INDIRECT("tb_rec_uni[empresa]"),CS$6)</f>
        <v>0</v>
      </c>
      <c r="CT76" s="111"/>
      <c r="CU76" s="111">
        <f ca="1">SUMIFS(
  m.vb[valor],
  m.vb[nucleo],$CN$1,
  m.vb[variavel],CU$7,
  m.vb[mes],$A76
)</f>
        <v>0</v>
      </c>
      <c r="CV76" s="111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11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11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4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21">
        <v>46447</v>
      </c>
      <c r="B77" s="122">
        <f>COUNTIFS(
    tb_estq[empresa], B$6,
    tb_estq[Data da venda / reserva], "&gt;=" &amp; $A77,
    tb_estq[Data da venda / reserva], "&lt;"  &amp; EOMONTH($A77,0) + 1
)</f>
        <v>0</v>
      </c>
      <c r="C77" s="123">
        <f ca="1">SUMIFS(tb_rec_uni[2027-03-01],
INDIRECT("tb_rec_uni[natureza]"),"pro.soluto",
INDIRECT("tb_rec_uni[empresa]"),C$6)</f>
        <v>0</v>
      </c>
      <c r="D77" s="123">
        <f ca="1">SUMIFS(tb_rec_uni[2027-03-01],
INDIRECT("tb_rec_uni[natureza]"),"repasse.cef.obra",
INDIRECT("tb_rec_uni[empresa]"),D$6)</f>
        <v>0</v>
      </c>
      <c r="E77" s="123">
        <f ca="1">SUMIFS(tb_rec_uni[2027-03-01],
INDIRECT("tb_rec_uni[natureza]"),"repasse.cef.terreno",
INDIRECT("tb_rec_uni[empresa]"),E$6)</f>
        <v>0</v>
      </c>
      <c r="F77" s="127"/>
      <c r="G77" s="123">
        <f ca="1">SUMIFS(tb_rec_uni[2027-03-01],
INDIRECT("tb_rec_uni[natureza]"),"taxa.extra",
INDIRECT("tb_rec_uni[empresa]"),G$6)</f>
        <v>0</v>
      </c>
      <c r="H77" s="111"/>
      <c r="I77" s="111">
        <f ca="1">SUMIFS(
  m.vb[valor],
  m.vb[nucleo],$B$1,
  m.vb[variavel],I$7,
  m.vb[mes],$A77
)</f>
        <v>0</v>
      </c>
      <c r="J77" s="111">
        <f ca="1">SUMIFS(
  m.vb[valor],
  m.vb[nucleo],$B$1,
  m.vb[variavel],J$7,
  m.vb[mes],$A77
)</f>
        <v>0</v>
      </c>
      <c r="K77" s="111">
        <f ca="1">SUMIFS(
  m.vb[valor],
  m.vb[nucleo],$B$1,
  m.vb[variavel],K$7,
  m.vb[mes],$A77
)</f>
        <v>0</v>
      </c>
      <c r="L77" s="111">
        <f ca="1">SUMIFS(
  m.vb[valor],
  m.vb[nucleo],$B$1,
  m.vb[variavel],L$7,
  m.vb[mes],$A77
)</f>
        <v>0</v>
      </c>
      <c r="M77" s="111">
        <f ca="1">SUMIFS(
  m.vb[valor],
  m.vb[nucleo],$B$1,
  m.vb[variavel],M$7,
  m.vb[mes],$A77
)</f>
        <v>0</v>
      </c>
      <c r="N77" s="122">
        <f>COUNTIFS(
    tb_estq[empresa], N$6,
    tb_estq[Data da venda / reserva], "&gt;=" &amp; $A77,
    tb_estq[Data da venda / reserva], "&lt;"  &amp; EOMONTH($A77,0) + 1
)</f>
        <v>0</v>
      </c>
      <c r="O77" s="123">
        <f ca="1">SUMIFS(tb_rec_uni[2027-03-01],
INDIRECT("tb_rec_uni[natureza]"),"pro.soluto",
INDIRECT("tb_rec_uni[empresa]"),O$6)</f>
        <v>0</v>
      </c>
      <c r="P77" s="123">
        <f ca="1">SUMIFS(tb_rec_uni[2027-03-01],
INDIRECT("tb_rec_uni[natureza]"),"repasse.cef.obra",
INDIRECT("tb_rec_uni[empresa]"),P$6)</f>
        <v>0</v>
      </c>
      <c r="Q77" s="123">
        <f ca="1">SUMIFS(tb_rec_uni[2027-03-01],
INDIRECT("tb_rec_uni[natureza]"),"repasse.cef.terreno",
INDIRECT("tb_rec_uni[empresa]"),Q$6)</f>
        <v>0</v>
      </c>
      <c r="R77" s="127"/>
      <c r="S77" s="123">
        <f ca="1">SUMIFS(tb_rec_uni[2027-03-01],
INDIRECT("tb_rec_uni[natureza]"),"taxa.extra",
INDIRECT("tb_rec_uni[empresa]"),S$6)</f>
        <v>0</v>
      </c>
      <c r="T77" s="111"/>
      <c r="U77" s="111">
        <f ca="1">SUMIFS(
  m.vb[valor],
  m.vb[nucleo],$N$1,
  m.vb[variavel],U$7,
  m.vb[mes],$A77
)</f>
        <v>0</v>
      </c>
      <c r="V77" s="111">
        <f ca="1">SUMIFS(
  m.vb[valor],
  m.vb[nucleo],$N$1,
  m.vb[variavel],V$7,
  m.vb[mes],$A77
)</f>
        <v>0</v>
      </c>
      <c r="W77" s="111">
        <f ca="1">SUMIFS(
  m.vb[valor],
  m.vb[nucleo],$N$1,
  m.vb[variavel],W$7,
  m.vb[mes],$A77
)</f>
        <v>0</v>
      </c>
      <c r="X77" s="111">
        <f ca="1">SUMIFS(
  m.vb[valor],
  m.vb[nucleo],$N$1,
  m.vb[variavel],X$7,
  m.vb[mes],$A77
)</f>
        <v>0</v>
      </c>
      <c r="Y77" s="111">
        <f ca="1">SUMIFS(
  m.vb[valor],
  m.vb[nucleo],$N$1,
  m.vb[variavel],Y$7,
  m.vb[mes],$A77
)</f>
        <v>0</v>
      </c>
      <c r="Z77" s="122">
        <f>COUNTIFS(
    tb_estq[empresa], Z$6,
    tb_estq[Data da venda / reserva], "&gt;=" &amp; $A77,
    tb_estq[Data da venda / reserva], "&lt;"  &amp; EOMONTH($A77,0) + 1
)</f>
        <v>0</v>
      </c>
      <c r="AA77" s="123">
        <f ca="1">SUMIFS(tb_rec_uni[2027-03-01],
INDIRECT("tb_rec_uni[natureza]"),"pro.soluto",
INDIRECT("tb_rec_uni[empresa]"),AA$6)</f>
        <v>0</v>
      </c>
      <c r="AB77" s="127">
        <f ca="1">SUMIFS(tb_rec_uni[2027-03-01],
INDIRECT("tb_rec_uni[natureza]"),"parcela.fin.total.ik",
INDIRECT("tb_rec_uni[empresa]"),AB$6)</f>
        <v>0</v>
      </c>
      <c r="AC77" s="123">
        <f ca="1">SUMIFS(tb_rec_uni[2027-03-01],
INDIRECT("tb_rec_uni[natureza]"),"taxa.extra",
INDIRECT("tb_rec_uni[empresa]"),AC$6)</f>
        <v>0</v>
      </c>
      <c r="AD77" s="111"/>
      <c r="AE77" s="111">
        <f ca="1">SUMIFS(
  m.vb[valor],
  m.vb[nucleo],$Z$1,
  m.vb[variavel],AE$7,
  m.vb[mes],$A77
)</f>
        <v>0</v>
      </c>
      <c r="AF77" s="111">
        <f ca="1">SUMIFS(
  m.vb[valor],
  m.vb[nucleo],$Z$1,
  m.vb[variavel],AF$7,
  m.vb[mes],$A77
)</f>
        <v>0</v>
      </c>
      <c r="AG77" s="111">
        <f ca="1">SUMIFS(
  m.vb[valor],
  m.vb[nucleo],$Z$1,
  m.vb[variavel],AG$7,
  m.vb[mes],$A77
)</f>
        <v>0</v>
      </c>
      <c r="AH77" s="111">
        <f ca="1">SUMIFS(
  m.vb[valor],
  m.vb[nucleo],$Z$1,
  m.vb[variavel],AH$7,
  m.vb[mes],$A77
)</f>
        <v>0</v>
      </c>
      <c r="AI77" s="111">
        <f ca="1">SUMIFS(
  m.vb[valor],
  m.vb[nucleo],$Z$1,
  m.vb[variavel],AI$7,
  m.vb[mes],$A77
)</f>
        <v>0</v>
      </c>
      <c r="AJ77" s="122">
        <f>COUNTIFS(
    tb_estq[empresa], AJ$6,
    tb_estq[Data da venda / reserva], "&gt;=" &amp; $A77,
    tb_estq[Data da venda / reserva], "&lt;"  &amp; EOMONTH($A77,0) + 1
)</f>
        <v>0</v>
      </c>
      <c r="AK77" s="123">
        <f ca="1">SUMIFS(tb_rec_uni[2027-03-01],
INDIRECT("tb_rec_uni[natureza]"),"pro.soluto",
INDIRECT("tb_rec_uni[empresa]"),AK$6)</f>
        <v>0</v>
      </c>
      <c r="AL77" s="123">
        <f ca="1">SUMIFS(tb_rec_uni[2027-03-01],
INDIRECT("tb_rec_uni[natureza]"),"repasse.cef.obra",
INDIRECT("tb_rec_uni[empresa]"),AL$6)</f>
        <v>0</v>
      </c>
      <c r="AM77" s="126">
        <f ca="1">SUMIFS(tb_rec_uni[2027-03-01],
INDIRECT("tb_rec_uni[natureza]"),"repasse.cef.terreno",
INDIRECT("tb_rec_uni[empresa]"),AM$6)</f>
        <v>0</v>
      </c>
      <c r="AN77" s="127"/>
      <c r="AO77" s="123">
        <f ca="1">SUMIFS(tb_rec_uni[2027-03-01],
INDIRECT("tb_rec_uni[natureza]"),"taxa.extra",
INDIRECT("tb_rec_uni[empresa]"),AO$6)</f>
        <v>0</v>
      </c>
      <c r="AP77" s="111"/>
      <c r="AQ77" s="111">
        <f ca="1">SUMIFS(
  m.vb[valor],
  m.vb[nucleo],$AJ$1,
  m.vb[variavel],AQ$7,
  m.vb[mes],$A77
)</f>
        <v>0</v>
      </c>
      <c r="AR77" s="111">
        <f ca="1">SUMIFS(
  m.vb[valor],
  m.vb[nucleo],$AJ$1,
  m.vb[variavel],AR$7,
  m.vb[mes],$A77
)</f>
        <v>0</v>
      </c>
      <c r="AS77" s="111">
        <f ca="1">SUMIFS(
  m.vb[valor],
  m.vb[nucleo],$AJ$1,
  m.vb[variavel],AS$7,
  m.vb[mes],$A77
)</f>
        <v>0</v>
      </c>
      <c r="AT77" s="111">
        <f ca="1">SUMIFS(
  m.vb[valor],
  m.vb[nucleo],$AJ$1,
  m.vb[variavel],AT$7,
  m.vb[mes],$A77
)</f>
        <v>0</v>
      </c>
      <c r="AU77" s="111">
        <f ca="1">SUMIFS(
  m.vb[valor],
  m.vb[nucleo],$AJ$1,
  m.vb[variavel],AU$7,
  m.vb[mes],$A77
)</f>
        <v>0</v>
      </c>
      <c r="AV77" s="122">
        <f>COUNTIFS(
    tb_estq[empresa], AV$6,
    tb_estq[Data da venda / reserva], "&gt;=" &amp; $A77,
    tb_estq[Data da venda / reserva], "&lt;"  &amp; EOMONTH($A77,0) + 1
)</f>
        <v>0</v>
      </c>
      <c r="AW77" s="123">
        <f ca="1">SUMIFS(tb_rec_uni[2027-03-01],
INDIRECT("tb_rec_uni[natureza]"),"pro.soluto",
INDIRECT("tb_rec_uni[empresa]"),AW$6)</f>
        <v>0</v>
      </c>
      <c r="AX77" s="123">
        <f ca="1">SUMIFS(tb_rec_uni[2027-03-01],
INDIRECT("tb_rec_uni[natureza]"),"repasse.cef.obra",
INDIRECT("tb_rec_uni[empresa]"),AX$6)</f>
        <v>0</v>
      </c>
      <c r="AY77" s="126">
        <f ca="1">SUMIFS(tb_rec_uni[2027-03-01],
INDIRECT("tb_rec_uni[natureza]"),"repasse.cef.terreno",
INDIRECT("tb_rec_uni[empresa]"),AY$6)</f>
        <v>0</v>
      </c>
      <c r="AZ77" s="127"/>
      <c r="BA77" s="123">
        <f ca="1">SUMIFS(tb_rec_uni[2027-03-01],
INDIRECT("tb_rec_uni[natureza]"),"taxa.extra",
INDIRECT("tb_rec_uni[empresa]"),BA$6)</f>
        <v>0</v>
      </c>
      <c r="BB77" s="111"/>
      <c r="BC77" s="111">
        <f ca="1">SUMIFS(
  m.vb[valor],
  m.vb[nucleo],$AV$1,
  m.vb[variavel],BC$7,
  m.vb[mes],$A77
)</f>
        <v>0</v>
      </c>
      <c r="BD77" s="111">
        <f ca="1">SUMIFS(
  m.vb[valor],
  m.vb[nucleo],$AV$1,
  m.vb[variavel],BD$7,
  m.vb[mes],$A77
)</f>
        <v>0</v>
      </c>
      <c r="BE77" s="111">
        <f ca="1">SUMIFS(
  m.vb[valor],
  m.vb[nucleo],$AV$1,
  m.vb[variavel],BE$7,
  m.vb[mes],$A77
)</f>
        <v>0</v>
      </c>
      <c r="BF77" s="111">
        <f ca="1">SUMIFS(
  m.vb[valor],
  m.vb[nucleo],$AV$1,
  m.vb[variavel],BF$7,
  m.vb[mes],$A77
)</f>
        <v>0</v>
      </c>
      <c r="BG77" s="111">
        <f ca="1">SUMIFS(
  m.vb[valor],
  m.vb[nucleo],$AV$1,
  m.vb[variavel],BG$7,
  m.vb[mes],$A77
)</f>
        <v>0</v>
      </c>
      <c r="BH77" s="122">
        <f>COUNTIFS(
    tb_estq[empresa], BH$6,
    tb_estq[Data da venda / reserva], "&gt;=" &amp; $A77,
    tb_estq[Data da venda / reserva], "&lt;"  &amp; EOMONTH($A77,0) + 1
)</f>
        <v>0</v>
      </c>
      <c r="BI77" s="123">
        <f ca="1">SUMIFS(tb_rec_uni[2027-03-01],
INDIRECT("tb_rec_uni[natureza]"),"pro.soluto",
INDIRECT("tb_rec_uni[empresa]"),BI$6)</f>
        <v>0</v>
      </c>
      <c r="BJ77" s="127"/>
      <c r="BK77" s="123">
        <f ca="1">SUMIFS(tb_rec_uni[2027-03-01],
INDIRECT("tb_rec_uni[natureza]"),"taxa.extra",
INDIRECT("tb_rec_uni[empresa]"),BK$6)</f>
        <v>0</v>
      </c>
      <c r="BL77" s="111"/>
      <c r="BM77" s="111">
        <f ca="1">SUMIFS(
  m.vb[valor],
  m.vb[nucleo],$BH$1,
  m.vb[variavel],BM$7,
  m.vb[mes],$A77
)</f>
        <v>0</v>
      </c>
      <c r="BN77" s="111">
        <f ca="1">SUMIFS(
  m.vb[valor],
  m.vb[nucleo],$BH$1,
  m.vb[variavel],BN$7,
  m.vb[mes],$A77
)</f>
        <v>0</v>
      </c>
      <c r="BO77" s="111">
        <f ca="1">SUMIFS(
  m.vb[valor],
  m.vb[nucleo],$BH$1,
  m.vb[variavel],BO$7,
  m.vb[mes],$A77
)</f>
        <v>0</v>
      </c>
      <c r="BP77" s="111">
        <f ca="1">SUMIFS(
  m.vb[valor],
  m.vb[nucleo],$BH$1,
  m.vb[variavel],BP$7,
  m.vb[mes],$A77
)</f>
        <v>0</v>
      </c>
      <c r="BQ77" s="111">
        <f ca="1">SUMIFS(
  m.vb[valor],
  m.vb[nucleo],$BH$1,
  m.vb[variavel],BQ$7,
  m.vb[mes],$A77
)</f>
        <v>0</v>
      </c>
      <c r="BR77" s="122">
        <f>COUNTIFS(
    tb_estq[empresa], BR$6,
    tb_estq[Data da venda / reserva], "&gt;=" &amp; $A77,
    tb_estq[Data da venda / reserva], "&lt;"  &amp; EOMONTH($A77,0) + 1
)</f>
        <v>0</v>
      </c>
      <c r="BS77" s="123">
        <f ca="1">SUMIFS(tb_rec_uni[2027-03-01],
INDIRECT("tb_rec_uni[natureza]"),"pro.soluto",
INDIRECT("tb_rec_uni[empresa]"),BS$6)</f>
        <v>0</v>
      </c>
      <c r="BT77" s="127">
        <f ca="1">SUMIFS(tb_rec_uni[2027-03-01],
INDIRECT("tb_rec_uni[natureza]"),"parcela.fin.total.ik",
INDIRECT("tb_rec_uni[empresa]"),BT$6)</f>
        <v>0</v>
      </c>
      <c r="BU77" s="123">
        <f ca="1">SUMIFS(tb_rec_uni[2027-03-01],
INDIRECT("tb_rec_uni[natureza]"),"taxa.extra",
INDIRECT("tb_rec_uni[empresa]"),BU$6)</f>
        <v>0</v>
      </c>
      <c r="BV77" s="111"/>
      <c r="BW77" s="111">
        <f ca="1">SUMIFS(
  m.vb[valor],
  m.vb[nucleo],$BR$1,
  m.vb[variavel],BW$7,
  m.vb[mes],$A77
)</f>
        <v>0</v>
      </c>
      <c r="BX77" s="111">
        <f ca="1">SUMIFS(
  m.vb[valor],
  m.vb[nucleo],$BR$1,
  m.vb[variavel],BX$7,
  m.vb[mes],$A77
)</f>
        <v>0</v>
      </c>
      <c r="BY77" s="111">
        <f ca="1">SUMIFS(
  m.vb[valor],
  m.vb[nucleo],$BR$1,
  m.vb[variavel],BY$7,
  m.vb[mes],$A77
)</f>
        <v>0</v>
      </c>
      <c r="BZ77" s="111">
        <f ca="1">SUMIFS(
  m.vb[valor],
  m.vb[nucleo],$BR$1,
  m.vb[variavel],BZ$7,
  m.vb[mes],$A77
)</f>
        <v>0</v>
      </c>
      <c r="CA77" s="111">
        <f ca="1">SUMIFS(
  m.vb[valor],
  m.vb[nucleo],$BR$1,
  m.vb[variavel],CA$7,
  m.vb[mes],$A77
)</f>
        <v>0</v>
      </c>
      <c r="CB77" s="122">
        <f>COUNTIFS(
    tb_estq[empresa], CB$6,
    tb_estq[Data da venda / reserva], "&gt;=" &amp; $A77,
    tb_estq[Data da venda / reserva], "&lt;"  &amp; EOMONTH($A77,0) + 1
)</f>
        <v>0</v>
      </c>
      <c r="CC77" s="123">
        <f ca="1">SUMIFS(tb_rec_uni[2027-03-01],
INDIRECT("tb_rec_uni[natureza]"),"pro.soluto",
INDIRECT("tb_rec_uni[empresa]"),CC$6)</f>
        <v>0</v>
      </c>
      <c r="CD77" s="123">
        <f ca="1">SUMIFS(tb_rec_uni[2027-03-01],
INDIRECT("tb_rec_uni[natureza]"),"repasse.cef.obra",
INDIRECT("tb_rec_uni[empresa]"),CD$6)</f>
        <v>0</v>
      </c>
      <c r="CE77" s="126">
        <f ca="1">SUMIFS(tb_rec_uni[2027-03-01],
INDIRECT("tb_rec_uni[natureza]"),"repasse.cef.terreno",
INDIRECT("tb_rec_uni[empresa]"),CE$6)</f>
        <v>0</v>
      </c>
      <c r="CF77" s="127"/>
      <c r="CG77" s="123">
        <f ca="1">SUMIFS(tb_rec_uni[2027-03-01],
INDIRECT("tb_rec_uni[natureza]"),"taxa.extra",
INDIRECT("tb_rec_uni[empresa]"),CG$6)</f>
        <v>0</v>
      </c>
      <c r="CH77" s="111"/>
      <c r="CI77" s="111">
        <f ca="1">SUMIFS(
  m.vb[valor],
  m.vb[nucleo],$CB$1,
  m.vb[variavel],CI$7,
  m.vb[mes],$A77
)</f>
        <v>0</v>
      </c>
      <c r="CJ77" s="111">
        <f ca="1">SUMIFS(
  m.vb[valor],
  m.vb[nucleo],$CB$1,
  m.vb[variavel],CJ$7,
  m.vb[mes],$A77
)</f>
        <v>0</v>
      </c>
      <c r="CK77" s="111">
        <f ca="1">SUMIFS(
  m.vb[valor],
  m.vb[nucleo],$CB$1,
  m.vb[variavel],CK$7,
  m.vb[mes],$A77
)</f>
        <v>0</v>
      </c>
      <c r="CL77" s="111">
        <f ca="1">SUMIFS(
  m.vb[valor],
  m.vb[nucleo],$CB$1,
  m.vb[variavel],CL$7,
  m.vb[mes],$A77
)</f>
        <v>0</v>
      </c>
      <c r="CM77" s="111">
        <f ca="1">SUMIFS(
  m.vb[valor],
  m.vb[nucleo],$CB$1,
  m.vb[variavel],CM$7,
  m.vb[mes],$A77
)</f>
        <v>0</v>
      </c>
      <c r="CN77" s="122">
        <f>COUNTIFS(
    tb_estq[empresa], CN$6,
    tb_estq[Data da venda / reserva], "&gt;=" &amp; $A77,
    tb_estq[Data da venda / reserva], "&lt;"  &amp; EOMONTH($A77,0) + 1
)</f>
        <v>0</v>
      </c>
      <c r="CO77" s="123">
        <f ca="1">SUMIFS(tb_rec_uni[2027-03-01],
INDIRECT("tb_rec_uni[natureza]"),"pro.soluto",
INDIRECT("tb_rec_uni[empresa]"),CO$6)</f>
        <v>0</v>
      </c>
      <c r="CP77" s="123">
        <f ca="1">SUMIFS(tb_rec_uni[2027-03-01],
INDIRECT("tb_rec_uni[natureza]"),"repasse.cef.obra",
INDIRECT("tb_rec_uni[empresa]"),CP$6)</f>
        <v>0</v>
      </c>
      <c r="CQ77" s="126">
        <f ca="1">SUMIFS(tb_rec_uni[2027-03-01],
INDIRECT("tb_rec_uni[natureza]"),"repasse.cef.terreno",
INDIRECT("tb_rec_uni[empresa]"),CQ$6)</f>
        <v>0</v>
      </c>
      <c r="CR77" s="127"/>
      <c r="CS77" s="123">
        <f ca="1">SUMIFS(tb_rec_uni[2027-03-01],
INDIRECT("tb_rec_uni[natureza]"),"taxa.extra",
INDIRECT("tb_rec_uni[empresa]"),CS$6)</f>
        <v>0</v>
      </c>
      <c r="CT77" s="111"/>
      <c r="CU77" s="111">
        <f ca="1">SUMIFS(
  m.vb[valor],
  m.vb[nucleo],$CN$1,
  m.vb[variavel],CU$7,
  m.vb[mes],$A77
)</f>
        <v>0</v>
      </c>
      <c r="CV77" s="111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11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11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4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21">
        <v>46478</v>
      </c>
      <c r="B78" s="122">
        <f>COUNTIFS(
    tb_estq[empresa], B$6,
    tb_estq[Data da venda / reserva], "&gt;=" &amp; $A78,
    tb_estq[Data da venda / reserva], "&lt;"  &amp; EOMONTH($A78,0) + 1
)</f>
        <v>0</v>
      </c>
      <c r="C78" s="123">
        <f ca="1">SUMIFS(tb_rec_uni[2027-04-01],
INDIRECT("tb_rec_uni[natureza]"),"pro.soluto",
INDIRECT("tb_rec_uni[empresa]"),C$6)</f>
        <v>0</v>
      </c>
      <c r="D78" s="123">
        <f ca="1">SUMIFS(tb_rec_uni[2027-04-01],
INDIRECT("tb_rec_uni[natureza]"),"repasse.cef.obra",
INDIRECT("tb_rec_uni[empresa]"),D$6)</f>
        <v>0</v>
      </c>
      <c r="E78" s="123">
        <f ca="1">SUMIFS(tb_rec_uni[2027-04-01],
INDIRECT("tb_rec_uni[natureza]"),"repasse.cef.terreno",
INDIRECT("tb_rec_uni[empresa]"),E$6)</f>
        <v>0</v>
      </c>
      <c r="F78" s="127"/>
      <c r="G78" s="123">
        <f ca="1">SUMIFS(tb_rec_uni[2027-04-01],
INDIRECT("tb_rec_uni[natureza]"),"taxa.extra",
INDIRECT("tb_rec_uni[empresa]"),G$6)</f>
        <v>0</v>
      </c>
      <c r="H78" s="111"/>
      <c r="I78" s="111">
        <f ca="1">SUMIFS(
  m.vb[valor],
  m.vb[nucleo],$B$1,
  m.vb[variavel],I$7,
  m.vb[mes],$A78
)</f>
        <v>0</v>
      </c>
      <c r="J78" s="111">
        <f ca="1">SUMIFS(
  m.vb[valor],
  m.vb[nucleo],$B$1,
  m.vb[variavel],J$7,
  m.vb[mes],$A78
)</f>
        <v>0</v>
      </c>
      <c r="K78" s="111">
        <f ca="1">SUMIFS(
  m.vb[valor],
  m.vb[nucleo],$B$1,
  m.vb[variavel],K$7,
  m.vb[mes],$A78
)</f>
        <v>0</v>
      </c>
      <c r="L78" s="111">
        <f ca="1">SUMIFS(
  m.vb[valor],
  m.vb[nucleo],$B$1,
  m.vb[variavel],L$7,
  m.vb[mes],$A78
)</f>
        <v>0</v>
      </c>
      <c r="M78" s="111">
        <f ca="1">SUMIFS(
  m.vb[valor],
  m.vb[nucleo],$B$1,
  m.vb[variavel],M$7,
  m.vb[mes],$A78
)</f>
        <v>0</v>
      </c>
      <c r="N78" s="122">
        <f>COUNTIFS(
    tb_estq[empresa], N$6,
    tb_estq[Data da venda / reserva], "&gt;=" &amp; $A78,
    tb_estq[Data da venda / reserva], "&lt;"  &amp; EOMONTH($A78,0) + 1
)</f>
        <v>0</v>
      </c>
      <c r="O78" s="123">
        <f ca="1">SUMIFS(tb_rec_uni[2027-04-01],
INDIRECT("tb_rec_uni[natureza]"),"pro.soluto",
INDIRECT("tb_rec_uni[empresa]"),O$6)</f>
        <v>0</v>
      </c>
      <c r="P78" s="123">
        <f ca="1">SUMIFS(tb_rec_uni[2027-04-01],
INDIRECT("tb_rec_uni[natureza]"),"repasse.cef.obra",
INDIRECT("tb_rec_uni[empresa]"),P$6)</f>
        <v>0</v>
      </c>
      <c r="Q78" s="123">
        <f ca="1">SUMIFS(tb_rec_uni[2027-04-01],
INDIRECT("tb_rec_uni[natureza]"),"repasse.cef.terreno",
INDIRECT("tb_rec_uni[empresa]"),Q$6)</f>
        <v>0</v>
      </c>
      <c r="R78" s="127"/>
      <c r="S78" s="123">
        <f ca="1">SUMIFS(tb_rec_uni[2027-04-01],
INDIRECT("tb_rec_uni[natureza]"),"taxa.extra",
INDIRECT("tb_rec_uni[empresa]"),S$6)</f>
        <v>0</v>
      </c>
      <c r="T78" s="111"/>
      <c r="U78" s="111">
        <f ca="1">SUMIFS(
  m.vb[valor],
  m.vb[nucleo],$N$1,
  m.vb[variavel],U$7,
  m.vb[mes],$A78
)</f>
        <v>0</v>
      </c>
      <c r="V78" s="111">
        <f ca="1">SUMIFS(
  m.vb[valor],
  m.vb[nucleo],$N$1,
  m.vb[variavel],V$7,
  m.vb[mes],$A78
)</f>
        <v>0</v>
      </c>
      <c r="W78" s="111">
        <f ca="1">SUMIFS(
  m.vb[valor],
  m.vb[nucleo],$N$1,
  m.vb[variavel],W$7,
  m.vb[mes],$A78
)</f>
        <v>0</v>
      </c>
      <c r="X78" s="111">
        <f ca="1">SUMIFS(
  m.vb[valor],
  m.vb[nucleo],$N$1,
  m.vb[variavel],X$7,
  m.vb[mes],$A78
)</f>
        <v>0</v>
      </c>
      <c r="Y78" s="111">
        <f ca="1">SUMIFS(
  m.vb[valor],
  m.vb[nucleo],$N$1,
  m.vb[variavel],Y$7,
  m.vb[mes],$A78
)</f>
        <v>0</v>
      </c>
      <c r="Z78" s="122">
        <f>COUNTIFS(
    tb_estq[empresa], Z$6,
    tb_estq[Data da venda / reserva], "&gt;=" &amp; $A78,
    tb_estq[Data da venda / reserva], "&lt;"  &amp; EOMONTH($A78,0) + 1
)</f>
        <v>0</v>
      </c>
      <c r="AA78" s="123">
        <f ca="1">SUMIFS(tb_rec_uni[2027-04-01],
INDIRECT("tb_rec_uni[natureza]"),"pro.soluto",
INDIRECT("tb_rec_uni[empresa]"),AA$6)</f>
        <v>0</v>
      </c>
      <c r="AB78" s="127">
        <f ca="1">SUMIFS(tb_rec_uni[2027-04-01],
INDIRECT("tb_rec_uni[natureza]"),"parcela.fin.total.ik",
INDIRECT("tb_rec_uni[empresa]"),AB$6)</f>
        <v>0</v>
      </c>
      <c r="AC78" s="123">
        <f ca="1">SUMIFS(tb_rec_uni[2027-04-01],
INDIRECT("tb_rec_uni[natureza]"),"taxa.extra",
INDIRECT("tb_rec_uni[empresa]"),AC$6)</f>
        <v>0</v>
      </c>
      <c r="AD78" s="111"/>
      <c r="AE78" s="111">
        <f ca="1">SUMIFS(
  m.vb[valor],
  m.vb[nucleo],$Z$1,
  m.vb[variavel],AE$7,
  m.vb[mes],$A78
)</f>
        <v>0</v>
      </c>
      <c r="AF78" s="111">
        <f ca="1">SUMIFS(
  m.vb[valor],
  m.vb[nucleo],$Z$1,
  m.vb[variavel],AF$7,
  m.vb[mes],$A78
)</f>
        <v>0</v>
      </c>
      <c r="AG78" s="111">
        <f ca="1">SUMIFS(
  m.vb[valor],
  m.vb[nucleo],$Z$1,
  m.vb[variavel],AG$7,
  m.vb[mes],$A78
)</f>
        <v>0</v>
      </c>
      <c r="AH78" s="111">
        <f ca="1">SUMIFS(
  m.vb[valor],
  m.vb[nucleo],$Z$1,
  m.vb[variavel],AH$7,
  m.vb[mes],$A78
)</f>
        <v>0</v>
      </c>
      <c r="AI78" s="111">
        <f ca="1">SUMIFS(
  m.vb[valor],
  m.vb[nucleo],$Z$1,
  m.vb[variavel],AI$7,
  m.vb[mes],$A78
)</f>
        <v>0</v>
      </c>
      <c r="AJ78" s="122">
        <f>COUNTIFS(
    tb_estq[empresa], AJ$6,
    tb_estq[Data da venda / reserva], "&gt;=" &amp; $A78,
    tb_estq[Data da venda / reserva], "&lt;"  &amp; EOMONTH($A78,0) + 1
)</f>
        <v>0</v>
      </c>
      <c r="AK78" s="123">
        <f ca="1">SUMIFS(tb_rec_uni[2027-04-01],
INDIRECT("tb_rec_uni[natureza]"),"pro.soluto",
INDIRECT("tb_rec_uni[empresa]"),AK$6)</f>
        <v>0</v>
      </c>
      <c r="AL78" s="123">
        <f ca="1">SUMIFS(tb_rec_uni[2027-04-01],
INDIRECT("tb_rec_uni[natureza]"),"repasse.cef.obra",
INDIRECT("tb_rec_uni[empresa]"),AL$6)</f>
        <v>0</v>
      </c>
      <c r="AM78" s="126">
        <f ca="1">SUMIFS(tb_rec_uni[2027-04-01],
INDIRECT("tb_rec_uni[natureza]"),"repasse.cef.terreno",
INDIRECT("tb_rec_uni[empresa]"),AM$6)</f>
        <v>0</v>
      </c>
      <c r="AN78" s="127"/>
      <c r="AO78" s="123">
        <f ca="1">SUMIFS(tb_rec_uni[2027-04-01],
INDIRECT("tb_rec_uni[natureza]"),"taxa.extra",
INDIRECT("tb_rec_uni[empresa]"),AO$6)</f>
        <v>0</v>
      </c>
      <c r="AP78" s="111"/>
      <c r="AQ78" s="111">
        <f ca="1">SUMIFS(
  m.vb[valor],
  m.vb[nucleo],$AJ$1,
  m.vb[variavel],AQ$7,
  m.vb[mes],$A78
)</f>
        <v>0</v>
      </c>
      <c r="AR78" s="111">
        <f ca="1">SUMIFS(
  m.vb[valor],
  m.vb[nucleo],$AJ$1,
  m.vb[variavel],AR$7,
  m.vb[mes],$A78
)</f>
        <v>0</v>
      </c>
      <c r="AS78" s="111">
        <f ca="1">SUMIFS(
  m.vb[valor],
  m.vb[nucleo],$AJ$1,
  m.vb[variavel],AS$7,
  m.vb[mes],$A78
)</f>
        <v>0</v>
      </c>
      <c r="AT78" s="111">
        <f ca="1">SUMIFS(
  m.vb[valor],
  m.vb[nucleo],$AJ$1,
  m.vb[variavel],AT$7,
  m.vb[mes],$A78
)</f>
        <v>0</v>
      </c>
      <c r="AU78" s="111">
        <f ca="1">SUMIFS(
  m.vb[valor],
  m.vb[nucleo],$AJ$1,
  m.vb[variavel],AU$7,
  m.vb[mes],$A78
)</f>
        <v>0</v>
      </c>
      <c r="AV78" s="122">
        <f>COUNTIFS(
    tb_estq[empresa], AV$6,
    tb_estq[Data da venda / reserva], "&gt;=" &amp; $A78,
    tb_estq[Data da venda / reserva], "&lt;"  &amp; EOMONTH($A78,0) + 1
)</f>
        <v>0</v>
      </c>
      <c r="AW78" s="123">
        <f ca="1">SUMIFS(tb_rec_uni[2027-04-01],
INDIRECT("tb_rec_uni[natureza]"),"pro.soluto",
INDIRECT("tb_rec_uni[empresa]"),AW$6)</f>
        <v>0</v>
      </c>
      <c r="AX78" s="123">
        <f ca="1">SUMIFS(tb_rec_uni[2027-04-01],
INDIRECT("tb_rec_uni[natureza]"),"repasse.cef.obra",
INDIRECT("tb_rec_uni[empresa]"),AX$6)</f>
        <v>0</v>
      </c>
      <c r="AY78" s="126">
        <f ca="1">SUMIFS(tb_rec_uni[2027-04-01],
INDIRECT("tb_rec_uni[natureza]"),"repasse.cef.terreno",
INDIRECT("tb_rec_uni[empresa]"),AY$6)</f>
        <v>0</v>
      </c>
      <c r="AZ78" s="127"/>
      <c r="BA78" s="123">
        <f ca="1">SUMIFS(tb_rec_uni[2027-04-01],
INDIRECT("tb_rec_uni[natureza]"),"taxa.extra",
INDIRECT("tb_rec_uni[empresa]"),BA$6)</f>
        <v>0</v>
      </c>
      <c r="BB78" s="111"/>
      <c r="BC78" s="111">
        <f ca="1">SUMIFS(
  m.vb[valor],
  m.vb[nucleo],$AV$1,
  m.vb[variavel],BC$7,
  m.vb[mes],$A78
)</f>
        <v>0</v>
      </c>
      <c r="BD78" s="111">
        <f ca="1">SUMIFS(
  m.vb[valor],
  m.vb[nucleo],$AV$1,
  m.vb[variavel],BD$7,
  m.vb[mes],$A78
)</f>
        <v>0</v>
      </c>
      <c r="BE78" s="111">
        <f ca="1">SUMIFS(
  m.vb[valor],
  m.vb[nucleo],$AV$1,
  m.vb[variavel],BE$7,
  m.vb[mes],$A78
)</f>
        <v>0</v>
      </c>
      <c r="BF78" s="111">
        <f ca="1">SUMIFS(
  m.vb[valor],
  m.vb[nucleo],$AV$1,
  m.vb[variavel],BF$7,
  m.vb[mes],$A78
)</f>
        <v>0</v>
      </c>
      <c r="BG78" s="111">
        <f ca="1">SUMIFS(
  m.vb[valor],
  m.vb[nucleo],$AV$1,
  m.vb[variavel],BG$7,
  m.vb[mes],$A78
)</f>
        <v>0</v>
      </c>
      <c r="BH78" s="122">
        <f>COUNTIFS(
    tb_estq[empresa], BH$6,
    tb_estq[Data da venda / reserva], "&gt;=" &amp; $A78,
    tb_estq[Data da venda / reserva], "&lt;"  &amp; EOMONTH($A78,0) + 1
)</f>
        <v>0</v>
      </c>
      <c r="BI78" s="123">
        <f ca="1">SUMIFS(tb_rec_uni[2027-04-01],
INDIRECT("tb_rec_uni[natureza]"),"pro.soluto",
INDIRECT("tb_rec_uni[empresa]"),BI$6)</f>
        <v>0</v>
      </c>
      <c r="BJ78" s="127"/>
      <c r="BK78" s="123">
        <f ca="1">SUMIFS(tb_rec_uni[2027-04-01],
INDIRECT("tb_rec_uni[natureza]"),"taxa.extra",
INDIRECT("tb_rec_uni[empresa]"),BK$6)</f>
        <v>0</v>
      </c>
      <c r="BL78" s="111"/>
      <c r="BM78" s="111">
        <f ca="1">SUMIFS(
  m.vb[valor],
  m.vb[nucleo],$BH$1,
  m.vb[variavel],BM$7,
  m.vb[mes],$A78
)</f>
        <v>0</v>
      </c>
      <c r="BN78" s="111">
        <f ca="1">SUMIFS(
  m.vb[valor],
  m.vb[nucleo],$BH$1,
  m.vb[variavel],BN$7,
  m.vb[mes],$A78
)</f>
        <v>0</v>
      </c>
      <c r="BO78" s="111">
        <f ca="1">SUMIFS(
  m.vb[valor],
  m.vb[nucleo],$BH$1,
  m.vb[variavel],BO$7,
  m.vb[mes],$A78
)</f>
        <v>0</v>
      </c>
      <c r="BP78" s="111">
        <f ca="1">SUMIFS(
  m.vb[valor],
  m.vb[nucleo],$BH$1,
  m.vb[variavel],BP$7,
  m.vb[mes],$A78
)</f>
        <v>0</v>
      </c>
      <c r="BQ78" s="111">
        <f ca="1">SUMIFS(
  m.vb[valor],
  m.vb[nucleo],$BH$1,
  m.vb[variavel],BQ$7,
  m.vb[mes],$A78
)</f>
        <v>0</v>
      </c>
      <c r="BR78" s="122">
        <f>COUNTIFS(
    tb_estq[empresa], BR$6,
    tb_estq[Data da venda / reserva], "&gt;=" &amp; $A78,
    tb_estq[Data da venda / reserva], "&lt;"  &amp; EOMONTH($A78,0) + 1
)</f>
        <v>0</v>
      </c>
      <c r="BS78" s="123">
        <f ca="1">SUMIFS(tb_rec_uni[2027-04-01],
INDIRECT("tb_rec_uni[natureza]"),"pro.soluto",
INDIRECT("tb_rec_uni[empresa]"),BS$6)</f>
        <v>0</v>
      </c>
      <c r="BT78" s="127">
        <f ca="1">SUMIFS(tb_rec_uni[2027-04-01],
INDIRECT("tb_rec_uni[natureza]"),"parcela.fin.total.ik",
INDIRECT("tb_rec_uni[empresa]"),BT$6)</f>
        <v>0</v>
      </c>
      <c r="BU78" s="123">
        <f ca="1">SUMIFS(tb_rec_uni[2027-04-01],
INDIRECT("tb_rec_uni[natureza]"),"taxa.extra",
INDIRECT("tb_rec_uni[empresa]"),BU$6)</f>
        <v>0</v>
      </c>
      <c r="BV78" s="111"/>
      <c r="BW78" s="111">
        <f ca="1">SUMIFS(
  m.vb[valor],
  m.vb[nucleo],$BR$1,
  m.vb[variavel],BW$7,
  m.vb[mes],$A78
)</f>
        <v>0</v>
      </c>
      <c r="BX78" s="111">
        <f ca="1">SUMIFS(
  m.vb[valor],
  m.vb[nucleo],$BR$1,
  m.vb[variavel],BX$7,
  m.vb[mes],$A78
)</f>
        <v>0</v>
      </c>
      <c r="BY78" s="111">
        <f ca="1">SUMIFS(
  m.vb[valor],
  m.vb[nucleo],$BR$1,
  m.vb[variavel],BY$7,
  m.vb[mes],$A78
)</f>
        <v>0</v>
      </c>
      <c r="BZ78" s="111">
        <f ca="1">SUMIFS(
  m.vb[valor],
  m.vb[nucleo],$BR$1,
  m.vb[variavel],BZ$7,
  m.vb[mes],$A78
)</f>
        <v>0</v>
      </c>
      <c r="CA78" s="111">
        <f ca="1">SUMIFS(
  m.vb[valor],
  m.vb[nucleo],$BR$1,
  m.vb[variavel],CA$7,
  m.vb[mes],$A78
)</f>
        <v>0</v>
      </c>
      <c r="CB78" s="122">
        <f>COUNTIFS(
    tb_estq[empresa], CB$6,
    tb_estq[Data da venda / reserva], "&gt;=" &amp; $A78,
    tb_estq[Data da venda / reserva], "&lt;"  &amp; EOMONTH($A78,0) + 1
)</f>
        <v>0</v>
      </c>
      <c r="CC78" s="123">
        <f ca="1">SUMIFS(tb_rec_uni[2027-04-01],
INDIRECT("tb_rec_uni[natureza]"),"pro.soluto",
INDIRECT("tb_rec_uni[empresa]"),CC$6)</f>
        <v>0</v>
      </c>
      <c r="CD78" s="123">
        <f ca="1">SUMIFS(tb_rec_uni[2027-04-01],
INDIRECT("tb_rec_uni[natureza]"),"repasse.cef.obra",
INDIRECT("tb_rec_uni[empresa]"),CD$6)</f>
        <v>0</v>
      </c>
      <c r="CE78" s="126">
        <f ca="1">SUMIFS(tb_rec_uni[2027-04-01],
INDIRECT("tb_rec_uni[natureza]"),"repasse.cef.terreno",
INDIRECT("tb_rec_uni[empresa]"),CE$6)</f>
        <v>0</v>
      </c>
      <c r="CF78" s="127"/>
      <c r="CG78" s="123">
        <f ca="1">SUMIFS(tb_rec_uni[2027-04-01],
INDIRECT("tb_rec_uni[natureza]"),"taxa.extra",
INDIRECT("tb_rec_uni[empresa]"),CG$6)</f>
        <v>0</v>
      </c>
      <c r="CH78" s="111"/>
      <c r="CI78" s="111">
        <f ca="1">SUMIFS(
  m.vb[valor],
  m.vb[nucleo],$CB$1,
  m.vb[variavel],CI$7,
  m.vb[mes],$A78
)</f>
        <v>0</v>
      </c>
      <c r="CJ78" s="111">
        <f ca="1">SUMIFS(
  m.vb[valor],
  m.vb[nucleo],$CB$1,
  m.vb[variavel],CJ$7,
  m.vb[mes],$A78
)</f>
        <v>0</v>
      </c>
      <c r="CK78" s="111">
        <f ca="1">SUMIFS(
  m.vb[valor],
  m.vb[nucleo],$CB$1,
  m.vb[variavel],CK$7,
  m.vb[mes],$A78
)</f>
        <v>0</v>
      </c>
      <c r="CL78" s="111">
        <f ca="1">SUMIFS(
  m.vb[valor],
  m.vb[nucleo],$CB$1,
  m.vb[variavel],CL$7,
  m.vb[mes],$A78
)</f>
        <v>0</v>
      </c>
      <c r="CM78" s="111">
        <f ca="1">SUMIFS(
  m.vb[valor],
  m.vb[nucleo],$CB$1,
  m.vb[variavel],CM$7,
  m.vb[mes],$A78
)</f>
        <v>0</v>
      </c>
      <c r="CN78" s="122">
        <f>COUNTIFS(
    tb_estq[empresa], CN$6,
    tb_estq[Data da venda / reserva], "&gt;=" &amp; $A78,
    tb_estq[Data da venda / reserva], "&lt;"  &amp; EOMONTH($A78,0) + 1
)</f>
        <v>0</v>
      </c>
      <c r="CO78" s="123">
        <f ca="1">SUMIFS(tb_rec_uni[2027-04-01],
INDIRECT("tb_rec_uni[natureza]"),"pro.soluto",
INDIRECT("tb_rec_uni[empresa]"),CO$6)</f>
        <v>0</v>
      </c>
      <c r="CP78" s="123">
        <f ca="1">SUMIFS(tb_rec_uni[2027-04-01],
INDIRECT("tb_rec_uni[natureza]"),"repasse.cef.obra",
INDIRECT("tb_rec_uni[empresa]"),CP$6)</f>
        <v>0</v>
      </c>
      <c r="CQ78" s="126">
        <f ca="1">SUMIFS(tb_rec_uni[2027-04-01],
INDIRECT("tb_rec_uni[natureza]"),"repasse.cef.terreno",
INDIRECT("tb_rec_uni[empresa]"),CQ$6)</f>
        <v>0</v>
      </c>
      <c r="CR78" s="127"/>
      <c r="CS78" s="123">
        <f ca="1">SUMIFS(tb_rec_uni[2027-04-01],
INDIRECT("tb_rec_uni[natureza]"),"taxa.extra",
INDIRECT("tb_rec_uni[empresa]"),CS$6)</f>
        <v>0</v>
      </c>
      <c r="CT78" s="111"/>
      <c r="CU78" s="111">
        <f ca="1">SUMIFS(
  m.vb[valor],
  m.vb[nucleo],$CN$1,
  m.vb[variavel],CU$7,
  m.vb[mes],$A78
)</f>
        <v>0</v>
      </c>
      <c r="CV78" s="111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11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11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4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21">
        <v>46508</v>
      </c>
      <c r="B79" s="122">
        <f>COUNTIFS(
    tb_estq[empresa], B$6,
    tb_estq[Data da venda / reserva], "&gt;=" &amp; $A79,
    tb_estq[Data da venda / reserva], "&lt;"  &amp; EOMONTH($A79,0) + 1
)</f>
        <v>0</v>
      </c>
      <c r="C79" s="123">
        <f ca="1">SUMIFS(tb_rec_uni[2027-05-01],
INDIRECT("tb_rec_uni[natureza]"),"pro.soluto",
INDIRECT("tb_rec_uni[empresa]"),C$6)</f>
        <v>0</v>
      </c>
      <c r="D79" s="123">
        <f ca="1">SUMIFS(tb_rec_uni[2027-05-01],
INDIRECT("tb_rec_uni[natureza]"),"repasse.cef.obra",
INDIRECT("tb_rec_uni[empresa]"),D$6)</f>
        <v>0</v>
      </c>
      <c r="E79" s="123">
        <f ca="1">SUMIFS(tb_rec_uni[2027-05-01],
INDIRECT("tb_rec_uni[natureza]"),"repasse.cef.terreno",
INDIRECT("tb_rec_uni[empresa]"),E$6)</f>
        <v>0</v>
      </c>
      <c r="F79" s="127"/>
      <c r="G79" s="123">
        <f ca="1">SUMIFS(tb_rec_uni[2027-05-01],
INDIRECT("tb_rec_uni[natureza]"),"taxa.extra",
INDIRECT("tb_rec_uni[empresa]"),G$6)</f>
        <v>0</v>
      </c>
      <c r="H79" s="111"/>
      <c r="I79" s="111">
        <f ca="1">SUMIFS(
  m.vb[valor],
  m.vb[nucleo],$B$1,
  m.vb[variavel],I$7,
  m.vb[mes],$A79
)</f>
        <v>0</v>
      </c>
      <c r="J79" s="111">
        <f ca="1">SUMIFS(
  m.vb[valor],
  m.vb[nucleo],$B$1,
  m.vb[variavel],J$7,
  m.vb[mes],$A79
)</f>
        <v>0</v>
      </c>
      <c r="K79" s="111">
        <f ca="1">SUMIFS(
  m.vb[valor],
  m.vb[nucleo],$B$1,
  m.vb[variavel],K$7,
  m.vb[mes],$A79
)</f>
        <v>0</v>
      </c>
      <c r="L79" s="111">
        <f ca="1">SUMIFS(
  m.vb[valor],
  m.vb[nucleo],$B$1,
  m.vb[variavel],L$7,
  m.vb[mes],$A79
)</f>
        <v>0</v>
      </c>
      <c r="M79" s="111">
        <f ca="1">SUMIFS(
  m.vb[valor],
  m.vb[nucleo],$B$1,
  m.vb[variavel],M$7,
  m.vb[mes],$A79
)</f>
        <v>0</v>
      </c>
      <c r="N79" s="122">
        <f>COUNTIFS(
    tb_estq[empresa], N$6,
    tb_estq[Data da venda / reserva], "&gt;=" &amp; $A79,
    tb_estq[Data da venda / reserva], "&lt;"  &amp; EOMONTH($A79,0) + 1
)</f>
        <v>0</v>
      </c>
      <c r="O79" s="123">
        <f ca="1">SUMIFS(tb_rec_uni[2027-05-01],
INDIRECT("tb_rec_uni[natureza]"),"pro.soluto",
INDIRECT("tb_rec_uni[empresa]"),O$6)</f>
        <v>0</v>
      </c>
      <c r="P79" s="123">
        <f ca="1">SUMIFS(tb_rec_uni[2027-05-01],
INDIRECT("tb_rec_uni[natureza]"),"repasse.cef.obra",
INDIRECT("tb_rec_uni[empresa]"),P$6)</f>
        <v>0</v>
      </c>
      <c r="Q79" s="123">
        <f ca="1">SUMIFS(tb_rec_uni[2027-05-01],
INDIRECT("tb_rec_uni[natureza]"),"repasse.cef.terreno",
INDIRECT("tb_rec_uni[empresa]"),Q$6)</f>
        <v>0</v>
      </c>
      <c r="R79" s="127"/>
      <c r="S79" s="123">
        <f ca="1">SUMIFS(tb_rec_uni[2027-05-01],
INDIRECT("tb_rec_uni[natureza]"),"taxa.extra",
INDIRECT("tb_rec_uni[empresa]"),S$6)</f>
        <v>0</v>
      </c>
      <c r="T79" s="111"/>
      <c r="U79" s="111">
        <f ca="1">SUMIFS(
  m.vb[valor],
  m.vb[nucleo],$N$1,
  m.vb[variavel],U$7,
  m.vb[mes],$A79
)</f>
        <v>0</v>
      </c>
      <c r="V79" s="111">
        <f ca="1">SUMIFS(
  m.vb[valor],
  m.vb[nucleo],$N$1,
  m.vb[variavel],V$7,
  m.vb[mes],$A79
)</f>
        <v>0</v>
      </c>
      <c r="W79" s="111">
        <f ca="1">SUMIFS(
  m.vb[valor],
  m.vb[nucleo],$N$1,
  m.vb[variavel],W$7,
  m.vb[mes],$A79
)</f>
        <v>0</v>
      </c>
      <c r="X79" s="111">
        <f ca="1">SUMIFS(
  m.vb[valor],
  m.vb[nucleo],$N$1,
  m.vb[variavel],X$7,
  m.vb[mes],$A79
)</f>
        <v>0</v>
      </c>
      <c r="Y79" s="111">
        <f ca="1">SUMIFS(
  m.vb[valor],
  m.vb[nucleo],$N$1,
  m.vb[variavel],Y$7,
  m.vb[mes],$A79
)</f>
        <v>0</v>
      </c>
      <c r="Z79" s="122">
        <f>COUNTIFS(
    tb_estq[empresa], Z$6,
    tb_estq[Data da venda / reserva], "&gt;=" &amp; $A79,
    tb_estq[Data da venda / reserva], "&lt;"  &amp; EOMONTH($A79,0) + 1
)</f>
        <v>0</v>
      </c>
      <c r="AA79" s="123">
        <f ca="1">SUMIFS(tb_rec_uni[2027-05-01],
INDIRECT("tb_rec_uni[natureza]"),"pro.soluto",
INDIRECT("tb_rec_uni[empresa]"),AA$6)</f>
        <v>0</v>
      </c>
      <c r="AB79" s="127">
        <f ca="1">SUMIFS(tb_rec_uni[2027-05-01],
INDIRECT("tb_rec_uni[natureza]"),"parcela.fin.total.ik",
INDIRECT("tb_rec_uni[empresa]"),AB$6)</f>
        <v>0</v>
      </c>
      <c r="AC79" s="123">
        <f ca="1">SUMIFS(tb_rec_uni[2027-05-01],
INDIRECT("tb_rec_uni[natureza]"),"taxa.extra",
INDIRECT("tb_rec_uni[empresa]"),AC$6)</f>
        <v>0</v>
      </c>
      <c r="AD79" s="111"/>
      <c r="AE79" s="111">
        <f ca="1">SUMIFS(
  m.vb[valor],
  m.vb[nucleo],$Z$1,
  m.vb[variavel],AE$7,
  m.vb[mes],$A79
)</f>
        <v>0</v>
      </c>
      <c r="AF79" s="111">
        <f ca="1">SUMIFS(
  m.vb[valor],
  m.vb[nucleo],$Z$1,
  m.vb[variavel],AF$7,
  m.vb[mes],$A79
)</f>
        <v>0</v>
      </c>
      <c r="AG79" s="111">
        <f ca="1">SUMIFS(
  m.vb[valor],
  m.vb[nucleo],$Z$1,
  m.vb[variavel],AG$7,
  m.vb[mes],$A79
)</f>
        <v>0</v>
      </c>
      <c r="AH79" s="111">
        <f ca="1">SUMIFS(
  m.vb[valor],
  m.vb[nucleo],$Z$1,
  m.vb[variavel],AH$7,
  m.vb[mes],$A79
)</f>
        <v>0</v>
      </c>
      <c r="AI79" s="111">
        <f ca="1">SUMIFS(
  m.vb[valor],
  m.vb[nucleo],$Z$1,
  m.vb[variavel],AI$7,
  m.vb[mes],$A79
)</f>
        <v>0</v>
      </c>
      <c r="AJ79" s="122">
        <f>COUNTIFS(
    tb_estq[empresa], AJ$6,
    tb_estq[Data da venda / reserva], "&gt;=" &amp; $A79,
    tb_estq[Data da venda / reserva], "&lt;"  &amp; EOMONTH($A79,0) + 1
)</f>
        <v>0</v>
      </c>
      <c r="AK79" s="123">
        <f ca="1">SUMIFS(tb_rec_uni[2027-05-01],
INDIRECT("tb_rec_uni[natureza]"),"pro.soluto",
INDIRECT("tb_rec_uni[empresa]"),AK$6)</f>
        <v>0</v>
      </c>
      <c r="AL79" s="123">
        <f ca="1">SUMIFS(tb_rec_uni[2027-05-01],
INDIRECT("tb_rec_uni[natureza]"),"repasse.cef.obra",
INDIRECT("tb_rec_uni[empresa]"),AL$6)</f>
        <v>0</v>
      </c>
      <c r="AM79" s="126">
        <f ca="1">SUMIFS(tb_rec_uni[2027-05-01],
INDIRECT("tb_rec_uni[natureza]"),"repasse.cef.terreno",
INDIRECT("tb_rec_uni[empresa]"),AM$6)</f>
        <v>0</v>
      </c>
      <c r="AN79" s="127"/>
      <c r="AO79" s="123">
        <f ca="1">SUMIFS(tb_rec_uni[2027-05-01],
INDIRECT("tb_rec_uni[natureza]"),"taxa.extra",
INDIRECT("tb_rec_uni[empresa]"),AO$6)</f>
        <v>0</v>
      </c>
      <c r="AP79" s="111"/>
      <c r="AQ79" s="111">
        <f ca="1">SUMIFS(
  m.vb[valor],
  m.vb[nucleo],$AJ$1,
  m.vb[variavel],AQ$7,
  m.vb[mes],$A79
)</f>
        <v>0</v>
      </c>
      <c r="AR79" s="111">
        <f ca="1">SUMIFS(
  m.vb[valor],
  m.vb[nucleo],$AJ$1,
  m.vb[variavel],AR$7,
  m.vb[mes],$A79
)</f>
        <v>0</v>
      </c>
      <c r="AS79" s="111">
        <f ca="1">SUMIFS(
  m.vb[valor],
  m.vb[nucleo],$AJ$1,
  m.vb[variavel],AS$7,
  m.vb[mes],$A79
)</f>
        <v>0</v>
      </c>
      <c r="AT79" s="111">
        <f ca="1">SUMIFS(
  m.vb[valor],
  m.vb[nucleo],$AJ$1,
  m.vb[variavel],AT$7,
  m.vb[mes],$A79
)</f>
        <v>0</v>
      </c>
      <c r="AU79" s="111">
        <f ca="1">SUMIFS(
  m.vb[valor],
  m.vb[nucleo],$AJ$1,
  m.vb[variavel],AU$7,
  m.vb[mes],$A79
)</f>
        <v>0</v>
      </c>
      <c r="AV79" s="122">
        <f>COUNTIFS(
    tb_estq[empresa], AV$6,
    tb_estq[Data da venda / reserva], "&gt;=" &amp; $A79,
    tb_estq[Data da venda / reserva], "&lt;"  &amp; EOMONTH($A79,0) + 1
)</f>
        <v>0</v>
      </c>
      <c r="AW79" s="123">
        <f ca="1">SUMIFS(tb_rec_uni[2027-05-01],
INDIRECT("tb_rec_uni[natureza]"),"pro.soluto",
INDIRECT("tb_rec_uni[empresa]"),AW$6)</f>
        <v>0</v>
      </c>
      <c r="AX79" s="123">
        <f ca="1">SUMIFS(tb_rec_uni[2027-05-01],
INDIRECT("tb_rec_uni[natureza]"),"repasse.cef.obra",
INDIRECT("tb_rec_uni[empresa]"),AX$6)</f>
        <v>0</v>
      </c>
      <c r="AY79" s="126">
        <f ca="1">SUMIFS(tb_rec_uni[2027-05-01],
INDIRECT("tb_rec_uni[natureza]"),"repasse.cef.terreno",
INDIRECT("tb_rec_uni[empresa]"),AY$6)</f>
        <v>0</v>
      </c>
      <c r="AZ79" s="127"/>
      <c r="BA79" s="123">
        <f ca="1">SUMIFS(tb_rec_uni[2027-05-01],
INDIRECT("tb_rec_uni[natureza]"),"taxa.extra",
INDIRECT("tb_rec_uni[empresa]"),BA$6)</f>
        <v>0</v>
      </c>
      <c r="BB79" s="111"/>
      <c r="BC79" s="111">
        <f ca="1">SUMIFS(
  m.vb[valor],
  m.vb[nucleo],$AV$1,
  m.vb[variavel],BC$7,
  m.vb[mes],$A79
)</f>
        <v>0</v>
      </c>
      <c r="BD79" s="111">
        <f ca="1">SUMIFS(
  m.vb[valor],
  m.vb[nucleo],$AV$1,
  m.vb[variavel],BD$7,
  m.vb[mes],$A79
)</f>
        <v>0</v>
      </c>
      <c r="BE79" s="111">
        <f ca="1">SUMIFS(
  m.vb[valor],
  m.vb[nucleo],$AV$1,
  m.vb[variavel],BE$7,
  m.vb[mes],$A79
)</f>
        <v>0</v>
      </c>
      <c r="BF79" s="111">
        <f ca="1">SUMIFS(
  m.vb[valor],
  m.vb[nucleo],$AV$1,
  m.vb[variavel],BF$7,
  m.vb[mes],$A79
)</f>
        <v>0</v>
      </c>
      <c r="BG79" s="111">
        <f ca="1">SUMIFS(
  m.vb[valor],
  m.vb[nucleo],$AV$1,
  m.vb[variavel],BG$7,
  m.vb[mes],$A79
)</f>
        <v>0</v>
      </c>
      <c r="BH79" s="122">
        <f>COUNTIFS(
    tb_estq[empresa], BH$6,
    tb_estq[Data da venda / reserva], "&gt;=" &amp; $A79,
    tb_estq[Data da venda / reserva], "&lt;"  &amp; EOMONTH($A79,0) + 1
)</f>
        <v>0</v>
      </c>
      <c r="BI79" s="123">
        <f ca="1">SUMIFS(tb_rec_uni[2027-05-01],
INDIRECT("tb_rec_uni[natureza]"),"pro.soluto",
INDIRECT("tb_rec_uni[empresa]"),BI$6)</f>
        <v>0</v>
      </c>
      <c r="BJ79" s="127"/>
      <c r="BK79" s="123">
        <f ca="1">SUMIFS(tb_rec_uni[2027-05-01],
INDIRECT("tb_rec_uni[natureza]"),"taxa.extra",
INDIRECT("tb_rec_uni[empresa]"),BK$6)</f>
        <v>0</v>
      </c>
      <c r="BL79" s="111"/>
      <c r="BM79" s="111">
        <f ca="1">SUMIFS(
  m.vb[valor],
  m.vb[nucleo],$BH$1,
  m.vb[variavel],BM$7,
  m.vb[mes],$A79
)</f>
        <v>0</v>
      </c>
      <c r="BN79" s="111">
        <f ca="1">SUMIFS(
  m.vb[valor],
  m.vb[nucleo],$BH$1,
  m.vb[variavel],BN$7,
  m.vb[mes],$A79
)</f>
        <v>0</v>
      </c>
      <c r="BO79" s="111">
        <f ca="1">SUMIFS(
  m.vb[valor],
  m.vb[nucleo],$BH$1,
  m.vb[variavel],BO$7,
  m.vb[mes],$A79
)</f>
        <v>0</v>
      </c>
      <c r="BP79" s="111">
        <f ca="1">SUMIFS(
  m.vb[valor],
  m.vb[nucleo],$BH$1,
  m.vb[variavel],BP$7,
  m.vb[mes],$A79
)</f>
        <v>0</v>
      </c>
      <c r="BQ79" s="111">
        <f ca="1">SUMIFS(
  m.vb[valor],
  m.vb[nucleo],$BH$1,
  m.vb[variavel],BQ$7,
  m.vb[mes],$A79
)</f>
        <v>0</v>
      </c>
      <c r="BR79" s="122">
        <f>COUNTIFS(
    tb_estq[empresa], BR$6,
    tb_estq[Data da venda / reserva], "&gt;=" &amp; $A79,
    tb_estq[Data da venda / reserva], "&lt;"  &amp; EOMONTH($A79,0) + 1
)</f>
        <v>0</v>
      </c>
      <c r="BS79" s="123">
        <f ca="1">SUMIFS(tb_rec_uni[2027-05-01],
INDIRECT("tb_rec_uni[natureza]"),"pro.soluto",
INDIRECT("tb_rec_uni[empresa]"),BS$6)</f>
        <v>0</v>
      </c>
      <c r="BT79" s="127">
        <f ca="1">SUMIFS(tb_rec_uni[2027-05-01],
INDIRECT("tb_rec_uni[natureza]"),"parcela.fin.total.ik",
INDIRECT("tb_rec_uni[empresa]"),BT$6)</f>
        <v>0</v>
      </c>
      <c r="BU79" s="123">
        <f ca="1">SUMIFS(tb_rec_uni[2027-05-01],
INDIRECT("tb_rec_uni[natureza]"),"taxa.extra",
INDIRECT("tb_rec_uni[empresa]"),BU$6)</f>
        <v>0</v>
      </c>
      <c r="BV79" s="111"/>
      <c r="BW79" s="111">
        <f ca="1">SUMIFS(
  m.vb[valor],
  m.vb[nucleo],$BR$1,
  m.vb[variavel],BW$7,
  m.vb[mes],$A79
)</f>
        <v>0</v>
      </c>
      <c r="BX79" s="111">
        <f ca="1">SUMIFS(
  m.vb[valor],
  m.vb[nucleo],$BR$1,
  m.vb[variavel],BX$7,
  m.vb[mes],$A79
)</f>
        <v>0</v>
      </c>
      <c r="BY79" s="111">
        <f ca="1">SUMIFS(
  m.vb[valor],
  m.vb[nucleo],$BR$1,
  m.vb[variavel],BY$7,
  m.vb[mes],$A79
)</f>
        <v>0</v>
      </c>
      <c r="BZ79" s="111">
        <f ca="1">SUMIFS(
  m.vb[valor],
  m.vb[nucleo],$BR$1,
  m.vb[variavel],BZ$7,
  m.vb[mes],$A79
)</f>
        <v>0</v>
      </c>
      <c r="CA79" s="111">
        <f ca="1">SUMIFS(
  m.vb[valor],
  m.vb[nucleo],$BR$1,
  m.vb[variavel],CA$7,
  m.vb[mes],$A79
)</f>
        <v>0</v>
      </c>
      <c r="CB79" s="122">
        <f>COUNTIFS(
    tb_estq[empresa], CB$6,
    tb_estq[Data da venda / reserva], "&gt;=" &amp; $A79,
    tb_estq[Data da venda / reserva], "&lt;"  &amp; EOMONTH($A79,0) + 1
)</f>
        <v>0</v>
      </c>
      <c r="CC79" s="123">
        <f ca="1">SUMIFS(tb_rec_uni[2027-05-01],
INDIRECT("tb_rec_uni[natureza]"),"pro.soluto",
INDIRECT("tb_rec_uni[empresa]"),CC$6)</f>
        <v>0</v>
      </c>
      <c r="CD79" s="123">
        <f ca="1">SUMIFS(tb_rec_uni[2027-05-01],
INDIRECT("tb_rec_uni[natureza]"),"repasse.cef.obra",
INDIRECT("tb_rec_uni[empresa]"),CD$6)</f>
        <v>0</v>
      </c>
      <c r="CE79" s="126">
        <f ca="1">SUMIFS(tb_rec_uni[2027-05-01],
INDIRECT("tb_rec_uni[natureza]"),"repasse.cef.terreno",
INDIRECT("tb_rec_uni[empresa]"),CE$6)</f>
        <v>0</v>
      </c>
      <c r="CF79" s="127"/>
      <c r="CG79" s="123">
        <f ca="1">SUMIFS(tb_rec_uni[2027-05-01],
INDIRECT("tb_rec_uni[natureza]"),"taxa.extra",
INDIRECT("tb_rec_uni[empresa]"),CG$6)</f>
        <v>0</v>
      </c>
      <c r="CH79" s="111"/>
      <c r="CI79" s="111">
        <f ca="1">SUMIFS(
  m.vb[valor],
  m.vb[nucleo],$CB$1,
  m.vb[variavel],CI$7,
  m.vb[mes],$A79
)</f>
        <v>0</v>
      </c>
      <c r="CJ79" s="111">
        <f ca="1">SUMIFS(
  m.vb[valor],
  m.vb[nucleo],$CB$1,
  m.vb[variavel],CJ$7,
  m.vb[mes],$A79
)</f>
        <v>0</v>
      </c>
      <c r="CK79" s="111">
        <f ca="1">SUMIFS(
  m.vb[valor],
  m.vb[nucleo],$CB$1,
  m.vb[variavel],CK$7,
  m.vb[mes],$A79
)</f>
        <v>0</v>
      </c>
      <c r="CL79" s="111">
        <f ca="1">SUMIFS(
  m.vb[valor],
  m.vb[nucleo],$CB$1,
  m.vb[variavel],CL$7,
  m.vb[mes],$A79
)</f>
        <v>0</v>
      </c>
      <c r="CM79" s="111">
        <f ca="1">SUMIFS(
  m.vb[valor],
  m.vb[nucleo],$CB$1,
  m.vb[variavel],CM$7,
  m.vb[mes],$A79
)</f>
        <v>0</v>
      </c>
      <c r="CN79" s="122">
        <f>COUNTIFS(
    tb_estq[empresa], CN$6,
    tb_estq[Data da venda / reserva], "&gt;=" &amp; $A79,
    tb_estq[Data da venda / reserva], "&lt;"  &amp; EOMONTH($A79,0) + 1
)</f>
        <v>0</v>
      </c>
      <c r="CO79" s="123">
        <f ca="1">SUMIFS(tb_rec_uni[2027-05-01],
INDIRECT("tb_rec_uni[natureza]"),"pro.soluto",
INDIRECT("tb_rec_uni[empresa]"),CO$6)</f>
        <v>0</v>
      </c>
      <c r="CP79" s="123">
        <f ca="1">SUMIFS(tb_rec_uni[2027-05-01],
INDIRECT("tb_rec_uni[natureza]"),"repasse.cef.obra",
INDIRECT("tb_rec_uni[empresa]"),CP$6)</f>
        <v>0</v>
      </c>
      <c r="CQ79" s="126">
        <f ca="1">SUMIFS(tb_rec_uni[2027-05-01],
INDIRECT("tb_rec_uni[natureza]"),"repasse.cef.terreno",
INDIRECT("tb_rec_uni[empresa]"),CQ$6)</f>
        <v>0</v>
      </c>
      <c r="CR79" s="127"/>
      <c r="CS79" s="123">
        <f ca="1">SUMIFS(tb_rec_uni[2027-05-01],
INDIRECT("tb_rec_uni[natureza]"),"taxa.extra",
INDIRECT("tb_rec_uni[empresa]"),CS$6)</f>
        <v>0</v>
      </c>
      <c r="CT79" s="111"/>
      <c r="CU79" s="111">
        <f ca="1">SUMIFS(
  m.vb[valor],
  m.vb[nucleo],$CN$1,
  m.vb[variavel],CU$7,
  m.vb[mes],$A79
)</f>
        <v>0</v>
      </c>
      <c r="CV79" s="111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11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11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4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21">
        <v>46539</v>
      </c>
      <c r="B80" s="122">
        <f>COUNTIFS(
    tb_estq[empresa], B$6,
    tb_estq[Data da venda / reserva], "&gt;=" &amp; $A80,
    tb_estq[Data da venda / reserva], "&lt;"  &amp; EOMONTH($A80,0) + 1
)</f>
        <v>0</v>
      </c>
      <c r="C80" s="123">
        <f ca="1">SUMIFS(tb_rec_uni[2027-06-01],
INDIRECT("tb_rec_uni[natureza]"),"pro.soluto",
INDIRECT("tb_rec_uni[empresa]"),C$6)</f>
        <v>0</v>
      </c>
      <c r="D80" s="123">
        <f ca="1">SUMIFS(tb_rec_uni[2027-06-01],
INDIRECT("tb_rec_uni[natureza]"),"repasse.cef.obra",
INDIRECT("tb_rec_uni[empresa]"),D$6)</f>
        <v>0</v>
      </c>
      <c r="E80" s="123">
        <f ca="1">SUMIFS(tb_rec_uni[2027-06-01],
INDIRECT("tb_rec_uni[natureza]"),"repasse.cef.terreno",
INDIRECT("tb_rec_uni[empresa]"),E$6)</f>
        <v>0</v>
      </c>
      <c r="F80" s="127"/>
      <c r="G80" s="123">
        <f ca="1">SUMIFS(tb_rec_uni[2027-06-01],
INDIRECT("tb_rec_uni[natureza]"),"taxa.extra",
INDIRECT("tb_rec_uni[empresa]"),G$6)</f>
        <v>0</v>
      </c>
      <c r="H80" s="111"/>
      <c r="I80" s="111">
        <f ca="1">SUMIFS(
  m.vb[valor],
  m.vb[nucleo],$B$1,
  m.vb[variavel],I$7,
  m.vb[mes],$A80
)</f>
        <v>0</v>
      </c>
      <c r="J80" s="111">
        <f ca="1">SUMIFS(
  m.vb[valor],
  m.vb[nucleo],$B$1,
  m.vb[variavel],J$7,
  m.vb[mes],$A80
)</f>
        <v>0</v>
      </c>
      <c r="K80" s="111">
        <f ca="1">SUMIFS(
  m.vb[valor],
  m.vb[nucleo],$B$1,
  m.vb[variavel],K$7,
  m.vb[mes],$A80
)</f>
        <v>0</v>
      </c>
      <c r="L80" s="111">
        <f ca="1">SUMIFS(
  m.vb[valor],
  m.vb[nucleo],$B$1,
  m.vb[variavel],L$7,
  m.vb[mes],$A80
)</f>
        <v>0</v>
      </c>
      <c r="M80" s="111">
        <f ca="1">SUMIFS(
  m.vb[valor],
  m.vb[nucleo],$B$1,
  m.vb[variavel],M$7,
  m.vb[mes],$A80
)</f>
        <v>0</v>
      </c>
      <c r="N80" s="122">
        <f>COUNTIFS(
    tb_estq[empresa], N$6,
    tb_estq[Data da venda / reserva], "&gt;=" &amp; $A80,
    tb_estq[Data da venda / reserva], "&lt;"  &amp; EOMONTH($A80,0) + 1
)</f>
        <v>0</v>
      </c>
      <c r="O80" s="123">
        <f ca="1">SUMIFS(tb_rec_uni[2027-06-01],
INDIRECT("tb_rec_uni[natureza]"),"pro.soluto",
INDIRECT("tb_rec_uni[empresa]"),O$6)</f>
        <v>0</v>
      </c>
      <c r="P80" s="123">
        <f ca="1">SUMIFS(tb_rec_uni[2027-06-01],
INDIRECT("tb_rec_uni[natureza]"),"repasse.cef.obra",
INDIRECT("tb_rec_uni[empresa]"),P$6)</f>
        <v>0</v>
      </c>
      <c r="Q80" s="123">
        <f ca="1">SUMIFS(tb_rec_uni[2027-06-01],
INDIRECT("tb_rec_uni[natureza]"),"repasse.cef.terreno",
INDIRECT("tb_rec_uni[empresa]"),Q$6)</f>
        <v>0</v>
      </c>
      <c r="R80" s="127"/>
      <c r="S80" s="123">
        <f ca="1">SUMIFS(tb_rec_uni[2027-06-01],
INDIRECT("tb_rec_uni[natureza]"),"taxa.extra",
INDIRECT("tb_rec_uni[empresa]"),S$6)</f>
        <v>0</v>
      </c>
      <c r="T80" s="111"/>
      <c r="U80" s="111">
        <f ca="1">SUMIFS(
  m.vb[valor],
  m.vb[nucleo],$N$1,
  m.vb[variavel],U$7,
  m.vb[mes],$A80
)</f>
        <v>0</v>
      </c>
      <c r="V80" s="111">
        <f ca="1">SUMIFS(
  m.vb[valor],
  m.vb[nucleo],$N$1,
  m.vb[variavel],V$7,
  m.vb[mes],$A80
)</f>
        <v>0</v>
      </c>
      <c r="W80" s="111">
        <f ca="1">SUMIFS(
  m.vb[valor],
  m.vb[nucleo],$N$1,
  m.vb[variavel],W$7,
  m.vb[mes],$A80
)</f>
        <v>0</v>
      </c>
      <c r="X80" s="111">
        <f ca="1">SUMIFS(
  m.vb[valor],
  m.vb[nucleo],$N$1,
  m.vb[variavel],X$7,
  m.vb[mes],$A80
)</f>
        <v>0</v>
      </c>
      <c r="Y80" s="111">
        <f ca="1">SUMIFS(
  m.vb[valor],
  m.vb[nucleo],$N$1,
  m.vb[variavel],Y$7,
  m.vb[mes],$A80
)</f>
        <v>0</v>
      </c>
      <c r="Z80" s="122">
        <f>COUNTIFS(
    tb_estq[empresa], Z$6,
    tb_estq[Data da venda / reserva], "&gt;=" &amp; $A80,
    tb_estq[Data da venda / reserva], "&lt;"  &amp; EOMONTH($A80,0) + 1
)</f>
        <v>0</v>
      </c>
      <c r="AA80" s="123">
        <f ca="1">SUMIFS(tb_rec_uni[2027-06-01],
INDIRECT("tb_rec_uni[natureza]"),"pro.soluto",
INDIRECT("tb_rec_uni[empresa]"),AA$6)</f>
        <v>0</v>
      </c>
      <c r="AB80" s="127">
        <f ca="1">SUMIFS(tb_rec_uni[2027-06-01],
INDIRECT("tb_rec_uni[natureza]"),"parcela.fin.total.ik",
INDIRECT("tb_rec_uni[empresa]"),AB$6)</f>
        <v>0</v>
      </c>
      <c r="AC80" s="123">
        <f ca="1">SUMIFS(tb_rec_uni[2027-06-01],
INDIRECT("tb_rec_uni[natureza]"),"taxa.extra",
INDIRECT("tb_rec_uni[empresa]"),AC$6)</f>
        <v>0</v>
      </c>
      <c r="AD80" s="111"/>
      <c r="AE80" s="111">
        <f ca="1">SUMIFS(
  m.vb[valor],
  m.vb[nucleo],$Z$1,
  m.vb[variavel],AE$7,
  m.vb[mes],$A80
)</f>
        <v>0</v>
      </c>
      <c r="AF80" s="111">
        <f ca="1">SUMIFS(
  m.vb[valor],
  m.vb[nucleo],$Z$1,
  m.vb[variavel],AF$7,
  m.vb[mes],$A80
)</f>
        <v>0</v>
      </c>
      <c r="AG80" s="111">
        <f ca="1">SUMIFS(
  m.vb[valor],
  m.vb[nucleo],$Z$1,
  m.vb[variavel],AG$7,
  m.vb[mes],$A80
)</f>
        <v>0</v>
      </c>
      <c r="AH80" s="111">
        <f ca="1">SUMIFS(
  m.vb[valor],
  m.vb[nucleo],$Z$1,
  m.vb[variavel],AH$7,
  m.vb[mes],$A80
)</f>
        <v>0</v>
      </c>
      <c r="AI80" s="111">
        <f ca="1">SUMIFS(
  m.vb[valor],
  m.vb[nucleo],$Z$1,
  m.vb[variavel],AI$7,
  m.vb[mes],$A80
)</f>
        <v>0</v>
      </c>
      <c r="AJ80" s="122">
        <f>COUNTIFS(
    tb_estq[empresa], AJ$6,
    tb_estq[Data da venda / reserva], "&gt;=" &amp; $A80,
    tb_estq[Data da venda / reserva], "&lt;"  &amp; EOMONTH($A80,0) + 1
)</f>
        <v>0</v>
      </c>
      <c r="AK80" s="123">
        <f ca="1">SUMIFS(tb_rec_uni[2027-06-01],
INDIRECT("tb_rec_uni[natureza]"),"pro.soluto",
INDIRECT("tb_rec_uni[empresa]"),AK$6)</f>
        <v>0</v>
      </c>
      <c r="AL80" s="123">
        <f ca="1">SUMIFS(tb_rec_uni[2027-06-01],
INDIRECT("tb_rec_uni[natureza]"),"repasse.cef.obra",
INDIRECT("tb_rec_uni[empresa]"),AL$6)</f>
        <v>0</v>
      </c>
      <c r="AM80" s="126">
        <f ca="1">SUMIFS(tb_rec_uni[2027-06-01],
INDIRECT("tb_rec_uni[natureza]"),"repasse.cef.terreno",
INDIRECT("tb_rec_uni[empresa]"),AM$6)</f>
        <v>0</v>
      </c>
      <c r="AN80" s="127"/>
      <c r="AO80" s="123">
        <f ca="1">SUMIFS(tb_rec_uni[2027-06-01],
INDIRECT("tb_rec_uni[natureza]"),"taxa.extra",
INDIRECT("tb_rec_uni[empresa]"),AO$6)</f>
        <v>0</v>
      </c>
      <c r="AP80" s="111"/>
      <c r="AQ80" s="111">
        <f ca="1">SUMIFS(
  m.vb[valor],
  m.vb[nucleo],$AJ$1,
  m.vb[variavel],AQ$7,
  m.vb[mes],$A80
)</f>
        <v>0</v>
      </c>
      <c r="AR80" s="111">
        <f ca="1">SUMIFS(
  m.vb[valor],
  m.vb[nucleo],$AJ$1,
  m.vb[variavel],AR$7,
  m.vb[mes],$A80
)</f>
        <v>0</v>
      </c>
      <c r="AS80" s="111">
        <f ca="1">SUMIFS(
  m.vb[valor],
  m.vb[nucleo],$AJ$1,
  m.vb[variavel],AS$7,
  m.vb[mes],$A80
)</f>
        <v>0</v>
      </c>
      <c r="AT80" s="111">
        <f ca="1">SUMIFS(
  m.vb[valor],
  m.vb[nucleo],$AJ$1,
  m.vb[variavel],AT$7,
  m.vb[mes],$A80
)</f>
        <v>0</v>
      </c>
      <c r="AU80" s="111">
        <f ca="1">SUMIFS(
  m.vb[valor],
  m.vb[nucleo],$AJ$1,
  m.vb[variavel],AU$7,
  m.vb[mes],$A80
)</f>
        <v>0</v>
      </c>
      <c r="AV80" s="122">
        <f>COUNTIFS(
    tb_estq[empresa], AV$6,
    tb_estq[Data da venda / reserva], "&gt;=" &amp; $A80,
    tb_estq[Data da venda / reserva], "&lt;"  &amp; EOMONTH($A80,0) + 1
)</f>
        <v>0</v>
      </c>
      <c r="AW80" s="123">
        <f ca="1">SUMIFS(tb_rec_uni[2027-06-01],
INDIRECT("tb_rec_uni[natureza]"),"pro.soluto",
INDIRECT("tb_rec_uni[empresa]"),AW$6)</f>
        <v>0</v>
      </c>
      <c r="AX80" s="123">
        <f ca="1">SUMIFS(tb_rec_uni[2027-06-01],
INDIRECT("tb_rec_uni[natureza]"),"repasse.cef.obra",
INDIRECT("tb_rec_uni[empresa]"),AX$6)</f>
        <v>0</v>
      </c>
      <c r="AY80" s="126">
        <f ca="1">SUMIFS(tb_rec_uni[2027-06-01],
INDIRECT("tb_rec_uni[natureza]"),"repasse.cef.terreno",
INDIRECT("tb_rec_uni[empresa]"),AY$6)</f>
        <v>0</v>
      </c>
      <c r="AZ80" s="127"/>
      <c r="BA80" s="123">
        <f ca="1">SUMIFS(tb_rec_uni[2027-06-01],
INDIRECT("tb_rec_uni[natureza]"),"taxa.extra",
INDIRECT("tb_rec_uni[empresa]"),BA$6)</f>
        <v>0</v>
      </c>
      <c r="BB80" s="111"/>
      <c r="BC80" s="111">
        <f ca="1">SUMIFS(
  m.vb[valor],
  m.vb[nucleo],$AV$1,
  m.vb[variavel],BC$7,
  m.vb[mes],$A80
)</f>
        <v>0</v>
      </c>
      <c r="BD80" s="111">
        <f ca="1">SUMIFS(
  m.vb[valor],
  m.vb[nucleo],$AV$1,
  m.vb[variavel],BD$7,
  m.vb[mes],$A80
)</f>
        <v>0</v>
      </c>
      <c r="BE80" s="111">
        <f ca="1">SUMIFS(
  m.vb[valor],
  m.vb[nucleo],$AV$1,
  m.vb[variavel],BE$7,
  m.vb[mes],$A80
)</f>
        <v>0</v>
      </c>
      <c r="BF80" s="111">
        <f ca="1">SUMIFS(
  m.vb[valor],
  m.vb[nucleo],$AV$1,
  m.vb[variavel],BF$7,
  m.vb[mes],$A80
)</f>
        <v>0</v>
      </c>
      <c r="BG80" s="111">
        <f ca="1">SUMIFS(
  m.vb[valor],
  m.vb[nucleo],$AV$1,
  m.vb[variavel],BG$7,
  m.vb[mes],$A80
)</f>
        <v>0</v>
      </c>
      <c r="BH80" s="122">
        <f>COUNTIFS(
    tb_estq[empresa], BH$6,
    tb_estq[Data da venda / reserva], "&gt;=" &amp; $A80,
    tb_estq[Data da venda / reserva], "&lt;"  &amp; EOMONTH($A80,0) + 1
)</f>
        <v>0</v>
      </c>
      <c r="BI80" s="123">
        <f ca="1">SUMIFS(tb_rec_uni[2027-06-01],
INDIRECT("tb_rec_uni[natureza]"),"pro.soluto",
INDIRECT("tb_rec_uni[empresa]"),BI$6)</f>
        <v>0</v>
      </c>
      <c r="BJ80" s="127"/>
      <c r="BK80" s="123">
        <f ca="1">SUMIFS(tb_rec_uni[2027-06-01],
INDIRECT("tb_rec_uni[natureza]"),"taxa.extra",
INDIRECT("tb_rec_uni[empresa]"),BK$6)</f>
        <v>0</v>
      </c>
      <c r="BL80" s="111"/>
      <c r="BM80" s="111">
        <f ca="1">SUMIFS(
  m.vb[valor],
  m.vb[nucleo],$BH$1,
  m.vb[variavel],BM$7,
  m.vb[mes],$A80
)</f>
        <v>0</v>
      </c>
      <c r="BN80" s="111">
        <f ca="1">SUMIFS(
  m.vb[valor],
  m.vb[nucleo],$BH$1,
  m.vb[variavel],BN$7,
  m.vb[mes],$A80
)</f>
        <v>0</v>
      </c>
      <c r="BO80" s="111">
        <f ca="1">SUMIFS(
  m.vb[valor],
  m.vb[nucleo],$BH$1,
  m.vb[variavel],BO$7,
  m.vb[mes],$A80
)</f>
        <v>0</v>
      </c>
      <c r="BP80" s="111">
        <f ca="1">SUMIFS(
  m.vb[valor],
  m.vb[nucleo],$BH$1,
  m.vb[variavel],BP$7,
  m.vb[mes],$A80
)</f>
        <v>0</v>
      </c>
      <c r="BQ80" s="111">
        <f ca="1">SUMIFS(
  m.vb[valor],
  m.vb[nucleo],$BH$1,
  m.vb[variavel],BQ$7,
  m.vb[mes],$A80
)</f>
        <v>0</v>
      </c>
      <c r="BR80" s="122">
        <f>COUNTIFS(
    tb_estq[empresa], BR$6,
    tb_estq[Data da venda / reserva], "&gt;=" &amp; $A80,
    tb_estq[Data da venda / reserva], "&lt;"  &amp; EOMONTH($A80,0) + 1
)</f>
        <v>0</v>
      </c>
      <c r="BS80" s="123">
        <f ca="1">SUMIFS(tb_rec_uni[2027-06-01],
INDIRECT("tb_rec_uni[natureza]"),"pro.soluto",
INDIRECT("tb_rec_uni[empresa]"),BS$6)</f>
        <v>0</v>
      </c>
      <c r="BT80" s="127">
        <f ca="1">SUMIFS(tb_rec_uni[2027-06-01],
INDIRECT("tb_rec_uni[natureza]"),"parcela.fin.total.ik",
INDIRECT("tb_rec_uni[empresa]"),BT$6)</f>
        <v>0</v>
      </c>
      <c r="BU80" s="123">
        <f ca="1">SUMIFS(tb_rec_uni[2027-06-01],
INDIRECT("tb_rec_uni[natureza]"),"taxa.extra",
INDIRECT("tb_rec_uni[empresa]"),BU$6)</f>
        <v>0</v>
      </c>
      <c r="BV80" s="111"/>
      <c r="BW80" s="111">
        <f ca="1">SUMIFS(
  m.vb[valor],
  m.vb[nucleo],$BR$1,
  m.vb[variavel],BW$7,
  m.vb[mes],$A80
)</f>
        <v>0</v>
      </c>
      <c r="BX80" s="111">
        <f ca="1">SUMIFS(
  m.vb[valor],
  m.vb[nucleo],$BR$1,
  m.vb[variavel],BX$7,
  m.vb[mes],$A80
)</f>
        <v>0</v>
      </c>
      <c r="BY80" s="111">
        <f ca="1">SUMIFS(
  m.vb[valor],
  m.vb[nucleo],$BR$1,
  m.vb[variavel],BY$7,
  m.vb[mes],$A80
)</f>
        <v>0</v>
      </c>
      <c r="BZ80" s="111">
        <f ca="1">SUMIFS(
  m.vb[valor],
  m.vb[nucleo],$BR$1,
  m.vb[variavel],BZ$7,
  m.vb[mes],$A80
)</f>
        <v>0</v>
      </c>
      <c r="CA80" s="111">
        <f ca="1">SUMIFS(
  m.vb[valor],
  m.vb[nucleo],$BR$1,
  m.vb[variavel],CA$7,
  m.vb[mes],$A80
)</f>
        <v>0</v>
      </c>
      <c r="CB80" s="122">
        <f>COUNTIFS(
    tb_estq[empresa], CB$6,
    tb_estq[Data da venda / reserva], "&gt;=" &amp; $A80,
    tb_estq[Data da venda / reserva], "&lt;"  &amp; EOMONTH($A80,0) + 1
)</f>
        <v>0</v>
      </c>
      <c r="CC80" s="123">
        <f ca="1">SUMIFS(tb_rec_uni[2027-06-01],
INDIRECT("tb_rec_uni[natureza]"),"pro.soluto",
INDIRECT("tb_rec_uni[empresa]"),CC$6)</f>
        <v>0</v>
      </c>
      <c r="CD80" s="123">
        <f ca="1">SUMIFS(tb_rec_uni[2027-06-01],
INDIRECT("tb_rec_uni[natureza]"),"repasse.cef.obra",
INDIRECT("tb_rec_uni[empresa]"),CD$6)</f>
        <v>0</v>
      </c>
      <c r="CE80" s="126">
        <f ca="1">SUMIFS(tb_rec_uni[2027-06-01],
INDIRECT("tb_rec_uni[natureza]"),"repasse.cef.terreno",
INDIRECT("tb_rec_uni[empresa]"),CE$6)</f>
        <v>0</v>
      </c>
      <c r="CF80" s="127"/>
      <c r="CG80" s="123">
        <f ca="1">SUMIFS(tb_rec_uni[2027-06-01],
INDIRECT("tb_rec_uni[natureza]"),"taxa.extra",
INDIRECT("tb_rec_uni[empresa]"),CG$6)</f>
        <v>0</v>
      </c>
      <c r="CH80" s="111"/>
      <c r="CI80" s="111">
        <f ca="1">SUMIFS(
  m.vb[valor],
  m.vb[nucleo],$CB$1,
  m.vb[variavel],CI$7,
  m.vb[mes],$A80
)</f>
        <v>0</v>
      </c>
      <c r="CJ80" s="111">
        <f ca="1">SUMIFS(
  m.vb[valor],
  m.vb[nucleo],$CB$1,
  m.vb[variavel],CJ$7,
  m.vb[mes],$A80
)</f>
        <v>0</v>
      </c>
      <c r="CK80" s="111">
        <f ca="1">SUMIFS(
  m.vb[valor],
  m.vb[nucleo],$CB$1,
  m.vb[variavel],CK$7,
  m.vb[mes],$A80
)</f>
        <v>0</v>
      </c>
      <c r="CL80" s="111">
        <f ca="1">SUMIFS(
  m.vb[valor],
  m.vb[nucleo],$CB$1,
  m.vb[variavel],CL$7,
  m.vb[mes],$A80
)</f>
        <v>0</v>
      </c>
      <c r="CM80" s="111">
        <f ca="1">SUMIFS(
  m.vb[valor],
  m.vb[nucleo],$CB$1,
  m.vb[variavel],CM$7,
  m.vb[mes],$A80
)</f>
        <v>0</v>
      </c>
      <c r="CN80" s="122">
        <f>COUNTIFS(
    tb_estq[empresa], CN$6,
    tb_estq[Data da venda / reserva], "&gt;=" &amp; $A80,
    tb_estq[Data da venda / reserva], "&lt;"  &amp; EOMONTH($A80,0) + 1
)</f>
        <v>0</v>
      </c>
      <c r="CO80" s="123">
        <f ca="1">SUMIFS(tb_rec_uni[2027-06-01],
INDIRECT("tb_rec_uni[natureza]"),"pro.soluto",
INDIRECT("tb_rec_uni[empresa]"),CO$6)</f>
        <v>0</v>
      </c>
      <c r="CP80" s="123">
        <f ca="1">SUMIFS(tb_rec_uni[2027-06-01],
INDIRECT("tb_rec_uni[natureza]"),"repasse.cef.obra",
INDIRECT("tb_rec_uni[empresa]"),CP$6)</f>
        <v>0</v>
      </c>
      <c r="CQ80" s="126">
        <f ca="1">SUMIFS(tb_rec_uni[2027-06-01],
INDIRECT("tb_rec_uni[natureza]"),"repasse.cef.terreno",
INDIRECT("tb_rec_uni[empresa]"),CQ$6)</f>
        <v>0</v>
      </c>
      <c r="CR80" s="127"/>
      <c r="CS80" s="123">
        <f ca="1">SUMIFS(tb_rec_uni[2027-06-01],
INDIRECT("tb_rec_uni[natureza]"),"taxa.extra",
INDIRECT("tb_rec_uni[empresa]"),CS$6)</f>
        <v>0</v>
      </c>
      <c r="CT80" s="111"/>
      <c r="CU80" s="111">
        <f ca="1">SUMIFS(
  m.vb[valor],
  m.vb[nucleo],$CN$1,
  m.vb[variavel],CU$7,
  m.vb[mes],$A80
)</f>
        <v>0</v>
      </c>
      <c r="CV80" s="111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11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11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4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21">
        <v>46569</v>
      </c>
      <c r="B81" s="122">
        <f>COUNTIFS(
    tb_estq[empresa], B$6,
    tb_estq[Data da venda / reserva], "&gt;=" &amp; $A81,
    tb_estq[Data da venda / reserva], "&lt;"  &amp; EOMONTH($A81,0) + 1
)</f>
        <v>0</v>
      </c>
      <c r="C81" s="123">
        <f ca="1">SUMIFS(tb_rec_uni[2027-07-01],
INDIRECT("tb_rec_uni[natureza]"),"pro.soluto",
INDIRECT("tb_rec_uni[empresa]"),C$6)</f>
        <v>0</v>
      </c>
      <c r="D81" s="123">
        <f ca="1">SUMIFS(tb_rec_uni[2027-07-01],
INDIRECT("tb_rec_uni[natureza]"),"repasse.cef.obra",
INDIRECT("tb_rec_uni[empresa]"),D$6)</f>
        <v>0</v>
      </c>
      <c r="E81" s="123">
        <f ca="1">SUMIFS(tb_rec_uni[2027-07-01],
INDIRECT("tb_rec_uni[natureza]"),"repasse.cef.terreno",
INDIRECT("tb_rec_uni[empresa]"),E$6)</f>
        <v>0</v>
      </c>
      <c r="F81" s="127"/>
      <c r="G81" s="123">
        <f ca="1">SUMIFS(tb_rec_uni[2027-07-01],
INDIRECT("tb_rec_uni[natureza]"),"taxa.extra",
INDIRECT("tb_rec_uni[empresa]"),G$6)</f>
        <v>0</v>
      </c>
      <c r="H81" s="111"/>
      <c r="I81" s="111">
        <f ca="1">SUMIFS(
  m.vb[valor],
  m.vb[nucleo],$B$1,
  m.vb[variavel],I$7,
  m.vb[mes],$A81
)</f>
        <v>0</v>
      </c>
      <c r="J81" s="111">
        <f ca="1">SUMIFS(
  m.vb[valor],
  m.vb[nucleo],$B$1,
  m.vb[variavel],J$7,
  m.vb[mes],$A81
)</f>
        <v>0</v>
      </c>
      <c r="K81" s="111">
        <f ca="1">SUMIFS(
  m.vb[valor],
  m.vb[nucleo],$B$1,
  m.vb[variavel],K$7,
  m.vb[mes],$A81
)</f>
        <v>0</v>
      </c>
      <c r="L81" s="111">
        <f ca="1">SUMIFS(
  m.vb[valor],
  m.vb[nucleo],$B$1,
  m.vb[variavel],L$7,
  m.vb[mes],$A81
)</f>
        <v>0</v>
      </c>
      <c r="M81" s="111">
        <f ca="1">SUMIFS(
  m.vb[valor],
  m.vb[nucleo],$B$1,
  m.vb[variavel],M$7,
  m.vb[mes],$A81
)</f>
        <v>0</v>
      </c>
      <c r="N81" s="122">
        <f>COUNTIFS(
    tb_estq[empresa], N$6,
    tb_estq[Data da venda / reserva], "&gt;=" &amp; $A81,
    tb_estq[Data da venda / reserva], "&lt;"  &amp; EOMONTH($A81,0) + 1
)</f>
        <v>0</v>
      </c>
      <c r="O81" s="123">
        <f ca="1">SUMIFS(tb_rec_uni[2027-07-01],
INDIRECT("tb_rec_uni[natureza]"),"pro.soluto",
INDIRECT("tb_rec_uni[empresa]"),O$6)</f>
        <v>0</v>
      </c>
      <c r="P81" s="123">
        <f ca="1">SUMIFS(tb_rec_uni[2027-07-01],
INDIRECT("tb_rec_uni[natureza]"),"repasse.cef.obra",
INDIRECT("tb_rec_uni[empresa]"),P$6)</f>
        <v>0</v>
      </c>
      <c r="Q81" s="123">
        <f ca="1">SUMIFS(tb_rec_uni[2027-07-01],
INDIRECT("tb_rec_uni[natureza]"),"repasse.cef.terreno",
INDIRECT("tb_rec_uni[empresa]"),Q$6)</f>
        <v>0</v>
      </c>
      <c r="R81" s="127"/>
      <c r="S81" s="123">
        <f ca="1">SUMIFS(tb_rec_uni[2027-07-01],
INDIRECT("tb_rec_uni[natureza]"),"taxa.extra",
INDIRECT("tb_rec_uni[empresa]"),S$6)</f>
        <v>0</v>
      </c>
      <c r="T81" s="111"/>
      <c r="U81" s="111">
        <f ca="1">SUMIFS(
  m.vb[valor],
  m.vb[nucleo],$N$1,
  m.vb[variavel],U$7,
  m.vb[mes],$A81
)</f>
        <v>0</v>
      </c>
      <c r="V81" s="111">
        <f ca="1">SUMIFS(
  m.vb[valor],
  m.vb[nucleo],$N$1,
  m.vb[variavel],V$7,
  m.vb[mes],$A81
)</f>
        <v>0</v>
      </c>
      <c r="W81" s="111">
        <f ca="1">SUMIFS(
  m.vb[valor],
  m.vb[nucleo],$N$1,
  m.vb[variavel],W$7,
  m.vb[mes],$A81
)</f>
        <v>0</v>
      </c>
      <c r="X81" s="111">
        <f ca="1">SUMIFS(
  m.vb[valor],
  m.vb[nucleo],$N$1,
  m.vb[variavel],X$7,
  m.vb[mes],$A81
)</f>
        <v>0</v>
      </c>
      <c r="Y81" s="111">
        <f ca="1">SUMIFS(
  m.vb[valor],
  m.vb[nucleo],$N$1,
  m.vb[variavel],Y$7,
  m.vb[mes],$A81
)</f>
        <v>0</v>
      </c>
      <c r="Z81" s="122">
        <f>COUNTIFS(
    tb_estq[empresa], Z$6,
    tb_estq[Data da venda / reserva], "&gt;=" &amp; $A81,
    tb_estq[Data da venda / reserva], "&lt;"  &amp; EOMONTH($A81,0) + 1
)</f>
        <v>0</v>
      </c>
      <c r="AA81" s="123">
        <f ca="1">SUMIFS(tb_rec_uni[2027-07-01],
INDIRECT("tb_rec_uni[natureza]"),"pro.soluto",
INDIRECT("tb_rec_uni[empresa]"),AA$6)</f>
        <v>0</v>
      </c>
      <c r="AB81" s="127">
        <f ca="1">SUMIFS(tb_rec_uni[2027-07-01],
INDIRECT("tb_rec_uni[natureza]"),"parcela.fin.total.ik",
INDIRECT("tb_rec_uni[empresa]"),AB$6)</f>
        <v>0</v>
      </c>
      <c r="AC81" s="123">
        <f ca="1">SUMIFS(tb_rec_uni[2027-07-01],
INDIRECT("tb_rec_uni[natureza]"),"taxa.extra",
INDIRECT("tb_rec_uni[empresa]"),AC$6)</f>
        <v>0</v>
      </c>
      <c r="AD81" s="111"/>
      <c r="AE81" s="111">
        <f ca="1">SUMIFS(
  m.vb[valor],
  m.vb[nucleo],$Z$1,
  m.vb[variavel],AE$7,
  m.vb[mes],$A81
)</f>
        <v>0</v>
      </c>
      <c r="AF81" s="111">
        <f ca="1">SUMIFS(
  m.vb[valor],
  m.vb[nucleo],$Z$1,
  m.vb[variavel],AF$7,
  m.vb[mes],$A81
)</f>
        <v>0</v>
      </c>
      <c r="AG81" s="111">
        <f ca="1">SUMIFS(
  m.vb[valor],
  m.vb[nucleo],$Z$1,
  m.vb[variavel],AG$7,
  m.vb[mes],$A81
)</f>
        <v>0</v>
      </c>
      <c r="AH81" s="111">
        <f ca="1">SUMIFS(
  m.vb[valor],
  m.vb[nucleo],$Z$1,
  m.vb[variavel],AH$7,
  m.vb[mes],$A81
)</f>
        <v>0</v>
      </c>
      <c r="AI81" s="111">
        <f ca="1">SUMIFS(
  m.vb[valor],
  m.vb[nucleo],$Z$1,
  m.vb[variavel],AI$7,
  m.vb[mes],$A81
)</f>
        <v>0</v>
      </c>
      <c r="AJ81" s="122">
        <f>COUNTIFS(
    tb_estq[empresa], AJ$6,
    tb_estq[Data da venda / reserva], "&gt;=" &amp; $A81,
    tb_estq[Data da venda / reserva], "&lt;"  &amp; EOMONTH($A81,0) + 1
)</f>
        <v>0</v>
      </c>
      <c r="AK81" s="123">
        <f ca="1">SUMIFS(tb_rec_uni[2027-07-01],
INDIRECT("tb_rec_uni[natureza]"),"pro.soluto",
INDIRECT("tb_rec_uni[empresa]"),AK$6)</f>
        <v>0</v>
      </c>
      <c r="AL81" s="123">
        <f ca="1">SUMIFS(tb_rec_uni[2027-07-01],
INDIRECT("tb_rec_uni[natureza]"),"repasse.cef.obra",
INDIRECT("tb_rec_uni[empresa]"),AL$6)</f>
        <v>0</v>
      </c>
      <c r="AM81" s="126">
        <f ca="1">SUMIFS(tb_rec_uni[2027-07-01],
INDIRECT("tb_rec_uni[natureza]"),"repasse.cef.terreno",
INDIRECT("tb_rec_uni[empresa]"),AM$6)</f>
        <v>0</v>
      </c>
      <c r="AN81" s="127"/>
      <c r="AO81" s="123">
        <f ca="1">SUMIFS(tb_rec_uni[2027-07-01],
INDIRECT("tb_rec_uni[natureza]"),"taxa.extra",
INDIRECT("tb_rec_uni[empresa]"),AO$6)</f>
        <v>0</v>
      </c>
      <c r="AP81" s="111"/>
      <c r="AQ81" s="111">
        <f ca="1">SUMIFS(
  m.vb[valor],
  m.vb[nucleo],$AJ$1,
  m.vb[variavel],AQ$7,
  m.vb[mes],$A81
)</f>
        <v>0</v>
      </c>
      <c r="AR81" s="111">
        <f ca="1">SUMIFS(
  m.vb[valor],
  m.vb[nucleo],$AJ$1,
  m.vb[variavel],AR$7,
  m.vb[mes],$A81
)</f>
        <v>0</v>
      </c>
      <c r="AS81" s="111">
        <f ca="1">SUMIFS(
  m.vb[valor],
  m.vb[nucleo],$AJ$1,
  m.vb[variavel],AS$7,
  m.vb[mes],$A81
)</f>
        <v>0</v>
      </c>
      <c r="AT81" s="111">
        <f ca="1">SUMIFS(
  m.vb[valor],
  m.vb[nucleo],$AJ$1,
  m.vb[variavel],AT$7,
  m.vb[mes],$A81
)</f>
        <v>0</v>
      </c>
      <c r="AU81" s="111">
        <f ca="1">SUMIFS(
  m.vb[valor],
  m.vb[nucleo],$AJ$1,
  m.vb[variavel],AU$7,
  m.vb[mes],$A81
)</f>
        <v>0</v>
      </c>
      <c r="AV81" s="122">
        <f>COUNTIFS(
    tb_estq[empresa], AV$6,
    tb_estq[Data da venda / reserva], "&gt;=" &amp; $A81,
    tb_estq[Data da venda / reserva], "&lt;"  &amp; EOMONTH($A81,0) + 1
)</f>
        <v>0</v>
      </c>
      <c r="AW81" s="123">
        <f ca="1">SUMIFS(tb_rec_uni[2027-07-01],
INDIRECT("tb_rec_uni[natureza]"),"pro.soluto",
INDIRECT("tb_rec_uni[empresa]"),AW$6)</f>
        <v>0</v>
      </c>
      <c r="AX81" s="123">
        <f ca="1">SUMIFS(tb_rec_uni[2027-07-01],
INDIRECT("tb_rec_uni[natureza]"),"repasse.cef.obra",
INDIRECT("tb_rec_uni[empresa]"),AX$6)</f>
        <v>0</v>
      </c>
      <c r="AY81" s="126">
        <f ca="1">SUMIFS(tb_rec_uni[2027-07-01],
INDIRECT("tb_rec_uni[natureza]"),"repasse.cef.terreno",
INDIRECT("tb_rec_uni[empresa]"),AY$6)</f>
        <v>0</v>
      </c>
      <c r="AZ81" s="127"/>
      <c r="BA81" s="123">
        <f ca="1">SUMIFS(tb_rec_uni[2027-07-01],
INDIRECT("tb_rec_uni[natureza]"),"taxa.extra",
INDIRECT("tb_rec_uni[empresa]"),BA$6)</f>
        <v>0</v>
      </c>
      <c r="BB81" s="111"/>
      <c r="BC81" s="111">
        <f ca="1">SUMIFS(
  m.vb[valor],
  m.vb[nucleo],$AV$1,
  m.vb[variavel],BC$7,
  m.vb[mes],$A81
)</f>
        <v>0</v>
      </c>
      <c r="BD81" s="111">
        <f ca="1">SUMIFS(
  m.vb[valor],
  m.vb[nucleo],$AV$1,
  m.vb[variavel],BD$7,
  m.vb[mes],$A81
)</f>
        <v>0</v>
      </c>
      <c r="BE81" s="111">
        <f ca="1">SUMIFS(
  m.vb[valor],
  m.vb[nucleo],$AV$1,
  m.vb[variavel],BE$7,
  m.vb[mes],$A81
)</f>
        <v>0</v>
      </c>
      <c r="BF81" s="111">
        <f ca="1">SUMIFS(
  m.vb[valor],
  m.vb[nucleo],$AV$1,
  m.vb[variavel],BF$7,
  m.vb[mes],$A81
)</f>
        <v>0</v>
      </c>
      <c r="BG81" s="111">
        <f ca="1">SUMIFS(
  m.vb[valor],
  m.vb[nucleo],$AV$1,
  m.vb[variavel],BG$7,
  m.vb[mes],$A81
)</f>
        <v>0</v>
      </c>
      <c r="BH81" s="122">
        <f>COUNTIFS(
    tb_estq[empresa], BH$6,
    tb_estq[Data da venda / reserva], "&gt;=" &amp; $A81,
    tb_estq[Data da venda / reserva], "&lt;"  &amp; EOMONTH($A81,0) + 1
)</f>
        <v>0</v>
      </c>
      <c r="BI81" s="123">
        <f ca="1">SUMIFS(tb_rec_uni[2027-07-01],
INDIRECT("tb_rec_uni[natureza]"),"pro.soluto",
INDIRECT("tb_rec_uni[empresa]"),BI$6)</f>
        <v>0</v>
      </c>
      <c r="BJ81" s="127"/>
      <c r="BK81" s="123">
        <f ca="1">SUMIFS(tb_rec_uni[2027-07-01],
INDIRECT("tb_rec_uni[natureza]"),"taxa.extra",
INDIRECT("tb_rec_uni[empresa]"),BK$6)</f>
        <v>0</v>
      </c>
      <c r="BL81" s="111"/>
      <c r="BM81" s="111">
        <f ca="1">SUMIFS(
  m.vb[valor],
  m.vb[nucleo],$BH$1,
  m.vb[variavel],BM$7,
  m.vb[mes],$A81
)</f>
        <v>0</v>
      </c>
      <c r="BN81" s="111">
        <f ca="1">SUMIFS(
  m.vb[valor],
  m.vb[nucleo],$BH$1,
  m.vb[variavel],BN$7,
  m.vb[mes],$A81
)</f>
        <v>0</v>
      </c>
      <c r="BO81" s="111">
        <f ca="1">SUMIFS(
  m.vb[valor],
  m.vb[nucleo],$BH$1,
  m.vb[variavel],BO$7,
  m.vb[mes],$A81
)</f>
        <v>0</v>
      </c>
      <c r="BP81" s="111">
        <f ca="1">SUMIFS(
  m.vb[valor],
  m.vb[nucleo],$BH$1,
  m.vb[variavel],BP$7,
  m.vb[mes],$A81
)</f>
        <v>0</v>
      </c>
      <c r="BQ81" s="111">
        <f ca="1">SUMIFS(
  m.vb[valor],
  m.vb[nucleo],$BH$1,
  m.vb[variavel],BQ$7,
  m.vb[mes],$A81
)</f>
        <v>0</v>
      </c>
      <c r="BR81" s="122">
        <f>COUNTIFS(
    tb_estq[empresa], BR$6,
    tb_estq[Data da venda / reserva], "&gt;=" &amp; $A81,
    tb_estq[Data da venda / reserva], "&lt;"  &amp; EOMONTH($A81,0) + 1
)</f>
        <v>0</v>
      </c>
      <c r="BS81" s="123">
        <f ca="1">SUMIFS(tb_rec_uni[2027-07-01],
INDIRECT("tb_rec_uni[natureza]"),"pro.soluto",
INDIRECT("tb_rec_uni[empresa]"),BS$6)</f>
        <v>0</v>
      </c>
      <c r="BT81" s="127">
        <f ca="1">SUMIFS(tb_rec_uni[2027-07-01],
INDIRECT("tb_rec_uni[natureza]"),"parcela.fin.total.ik",
INDIRECT("tb_rec_uni[empresa]"),BT$6)</f>
        <v>0</v>
      </c>
      <c r="BU81" s="123">
        <f ca="1">SUMIFS(tb_rec_uni[2027-07-01],
INDIRECT("tb_rec_uni[natureza]"),"taxa.extra",
INDIRECT("tb_rec_uni[empresa]"),BU$6)</f>
        <v>0</v>
      </c>
      <c r="BV81" s="111"/>
      <c r="BW81" s="111">
        <f ca="1">SUMIFS(
  m.vb[valor],
  m.vb[nucleo],$BR$1,
  m.vb[variavel],BW$7,
  m.vb[mes],$A81
)</f>
        <v>0</v>
      </c>
      <c r="BX81" s="111">
        <f ca="1">SUMIFS(
  m.vb[valor],
  m.vb[nucleo],$BR$1,
  m.vb[variavel],BX$7,
  m.vb[mes],$A81
)</f>
        <v>0</v>
      </c>
      <c r="BY81" s="111">
        <f ca="1">SUMIFS(
  m.vb[valor],
  m.vb[nucleo],$BR$1,
  m.vb[variavel],BY$7,
  m.vb[mes],$A81
)</f>
        <v>0</v>
      </c>
      <c r="BZ81" s="111">
        <f ca="1">SUMIFS(
  m.vb[valor],
  m.vb[nucleo],$BR$1,
  m.vb[variavel],BZ$7,
  m.vb[mes],$A81
)</f>
        <v>0</v>
      </c>
      <c r="CA81" s="111">
        <f ca="1">SUMIFS(
  m.vb[valor],
  m.vb[nucleo],$BR$1,
  m.vb[variavel],CA$7,
  m.vb[mes],$A81
)</f>
        <v>0</v>
      </c>
      <c r="CB81" s="122">
        <f>COUNTIFS(
    tb_estq[empresa], CB$6,
    tb_estq[Data da venda / reserva], "&gt;=" &amp; $A81,
    tb_estq[Data da venda / reserva], "&lt;"  &amp; EOMONTH($A81,0) + 1
)</f>
        <v>0</v>
      </c>
      <c r="CC81" s="123">
        <f ca="1">SUMIFS(tb_rec_uni[2027-07-01],
INDIRECT("tb_rec_uni[natureza]"),"pro.soluto",
INDIRECT("tb_rec_uni[empresa]"),CC$6)</f>
        <v>0</v>
      </c>
      <c r="CD81" s="123">
        <f ca="1">SUMIFS(tb_rec_uni[2027-07-01],
INDIRECT("tb_rec_uni[natureza]"),"repasse.cef.obra",
INDIRECT("tb_rec_uni[empresa]"),CD$6)</f>
        <v>0</v>
      </c>
      <c r="CE81" s="126">
        <f ca="1">SUMIFS(tb_rec_uni[2027-07-01],
INDIRECT("tb_rec_uni[natureza]"),"repasse.cef.terreno",
INDIRECT("tb_rec_uni[empresa]"),CE$6)</f>
        <v>0</v>
      </c>
      <c r="CF81" s="127"/>
      <c r="CG81" s="123">
        <f ca="1">SUMIFS(tb_rec_uni[2027-07-01],
INDIRECT("tb_rec_uni[natureza]"),"taxa.extra",
INDIRECT("tb_rec_uni[empresa]"),CG$6)</f>
        <v>0</v>
      </c>
      <c r="CH81" s="111"/>
      <c r="CI81" s="111">
        <f ca="1">SUMIFS(
  m.vb[valor],
  m.vb[nucleo],$CB$1,
  m.vb[variavel],CI$7,
  m.vb[mes],$A81
)</f>
        <v>0</v>
      </c>
      <c r="CJ81" s="111">
        <f ca="1">SUMIFS(
  m.vb[valor],
  m.vb[nucleo],$CB$1,
  m.vb[variavel],CJ$7,
  m.vb[mes],$A81
)</f>
        <v>0</v>
      </c>
      <c r="CK81" s="111">
        <f ca="1">SUMIFS(
  m.vb[valor],
  m.vb[nucleo],$CB$1,
  m.vb[variavel],CK$7,
  m.vb[mes],$A81
)</f>
        <v>0</v>
      </c>
      <c r="CL81" s="111">
        <f ca="1">SUMIFS(
  m.vb[valor],
  m.vb[nucleo],$CB$1,
  m.vb[variavel],CL$7,
  m.vb[mes],$A81
)</f>
        <v>0</v>
      </c>
      <c r="CM81" s="111">
        <f ca="1">SUMIFS(
  m.vb[valor],
  m.vb[nucleo],$CB$1,
  m.vb[variavel],CM$7,
  m.vb[mes],$A81
)</f>
        <v>0</v>
      </c>
      <c r="CN81" s="122">
        <f>COUNTIFS(
    tb_estq[empresa], CN$6,
    tb_estq[Data da venda / reserva], "&gt;=" &amp; $A81,
    tb_estq[Data da venda / reserva], "&lt;"  &amp; EOMONTH($A81,0) + 1
)</f>
        <v>0</v>
      </c>
      <c r="CO81" s="123">
        <f ca="1">SUMIFS(tb_rec_uni[2027-07-01],
INDIRECT("tb_rec_uni[natureza]"),"pro.soluto",
INDIRECT("tb_rec_uni[empresa]"),CO$6)</f>
        <v>0</v>
      </c>
      <c r="CP81" s="123">
        <f ca="1">SUMIFS(tb_rec_uni[2027-07-01],
INDIRECT("tb_rec_uni[natureza]"),"repasse.cef.obra",
INDIRECT("tb_rec_uni[empresa]"),CP$6)</f>
        <v>0</v>
      </c>
      <c r="CQ81" s="126">
        <f ca="1">SUMIFS(tb_rec_uni[2027-07-01],
INDIRECT("tb_rec_uni[natureza]"),"repasse.cef.terreno",
INDIRECT("tb_rec_uni[empresa]"),CQ$6)</f>
        <v>0</v>
      </c>
      <c r="CR81" s="127"/>
      <c r="CS81" s="123">
        <f ca="1">SUMIFS(tb_rec_uni[2027-07-01],
INDIRECT("tb_rec_uni[natureza]"),"taxa.extra",
INDIRECT("tb_rec_uni[empresa]"),CS$6)</f>
        <v>0</v>
      </c>
      <c r="CT81" s="111"/>
      <c r="CU81" s="111">
        <f ca="1">SUMIFS(
  m.vb[valor],
  m.vb[nucleo],$CN$1,
  m.vb[variavel],CU$7,
  m.vb[mes],$A81
)</f>
        <v>0</v>
      </c>
      <c r="CV81" s="111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11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11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4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21">
        <v>46600</v>
      </c>
      <c r="B82" s="122">
        <f>COUNTIFS(
    tb_estq[empresa], B$6,
    tb_estq[Data da venda / reserva], "&gt;=" &amp; $A82,
    tb_estq[Data da venda / reserva], "&lt;"  &amp; EOMONTH($A82,0) + 1
)</f>
        <v>0</v>
      </c>
      <c r="C82" s="123">
        <f ca="1">SUMIFS(tb_rec_uni[2027-08-01],
INDIRECT("tb_rec_uni[natureza]"),"pro.soluto",
INDIRECT("tb_rec_uni[empresa]"),C$6)</f>
        <v>0</v>
      </c>
      <c r="D82" s="123">
        <f ca="1">SUMIFS(tb_rec_uni[2027-08-01],
INDIRECT("tb_rec_uni[natureza]"),"repasse.cef.obra",
INDIRECT("tb_rec_uni[empresa]"),D$6)</f>
        <v>0</v>
      </c>
      <c r="E82" s="123">
        <f ca="1">SUMIFS(tb_rec_uni[2027-08-01],
INDIRECT("tb_rec_uni[natureza]"),"repasse.cef.terreno",
INDIRECT("tb_rec_uni[empresa]"),E$6)</f>
        <v>0</v>
      </c>
      <c r="F82" s="127"/>
      <c r="G82" s="123">
        <f ca="1">SUMIFS(tb_rec_uni[2027-08-01],
INDIRECT("tb_rec_uni[natureza]"),"taxa.extra",
INDIRECT("tb_rec_uni[empresa]"),G$6)</f>
        <v>0</v>
      </c>
      <c r="H82" s="111"/>
      <c r="I82" s="111">
        <f ca="1">SUMIFS(
  m.vb[valor],
  m.vb[nucleo],$B$1,
  m.vb[variavel],I$7,
  m.vb[mes],$A82
)</f>
        <v>0</v>
      </c>
      <c r="J82" s="111">
        <f ca="1">SUMIFS(
  m.vb[valor],
  m.vb[nucleo],$B$1,
  m.vb[variavel],J$7,
  m.vb[mes],$A82
)</f>
        <v>0</v>
      </c>
      <c r="K82" s="111">
        <f ca="1">SUMIFS(
  m.vb[valor],
  m.vb[nucleo],$B$1,
  m.vb[variavel],K$7,
  m.vb[mes],$A82
)</f>
        <v>0</v>
      </c>
      <c r="L82" s="111">
        <f ca="1">SUMIFS(
  m.vb[valor],
  m.vb[nucleo],$B$1,
  m.vb[variavel],L$7,
  m.vb[mes],$A82
)</f>
        <v>0</v>
      </c>
      <c r="M82" s="111">
        <f ca="1">SUMIFS(
  m.vb[valor],
  m.vb[nucleo],$B$1,
  m.vb[variavel],M$7,
  m.vb[mes],$A82
)</f>
        <v>0</v>
      </c>
      <c r="N82" s="122">
        <f>COUNTIFS(
    tb_estq[empresa], N$6,
    tb_estq[Data da venda / reserva], "&gt;=" &amp; $A82,
    tb_estq[Data da venda / reserva], "&lt;"  &amp; EOMONTH($A82,0) + 1
)</f>
        <v>0</v>
      </c>
      <c r="O82" s="123">
        <f ca="1">SUMIFS(tb_rec_uni[2027-08-01],
INDIRECT("tb_rec_uni[natureza]"),"pro.soluto",
INDIRECT("tb_rec_uni[empresa]"),O$6)</f>
        <v>0</v>
      </c>
      <c r="P82" s="123">
        <f ca="1">SUMIFS(tb_rec_uni[2027-08-01],
INDIRECT("tb_rec_uni[natureza]"),"repasse.cef.obra",
INDIRECT("tb_rec_uni[empresa]"),P$6)</f>
        <v>0</v>
      </c>
      <c r="Q82" s="123">
        <f ca="1">SUMIFS(tb_rec_uni[2027-08-01],
INDIRECT("tb_rec_uni[natureza]"),"repasse.cef.terreno",
INDIRECT("tb_rec_uni[empresa]"),Q$6)</f>
        <v>0</v>
      </c>
      <c r="R82" s="127"/>
      <c r="S82" s="123">
        <f ca="1">SUMIFS(tb_rec_uni[2027-08-01],
INDIRECT("tb_rec_uni[natureza]"),"taxa.extra",
INDIRECT("tb_rec_uni[empresa]"),S$6)</f>
        <v>0</v>
      </c>
      <c r="T82" s="111"/>
      <c r="U82" s="111">
        <f ca="1">SUMIFS(
  m.vb[valor],
  m.vb[nucleo],$N$1,
  m.vb[variavel],U$7,
  m.vb[mes],$A82
)</f>
        <v>0</v>
      </c>
      <c r="V82" s="111">
        <f ca="1">SUMIFS(
  m.vb[valor],
  m.vb[nucleo],$N$1,
  m.vb[variavel],V$7,
  m.vb[mes],$A82
)</f>
        <v>0</v>
      </c>
      <c r="W82" s="111">
        <f ca="1">SUMIFS(
  m.vb[valor],
  m.vb[nucleo],$N$1,
  m.vb[variavel],W$7,
  m.vb[mes],$A82
)</f>
        <v>0</v>
      </c>
      <c r="X82" s="111">
        <f ca="1">SUMIFS(
  m.vb[valor],
  m.vb[nucleo],$N$1,
  m.vb[variavel],X$7,
  m.vb[mes],$A82
)</f>
        <v>0</v>
      </c>
      <c r="Y82" s="111">
        <f ca="1">SUMIFS(
  m.vb[valor],
  m.vb[nucleo],$N$1,
  m.vb[variavel],Y$7,
  m.vb[mes],$A82
)</f>
        <v>0</v>
      </c>
      <c r="Z82" s="122">
        <f>COUNTIFS(
    tb_estq[empresa], Z$6,
    tb_estq[Data da venda / reserva], "&gt;=" &amp; $A82,
    tb_estq[Data da venda / reserva], "&lt;"  &amp; EOMONTH($A82,0) + 1
)</f>
        <v>0</v>
      </c>
      <c r="AA82" s="123">
        <f ca="1">SUMIFS(tb_rec_uni[2027-08-01],
INDIRECT("tb_rec_uni[natureza]"),"pro.soluto",
INDIRECT("tb_rec_uni[empresa]"),AA$6)</f>
        <v>0</v>
      </c>
      <c r="AB82" s="127">
        <f ca="1">SUMIFS(tb_rec_uni[2027-08-01],
INDIRECT("tb_rec_uni[natureza]"),"parcela.fin.total.ik",
INDIRECT("tb_rec_uni[empresa]"),AB$6)</f>
        <v>0</v>
      </c>
      <c r="AC82" s="123">
        <f ca="1">SUMIFS(tb_rec_uni[2027-08-01],
INDIRECT("tb_rec_uni[natureza]"),"taxa.extra",
INDIRECT("tb_rec_uni[empresa]"),AC$6)</f>
        <v>0</v>
      </c>
      <c r="AD82" s="111"/>
      <c r="AE82" s="111">
        <f ca="1">SUMIFS(
  m.vb[valor],
  m.vb[nucleo],$Z$1,
  m.vb[variavel],AE$7,
  m.vb[mes],$A82
)</f>
        <v>0</v>
      </c>
      <c r="AF82" s="111">
        <f ca="1">SUMIFS(
  m.vb[valor],
  m.vb[nucleo],$Z$1,
  m.vb[variavel],AF$7,
  m.vb[mes],$A82
)</f>
        <v>0</v>
      </c>
      <c r="AG82" s="111">
        <f ca="1">SUMIFS(
  m.vb[valor],
  m.vb[nucleo],$Z$1,
  m.vb[variavel],AG$7,
  m.vb[mes],$A82
)</f>
        <v>0</v>
      </c>
      <c r="AH82" s="111">
        <f ca="1">SUMIFS(
  m.vb[valor],
  m.vb[nucleo],$Z$1,
  m.vb[variavel],AH$7,
  m.vb[mes],$A82
)</f>
        <v>0</v>
      </c>
      <c r="AI82" s="111">
        <f ca="1">SUMIFS(
  m.vb[valor],
  m.vb[nucleo],$Z$1,
  m.vb[variavel],AI$7,
  m.vb[mes],$A82
)</f>
        <v>0</v>
      </c>
      <c r="AJ82" s="122">
        <f>COUNTIFS(
    tb_estq[empresa], AJ$6,
    tb_estq[Data da venda / reserva], "&gt;=" &amp; $A82,
    tb_estq[Data da venda / reserva], "&lt;"  &amp; EOMONTH($A82,0) + 1
)</f>
        <v>0</v>
      </c>
      <c r="AK82" s="123">
        <f ca="1">SUMIFS(tb_rec_uni[2027-08-01],
INDIRECT("tb_rec_uni[natureza]"),"pro.soluto",
INDIRECT("tb_rec_uni[empresa]"),AK$6)</f>
        <v>0</v>
      </c>
      <c r="AL82" s="123">
        <f ca="1">SUMIFS(tb_rec_uni[2027-08-01],
INDIRECT("tb_rec_uni[natureza]"),"repasse.cef.obra",
INDIRECT("tb_rec_uni[empresa]"),AL$6)</f>
        <v>0</v>
      </c>
      <c r="AM82" s="126">
        <f ca="1">SUMIFS(tb_rec_uni[2027-08-01],
INDIRECT("tb_rec_uni[natureza]"),"repasse.cef.terreno",
INDIRECT("tb_rec_uni[empresa]"),AM$6)</f>
        <v>0</v>
      </c>
      <c r="AN82" s="127"/>
      <c r="AO82" s="123">
        <f ca="1">SUMIFS(tb_rec_uni[2027-08-01],
INDIRECT("tb_rec_uni[natureza]"),"taxa.extra",
INDIRECT("tb_rec_uni[empresa]"),AO$6)</f>
        <v>0</v>
      </c>
      <c r="AP82" s="111"/>
      <c r="AQ82" s="111">
        <f ca="1">SUMIFS(
  m.vb[valor],
  m.vb[nucleo],$AJ$1,
  m.vb[variavel],AQ$7,
  m.vb[mes],$A82
)</f>
        <v>0</v>
      </c>
      <c r="AR82" s="111">
        <f ca="1">SUMIFS(
  m.vb[valor],
  m.vb[nucleo],$AJ$1,
  m.vb[variavel],AR$7,
  m.vb[mes],$A82
)</f>
        <v>0</v>
      </c>
      <c r="AS82" s="111">
        <f ca="1">SUMIFS(
  m.vb[valor],
  m.vb[nucleo],$AJ$1,
  m.vb[variavel],AS$7,
  m.vb[mes],$A82
)</f>
        <v>0</v>
      </c>
      <c r="AT82" s="111">
        <f ca="1">SUMIFS(
  m.vb[valor],
  m.vb[nucleo],$AJ$1,
  m.vb[variavel],AT$7,
  m.vb[mes],$A82
)</f>
        <v>0</v>
      </c>
      <c r="AU82" s="111">
        <f ca="1">SUMIFS(
  m.vb[valor],
  m.vb[nucleo],$AJ$1,
  m.vb[variavel],AU$7,
  m.vb[mes],$A82
)</f>
        <v>0</v>
      </c>
      <c r="AV82" s="122">
        <f>COUNTIFS(
    tb_estq[empresa], AV$6,
    tb_estq[Data da venda / reserva], "&gt;=" &amp; $A82,
    tb_estq[Data da venda / reserva], "&lt;"  &amp; EOMONTH($A82,0) + 1
)</f>
        <v>0</v>
      </c>
      <c r="AW82" s="123">
        <f ca="1">SUMIFS(tb_rec_uni[2027-08-01],
INDIRECT("tb_rec_uni[natureza]"),"pro.soluto",
INDIRECT("tb_rec_uni[empresa]"),AW$6)</f>
        <v>0</v>
      </c>
      <c r="AX82" s="123">
        <f ca="1">SUMIFS(tb_rec_uni[2027-08-01],
INDIRECT("tb_rec_uni[natureza]"),"repasse.cef.obra",
INDIRECT("tb_rec_uni[empresa]"),AX$6)</f>
        <v>0</v>
      </c>
      <c r="AY82" s="126">
        <f ca="1">SUMIFS(tb_rec_uni[2027-08-01],
INDIRECT("tb_rec_uni[natureza]"),"repasse.cef.terreno",
INDIRECT("tb_rec_uni[empresa]"),AY$6)</f>
        <v>0</v>
      </c>
      <c r="AZ82" s="127"/>
      <c r="BA82" s="123">
        <f ca="1">SUMIFS(tb_rec_uni[2027-08-01],
INDIRECT("tb_rec_uni[natureza]"),"taxa.extra",
INDIRECT("tb_rec_uni[empresa]"),BA$6)</f>
        <v>0</v>
      </c>
      <c r="BB82" s="111"/>
      <c r="BC82" s="111">
        <f ca="1">SUMIFS(
  m.vb[valor],
  m.vb[nucleo],$AV$1,
  m.vb[variavel],BC$7,
  m.vb[mes],$A82
)</f>
        <v>0</v>
      </c>
      <c r="BD82" s="111">
        <f ca="1">SUMIFS(
  m.vb[valor],
  m.vb[nucleo],$AV$1,
  m.vb[variavel],BD$7,
  m.vb[mes],$A82
)</f>
        <v>0</v>
      </c>
      <c r="BE82" s="111">
        <f ca="1">SUMIFS(
  m.vb[valor],
  m.vb[nucleo],$AV$1,
  m.vb[variavel],BE$7,
  m.vb[mes],$A82
)</f>
        <v>0</v>
      </c>
      <c r="BF82" s="111">
        <f ca="1">SUMIFS(
  m.vb[valor],
  m.vb[nucleo],$AV$1,
  m.vb[variavel],BF$7,
  m.vb[mes],$A82
)</f>
        <v>0</v>
      </c>
      <c r="BG82" s="111">
        <f ca="1">SUMIFS(
  m.vb[valor],
  m.vb[nucleo],$AV$1,
  m.vb[variavel],BG$7,
  m.vb[mes],$A82
)</f>
        <v>0</v>
      </c>
      <c r="BH82" s="122">
        <f>COUNTIFS(
    tb_estq[empresa], BH$6,
    tb_estq[Data da venda / reserva], "&gt;=" &amp; $A82,
    tb_estq[Data da venda / reserva], "&lt;"  &amp; EOMONTH($A82,0) + 1
)</f>
        <v>0</v>
      </c>
      <c r="BI82" s="123">
        <f ca="1">SUMIFS(tb_rec_uni[2027-08-01],
INDIRECT("tb_rec_uni[natureza]"),"pro.soluto",
INDIRECT("tb_rec_uni[empresa]"),BI$6)</f>
        <v>0</v>
      </c>
      <c r="BJ82" s="127"/>
      <c r="BK82" s="123">
        <f ca="1">SUMIFS(tb_rec_uni[2027-08-01],
INDIRECT("tb_rec_uni[natureza]"),"taxa.extra",
INDIRECT("tb_rec_uni[empresa]"),BK$6)</f>
        <v>0</v>
      </c>
      <c r="BL82" s="111"/>
      <c r="BM82" s="111">
        <f ca="1">SUMIFS(
  m.vb[valor],
  m.vb[nucleo],$BH$1,
  m.vb[variavel],BM$7,
  m.vb[mes],$A82
)</f>
        <v>0</v>
      </c>
      <c r="BN82" s="111">
        <f ca="1">SUMIFS(
  m.vb[valor],
  m.vb[nucleo],$BH$1,
  m.vb[variavel],BN$7,
  m.vb[mes],$A82
)</f>
        <v>0</v>
      </c>
      <c r="BO82" s="111">
        <f ca="1">SUMIFS(
  m.vb[valor],
  m.vb[nucleo],$BH$1,
  m.vb[variavel],BO$7,
  m.vb[mes],$A82
)</f>
        <v>0</v>
      </c>
      <c r="BP82" s="111">
        <f ca="1">SUMIFS(
  m.vb[valor],
  m.vb[nucleo],$BH$1,
  m.vb[variavel],BP$7,
  m.vb[mes],$A82
)</f>
        <v>0</v>
      </c>
      <c r="BQ82" s="111">
        <f ca="1">SUMIFS(
  m.vb[valor],
  m.vb[nucleo],$BH$1,
  m.vb[variavel],BQ$7,
  m.vb[mes],$A82
)</f>
        <v>0</v>
      </c>
      <c r="BR82" s="122">
        <f>COUNTIFS(
    tb_estq[empresa], BR$6,
    tb_estq[Data da venda / reserva], "&gt;=" &amp; $A82,
    tb_estq[Data da venda / reserva], "&lt;"  &amp; EOMONTH($A82,0) + 1
)</f>
        <v>0</v>
      </c>
      <c r="BS82" s="123">
        <f ca="1">SUMIFS(tb_rec_uni[2027-08-01],
INDIRECT("tb_rec_uni[natureza]"),"pro.soluto",
INDIRECT("tb_rec_uni[empresa]"),BS$6)</f>
        <v>0</v>
      </c>
      <c r="BT82" s="127">
        <f ca="1">SUMIFS(tb_rec_uni[2027-08-01],
INDIRECT("tb_rec_uni[natureza]"),"parcela.fin.total.ik",
INDIRECT("tb_rec_uni[empresa]"),BT$6)</f>
        <v>0</v>
      </c>
      <c r="BU82" s="123">
        <f ca="1">SUMIFS(tb_rec_uni[2027-08-01],
INDIRECT("tb_rec_uni[natureza]"),"taxa.extra",
INDIRECT("tb_rec_uni[empresa]"),BU$6)</f>
        <v>0</v>
      </c>
      <c r="BV82" s="111"/>
      <c r="BW82" s="111">
        <f ca="1">SUMIFS(
  m.vb[valor],
  m.vb[nucleo],$BR$1,
  m.vb[variavel],BW$7,
  m.vb[mes],$A82
)</f>
        <v>0</v>
      </c>
      <c r="BX82" s="111">
        <f ca="1">SUMIFS(
  m.vb[valor],
  m.vb[nucleo],$BR$1,
  m.vb[variavel],BX$7,
  m.vb[mes],$A82
)</f>
        <v>0</v>
      </c>
      <c r="BY82" s="111">
        <f ca="1">SUMIFS(
  m.vb[valor],
  m.vb[nucleo],$BR$1,
  m.vb[variavel],BY$7,
  m.vb[mes],$A82
)</f>
        <v>0</v>
      </c>
      <c r="BZ82" s="111">
        <f ca="1">SUMIFS(
  m.vb[valor],
  m.vb[nucleo],$BR$1,
  m.vb[variavel],BZ$7,
  m.vb[mes],$A82
)</f>
        <v>0</v>
      </c>
      <c r="CA82" s="111">
        <f ca="1">SUMIFS(
  m.vb[valor],
  m.vb[nucleo],$BR$1,
  m.vb[variavel],CA$7,
  m.vb[mes],$A82
)</f>
        <v>0</v>
      </c>
      <c r="CB82" s="122">
        <f>COUNTIFS(
    tb_estq[empresa], CB$6,
    tb_estq[Data da venda / reserva], "&gt;=" &amp; $A82,
    tb_estq[Data da venda / reserva], "&lt;"  &amp; EOMONTH($A82,0) + 1
)</f>
        <v>0</v>
      </c>
      <c r="CC82" s="123">
        <f ca="1">SUMIFS(tb_rec_uni[2027-08-01],
INDIRECT("tb_rec_uni[natureza]"),"pro.soluto",
INDIRECT("tb_rec_uni[empresa]"),CC$6)</f>
        <v>0</v>
      </c>
      <c r="CD82" s="123">
        <f ca="1">SUMIFS(tb_rec_uni[2027-08-01],
INDIRECT("tb_rec_uni[natureza]"),"repasse.cef.obra",
INDIRECT("tb_rec_uni[empresa]"),CD$6)</f>
        <v>0</v>
      </c>
      <c r="CE82" s="126">
        <f ca="1">SUMIFS(tb_rec_uni[2027-08-01],
INDIRECT("tb_rec_uni[natureza]"),"repasse.cef.terreno",
INDIRECT("tb_rec_uni[empresa]"),CE$6)</f>
        <v>0</v>
      </c>
      <c r="CF82" s="127"/>
      <c r="CG82" s="123">
        <f ca="1">SUMIFS(tb_rec_uni[2027-08-01],
INDIRECT("tb_rec_uni[natureza]"),"taxa.extra",
INDIRECT("tb_rec_uni[empresa]"),CG$6)</f>
        <v>0</v>
      </c>
      <c r="CH82" s="111"/>
      <c r="CI82" s="111">
        <f ca="1">SUMIFS(
  m.vb[valor],
  m.vb[nucleo],$CB$1,
  m.vb[variavel],CI$7,
  m.vb[mes],$A82
)</f>
        <v>0</v>
      </c>
      <c r="CJ82" s="111">
        <f ca="1">SUMIFS(
  m.vb[valor],
  m.vb[nucleo],$CB$1,
  m.vb[variavel],CJ$7,
  m.vb[mes],$A82
)</f>
        <v>0</v>
      </c>
      <c r="CK82" s="111">
        <f ca="1">SUMIFS(
  m.vb[valor],
  m.vb[nucleo],$CB$1,
  m.vb[variavel],CK$7,
  m.vb[mes],$A82
)</f>
        <v>0</v>
      </c>
      <c r="CL82" s="111">
        <f ca="1">SUMIFS(
  m.vb[valor],
  m.vb[nucleo],$CB$1,
  m.vb[variavel],CL$7,
  m.vb[mes],$A82
)</f>
        <v>0</v>
      </c>
      <c r="CM82" s="111">
        <f ca="1">SUMIFS(
  m.vb[valor],
  m.vb[nucleo],$CB$1,
  m.vb[variavel],CM$7,
  m.vb[mes],$A82
)</f>
        <v>0</v>
      </c>
      <c r="CN82" s="122">
        <f>COUNTIFS(
    tb_estq[empresa], CN$6,
    tb_estq[Data da venda / reserva], "&gt;=" &amp; $A82,
    tb_estq[Data da venda / reserva], "&lt;"  &amp; EOMONTH($A82,0) + 1
)</f>
        <v>0</v>
      </c>
      <c r="CO82" s="123">
        <f ca="1">SUMIFS(tb_rec_uni[2027-08-01],
INDIRECT("tb_rec_uni[natureza]"),"pro.soluto",
INDIRECT("tb_rec_uni[empresa]"),CO$6)</f>
        <v>0</v>
      </c>
      <c r="CP82" s="123">
        <f ca="1">SUMIFS(tb_rec_uni[2027-08-01],
INDIRECT("tb_rec_uni[natureza]"),"repasse.cef.obra",
INDIRECT("tb_rec_uni[empresa]"),CP$6)</f>
        <v>0</v>
      </c>
      <c r="CQ82" s="126">
        <f ca="1">SUMIFS(tb_rec_uni[2027-08-01],
INDIRECT("tb_rec_uni[natureza]"),"repasse.cef.terreno",
INDIRECT("tb_rec_uni[empresa]"),CQ$6)</f>
        <v>0</v>
      </c>
      <c r="CR82" s="127"/>
      <c r="CS82" s="123">
        <f ca="1">SUMIFS(tb_rec_uni[2027-08-01],
INDIRECT("tb_rec_uni[natureza]"),"taxa.extra",
INDIRECT("tb_rec_uni[empresa]"),CS$6)</f>
        <v>0</v>
      </c>
      <c r="CT82" s="111"/>
      <c r="CU82" s="111">
        <f ca="1">SUMIFS(
  m.vb[valor],
  m.vb[nucleo],$CN$1,
  m.vb[variavel],CU$7,
  m.vb[mes],$A82
)</f>
        <v>0</v>
      </c>
      <c r="CV82" s="111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11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11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4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21">
        <v>46631</v>
      </c>
      <c r="B83" s="122">
        <f>COUNTIFS(
    tb_estq[empresa], B$6,
    tb_estq[Data da venda / reserva], "&gt;=" &amp; $A83,
    tb_estq[Data da venda / reserva], "&lt;"  &amp; EOMONTH($A83,0) + 1
)</f>
        <v>0</v>
      </c>
      <c r="C83" s="123">
        <f ca="1">SUMIFS(tb_rec_uni[2027-09-01],
INDIRECT("tb_rec_uni[natureza]"),"pro.soluto",
INDIRECT("tb_rec_uni[empresa]"),C$6)</f>
        <v>0</v>
      </c>
      <c r="D83" s="123">
        <f ca="1">SUMIFS(tb_rec_uni[2027-09-01],
INDIRECT("tb_rec_uni[natureza]"),"repasse.cef.obra",
INDIRECT("tb_rec_uni[empresa]"),D$6)</f>
        <v>0</v>
      </c>
      <c r="E83" s="123">
        <f ca="1">SUMIFS(tb_rec_uni[2027-09-01],
INDIRECT("tb_rec_uni[natureza]"),"repasse.cef.terreno",
INDIRECT("tb_rec_uni[empresa]"),E$6)</f>
        <v>0</v>
      </c>
      <c r="F83" s="127"/>
      <c r="G83" s="123">
        <f ca="1">SUMIFS(tb_rec_uni[2027-09-01],
INDIRECT("tb_rec_uni[natureza]"),"taxa.extra",
INDIRECT("tb_rec_uni[empresa]"),G$6)</f>
        <v>0</v>
      </c>
      <c r="H83" s="111"/>
      <c r="I83" s="111">
        <f ca="1">SUMIFS(
  m.vb[valor],
  m.vb[nucleo],$B$1,
  m.vb[variavel],I$7,
  m.vb[mes],$A83
)</f>
        <v>0</v>
      </c>
      <c r="J83" s="111">
        <f ca="1">SUMIFS(
  m.vb[valor],
  m.vb[nucleo],$B$1,
  m.vb[variavel],J$7,
  m.vb[mes],$A83
)</f>
        <v>0</v>
      </c>
      <c r="K83" s="111">
        <f ca="1">SUMIFS(
  m.vb[valor],
  m.vb[nucleo],$B$1,
  m.vb[variavel],K$7,
  m.vb[mes],$A83
)</f>
        <v>0</v>
      </c>
      <c r="L83" s="111">
        <f ca="1">SUMIFS(
  m.vb[valor],
  m.vb[nucleo],$B$1,
  m.vb[variavel],L$7,
  m.vb[mes],$A83
)</f>
        <v>0</v>
      </c>
      <c r="M83" s="111">
        <f ca="1">SUMIFS(
  m.vb[valor],
  m.vb[nucleo],$B$1,
  m.vb[variavel],M$7,
  m.vb[mes],$A83
)</f>
        <v>0</v>
      </c>
      <c r="N83" s="122">
        <f>COUNTIFS(
    tb_estq[empresa], N$6,
    tb_estq[Data da venda / reserva], "&gt;=" &amp; $A83,
    tb_estq[Data da venda / reserva], "&lt;"  &amp; EOMONTH($A83,0) + 1
)</f>
        <v>0</v>
      </c>
      <c r="O83" s="123">
        <f ca="1">SUMIFS(tb_rec_uni[2027-09-01],
INDIRECT("tb_rec_uni[natureza]"),"pro.soluto",
INDIRECT("tb_rec_uni[empresa]"),O$6)</f>
        <v>0</v>
      </c>
      <c r="P83" s="123">
        <f ca="1">SUMIFS(tb_rec_uni[2027-09-01],
INDIRECT("tb_rec_uni[natureza]"),"repasse.cef.obra",
INDIRECT("tb_rec_uni[empresa]"),P$6)</f>
        <v>0</v>
      </c>
      <c r="Q83" s="123">
        <f ca="1">SUMIFS(tb_rec_uni[2027-09-01],
INDIRECT("tb_rec_uni[natureza]"),"repasse.cef.terreno",
INDIRECT("tb_rec_uni[empresa]"),Q$6)</f>
        <v>0</v>
      </c>
      <c r="R83" s="127"/>
      <c r="S83" s="123">
        <f ca="1">SUMIFS(tb_rec_uni[2027-09-01],
INDIRECT("tb_rec_uni[natureza]"),"taxa.extra",
INDIRECT("tb_rec_uni[empresa]"),S$6)</f>
        <v>0</v>
      </c>
      <c r="T83" s="111"/>
      <c r="U83" s="111">
        <f ca="1">SUMIFS(
  m.vb[valor],
  m.vb[nucleo],$N$1,
  m.vb[variavel],U$7,
  m.vb[mes],$A83
)</f>
        <v>0</v>
      </c>
      <c r="V83" s="111">
        <f ca="1">SUMIFS(
  m.vb[valor],
  m.vb[nucleo],$N$1,
  m.vb[variavel],V$7,
  m.vb[mes],$A83
)</f>
        <v>0</v>
      </c>
      <c r="W83" s="111">
        <f ca="1">SUMIFS(
  m.vb[valor],
  m.vb[nucleo],$N$1,
  m.vb[variavel],W$7,
  m.vb[mes],$A83
)</f>
        <v>0</v>
      </c>
      <c r="X83" s="111">
        <f ca="1">SUMIFS(
  m.vb[valor],
  m.vb[nucleo],$N$1,
  m.vb[variavel],X$7,
  m.vb[mes],$A83
)</f>
        <v>0</v>
      </c>
      <c r="Y83" s="111">
        <f ca="1">SUMIFS(
  m.vb[valor],
  m.vb[nucleo],$N$1,
  m.vb[variavel],Y$7,
  m.vb[mes],$A83
)</f>
        <v>0</v>
      </c>
      <c r="Z83" s="122">
        <f>COUNTIFS(
    tb_estq[empresa], Z$6,
    tb_estq[Data da venda / reserva], "&gt;=" &amp; $A83,
    tb_estq[Data da venda / reserva], "&lt;"  &amp; EOMONTH($A83,0) + 1
)</f>
        <v>0</v>
      </c>
      <c r="AA83" s="123">
        <f ca="1">SUMIFS(tb_rec_uni[2027-09-01],
INDIRECT("tb_rec_uni[natureza]"),"pro.soluto",
INDIRECT("tb_rec_uni[empresa]"),AA$6)</f>
        <v>0</v>
      </c>
      <c r="AB83" s="127">
        <f ca="1">SUMIFS(tb_rec_uni[2027-09-01],
INDIRECT("tb_rec_uni[natureza]"),"parcela.fin.total.ik",
INDIRECT("tb_rec_uni[empresa]"),AB$6)</f>
        <v>0</v>
      </c>
      <c r="AC83" s="123">
        <f ca="1">SUMIFS(tb_rec_uni[2027-09-01],
INDIRECT("tb_rec_uni[natureza]"),"taxa.extra",
INDIRECT("tb_rec_uni[empresa]"),AC$6)</f>
        <v>0</v>
      </c>
      <c r="AD83" s="111"/>
      <c r="AE83" s="111">
        <f ca="1">SUMIFS(
  m.vb[valor],
  m.vb[nucleo],$Z$1,
  m.vb[variavel],AE$7,
  m.vb[mes],$A83
)</f>
        <v>0</v>
      </c>
      <c r="AF83" s="111">
        <f ca="1">SUMIFS(
  m.vb[valor],
  m.vb[nucleo],$Z$1,
  m.vb[variavel],AF$7,
  m.vb[mes],$A83
)</f>
        <v>0</v>
      </c>
      <c r="AG83" s="111">
        <f ca="1">SUMIFS(
  m.vb[valor],
  m.vb[nucleo],$Z$1,
  m.vb[variavel],AG$7,
  m.vb[mes],$A83
)</f>
        <v>0</v>
      </c>
      <c r="AH83" s="111">
        <f ca="1">SUMIFS(
  m.vb[valor],
  m.vb[nucleo],$Z$1,
  m.vb[variavel],AH$7,
  m.vb[mes],$A83
)</f>
        <v>0</v>
      </c>
      <c r="AI83" s="111">
        <f ca="1">SUMIFS(
  m.vb[valor],
  m.vb[nucleo],$Z$1,
  m.vb[variavel],AI$7,
  m.vb[mes],$A83
)</f>
        <v>0</v>
      </c>
      <c r="AJ83" s="122">
        <f>COUNTIFS(
    tb_estq[empresa], AJ$6,
    tb_estq[Data da venda / reserva], "&gt;=" &amp; $A83,
    tb_estq[Data da venda / reserva], "&lt;"  &amp; EOMONTH($A83,0) + 1
)</f>
        <v>0</v>
      </c>
      <c r="AK83" s="123">
        <f ca="1">SUMIFS(tb_rec_uni[2027-09-01],
INDIRECT("tb_rec_uni[natureza]"),"pro.soluto",
INDIRECT("tb_rec_uni[empresa]"),AK$6)</f>
        <v>0</v>
      </c>
      <c r="AL83" s="123">
        <f ca="1">SUMIFS(tb_rec_uni[2027-09-01],
INDIRECT("tb_rec_uni[natureza]"),"repasse.cef.obra",
INDIRECT("tb_rec_uni[empresa]"),AL$6)</f>
        <v>0</v>
      </c>
      <c r="AM83" s="126">
        <f ca="1">SUMIFS(tb_rec_uni[2027-09-01],
INDIRECT("tb_rec_uni[natureza]"),"repasse.cef.terreno",
INDIRECT("tb_rec_uni[empresa]"),AM$6)</f>
        <v>0</v>
      </c>
      <c r="AN83" s="127"/>
      <c r="AO83" s="123">
        <f ca="1">SUMIFS(tb_rec_uni[2027-09-01],
INDIRECT("tb_rec_uni[natureza]"),"taxa.extra",
INDIRECT("tb_rec_uni[empresa]"),AO$6)</f>
        <v>0</v>
      </c>
      <c r="AP83" s="111"/>
      <c r="AQ83" s="111">
        <f ca="1">SUMIFS(
  m.vb[valor],
  m.vb[nucleo],$AJ$1,
  m.vb[variavel],AQ$7,
  m.vb[mes],$A83
)</f>
        <v>0</v>
      </c>
      <c r="AR83" s="111">
        <f ca="1">SUMIFS(
  m.vb[valor],
  m.vb[nucleo],$AJ$1,
  m.vb[variavel],AR$7,
  m.vb[mes],$A83
)</f>
        <v>0</v>
      </c>
      <c r="AS83" s="111">
        <f ca="1">SUMIFS(
  m.vb[valor],
  m.vb[nucleo],$AJ$1,
  m.vb[variavel],AS$7,
  m.vb[mes],$A83
)</f>
        <v>0</v>
      </c>
      <c r="AT83" s="111">
        <f ca="1">SUMIFS(
  m.vb[valor],
  m.vb[nucleo],$AJ$1,
  m.vb[variavel],AT$7,
  m.vb[mes],$A83
)</f>
        <v>0</v>
      </c>
      <c r="AU83" s="111">
        <f ca="1">SUMIFS(
  m.vb[valor],
  m.vb[nucleo],$AJ$1,
  m.vb[variavel],AU$7,
  m.vb[mes],$A83
)</f>
        <v>0</v>
      </c>
      <c r="AV83" s="122">
        <f>COUNTIFS(
    tb_estq[empresa], AV$6,
    tb_estq[Data da venda / reserva], "&gt;=" &amp; $A83,
    tb_estq[Data da venda / reserva], "&lt;"  &amp; EOMONTH($A83,0) + 1
)</f>
        <v>0</v>
      </c>
      <c r="AW83" s="123">
        <f ca="1">SUMIFS(tb_rec_uni[2027-09-01],
INDIRECT("tb_rec_uni[natureza]"),"pro.soluto",
INDIRECT("tb_rec_uni[empresa]"),AW$6)</f>
        <v>0</v>
      </c>
      <c r="AX83" s="123">
        <f ca="1">SUMIFS(tb_rec_uni[2027-09-01],
INDIRECT("tb_rec_uni[natureza]"),"repasse.cef.obra",
INDIRECT("tb_rec_uni[empresa]"),AX$6)</f>
        <v>0</v>
      </c>
      <c r="AY83" s="126">
        <f ca="1">SUMIFS(tb_rec_uni[2027-09-01],
INDIRECT("tb_rec_uni[natureza]"),"repasse.cef.terreno",
INDIRECT("tb_rec_uni[empresa]"),AY$6)</f>
        <v>0</v>
      </c>
      <c r="AZ83" s="127"/>
      <c r="BA83" s="123">
        <f ca="1">SUMIFS(tb_rec_uni[2027-09-01],
INDIRECT("tb_rec_uni[natureza]"),"taxa.extra",
INDIRECT("tb_rec_uni[empresa]"),BA$6)</f>
        <v>0</v>
      </c>
      <c r="BB83" s="111"/>
      <c r="BC83" s="111">
        <f ca="1">SUMIFS(
  m.vb[valor],
  m.vb[nucleo],$AV$1,
  m.vb[variavel],BC$7,
  m.vb[mes],$A83
)</f>
        <v>0</v>
      </c>
      <c r="BD83" s="111">
        <f ca="1">SUMIFS(
  m.vb[valor],
  m.vb[nucleo],$AV$1,
  m.vb[variavel],BD$7,
  m.vb[mes],$A83
)</f>
        <v>0</v>
      </c>
      <c r="BE83" s="111">
        <f ca="1">SUMIFS(
  m.vb[valor],
  m.vb[nucleo],$AV$1,
  m.vb[variavel],BE$7,
  m.vb[mes],$A83
)</f>
        <v>0</v>
      </c>
      <c r="BF83" s="111">
        <f ca="1">SUMIFS(
  m.vb[valor],
  m.vb[nucleo],$AV$1,
  m.vb[variavel],BF$7,
  m.vb[mes],$A83
)</f>
        <v>0</v>
      </c>
      <c r="BG83" s="111">
        <f ca="1">SUMIFS(
  m.vb[valor],
  m.vb[nucleo],$AV$1,
  m.vb[variavel],BG$7,
  m.vb[mes],$A83
)</f>
        <v>0</v>
      </c>
      <c r="BH83" s="122">
        <f>COUNTIFS(
    tb_estq[empresa], BH$6,
    tb_estq[Data da venda / reserva], "&gt;=" &amp; $A83,
    tb_estq[Data da venda / reserva], "&lt;"  &amp; EOMONTH($A83,0) + 1
)</f>
        <v>0</v>
      </c>
      <c r="BI83" s="123">
        <f ca="1">SUMIFS(tb_rec_uni[2027-09-01],
INDIRECT("tb_rec_uni[natureza]"),"pro.soluto",
INDIRECT("tb_rec_uni[empresa]"),BI$6)</f>
        <v>0</v>
      </c>
      <c r="BJ83" s="127"/>
      <c r="BK83" s="123">
        <f ca="1">SUMIFS(tb_rec_uni[2027-09-01],
INDIRECT("tb_rec_uni[natureza]"),"taxa.extra",
INDIRECT("tb_rec_uni[empresa]"),BK$6)</f>
        <v>0</v>
      </c>
      <c r="BL83" s="111"/>
      <c r="BM83" s="111">
        <f ca="1">SUMIFS(
  m.vb[valor],
  m.vb[nucleo],$BH$1,
  m.vb[variavel],BM$7,
  m.vb[mes],$A83
)</f>
        <v>0</v>
      </c>
      <c r="BN83" s="111">
        <f ca="1">SUMIFS(
  m.vb[valor],
  m.vb[nucleo],$BH$1,
  m.vb[variavel],BN$7,
  m.vb[mes],$A83
)</f>
        <v>0</v>
      </c>
      <c r="BO83" s="111">
        <f ca="1">SUMIFS(
  m.vb[valor],
  m.vb[nucleo],$BH$1,
  m.vb[variavel],BO$7,
  m.vb[mes],$A83
)</f>
        <v>0</v>
      </c>
      <c r="BP83" s="111">
        <f ca="1">SUMIFS(
  m.vb[valor],
  m.vb[nucleo],$BH$1,
  m.vb[variavel],BP$7,
  m.vb[mes],$A83
)</f>
        <v>0</v>
      </c>
      <c r="BQ83" s="111">
        <f ca="1">SUMIFS(
  m.vb[valor],
  m.vb[nucleo],$BH$1,
  m.vb[variavel],BQ$7,
  m.vb[mes],$A83
)</f>
        <v>0</v>
      </c>
      <c r="BR83" s="122">
        <f>COUNTIFS(
    tb_estq[empresa], BR$6,
    tb_estq[Data da venda / reserva], "&gt;=" &amp; $A83,
    tb_estq[Data da venda / reserva], "&lt;"  &amp; EOMONTH($A83,0) + 1
)</f>
        <v>0</v>
      </c>
      <c r="BS83" s="123">
        <f ca="1">SUMIFS(tb_rec_uni[2027-09-01],
INDIRECT("tb_rec_uni[natureza]"),"pro.soluto",
INDIRECT("tb_rec_uni[empresa]"),BS$6)</f>
        <v>0</v>
      </c>
      <c r="BT83" s="127">
        <f ca="1">SUMIFS(tb_rec_uni[2027-09-01],
INDIRECT("tb_rec_uni[natureza]"),"parcela.fin.total.ik",
INDIRECT("tb_rec_uni[empresa]"),BT$6)</f>
        <v>0</v>
      </c>
      <c r="BU83" s="123">
        <f ca="1">SUMIFS(tb_rec_uni[2027-09-01],
INDIRECT("tb_rec_uni[natureza]"),"taxa.extra",
INDIRECT("tb_rec_uni[empresa]"),BU$6)</f>
        <v>0</v>
      </c>
      <c r="BV83" s="111"/>
      <c r="BW83" s="111">
        <f ca="1">SUMIFS(
  m.vb[valor],
  m.vb[nucleo],$BR$1,
  m.vb[variavel],BW$7,
  m.vb[mes],$A83
)</f>
        <v>0</v>
      </c>
      <c r="BX83" s="111">
        <f ca="1">SUMIFS(
  m.vb[valor],
  m.vb[nucleo],$BR$1,
  m.vb[variavel],BX$7,
  m.vb[mes],$A83
)</f>
        <v>0</v>
      </c>
      <c r="BY83" s="111">
        <f ca="1">SUMIFS(
  m.vb[valor],
  m.vb[nucleo],$BR$1,
  m.vb[variavel],BY$7,
  m.vb[mes],$A83
)</f>
        <v>0</v>
      </c>
      <c r="BZ83" s="111">
        <f ca="1">SUMIFS(
  m.vb[valor],
  m.vb[nucleo],$BR$1,
  m.vb[variavel],BZ$7,
  m.vb[mes],$A83
)</f>
        <v>0</v>
      </c>
      <c r="CA83" s="111">
        <f ca="1">SUMIFS(
  m.vb[valor],
  m.vb[nucleo],$BR$1,
  m.vb[variavel],CA$7,
  m.vb[mes],$A83
)</f>
        <v>0</v>
      </c>
      <c r="CB83" s="122">
        <f>COUNTIFS(
    tb_estq[empresa], CB$6,
    tb_estq[Data da venda / reserva], "&gt;=" &amp; $A83,
    tb_estq[Data da venda / reserva], "&lt;"  &amp; EOMONTH($A83,0) + 1
)</f>
        <v>0</v>
      </c>
      <c r="CC83" s="123">
        <f ca="1">SUMIFS(tb_rec_uni[2027-09-01],
INDIRECT("tb_rec_uni[natureza]"),"pro.soluto",
INDIRECT("tb_rec_uni[empresa]"),CC$6)</f>
        <v>0</v>
      </c>
      <c r="CD83" s="123">
        <f ca="1">SUMIFS(tb_rec_uni[2027-09-01],
INDIRECT("tb_rec_uni[natureza]"),"repasse.cef.obra",
INDIRECT("tb_rec_uni[empresa]"),CD$6)</f>
        <v>0</v>
      </c>
      <c r="CE83" s="126">
        <f ca="1">SUMIFS(tb_rec_uni[2027-09-01],
INDIRECT("tb_rec_uni[natureza]"),"repasse.cef.terreno",
INDIRECT("tb_rec_uni[empresa]"),CE$6)</f>
        <v>0</v>
      </c>
      <c r="CF83" s="127"/>
      <c r="CG83" s="123">
        <f ca="1">SUMIFS(tb_rec_uni[2027-09-01],
INDIRECT("tb_rec_uni[natureza]"),"taxa.extra",
INDIRECT("tb_rec_uni[empresa]"),CG$6)</f>
        <v>0</v>
      </c>
      <c r="CH83" s="111"/>
      <c r="CI83" s="111">
        <f ca="1">SUMIFS(
  m.vb[valor],
  m.vb[nucleo],$CB$1,
  m.vb[variavel],CI$7,
  m.vb[mes],$A83
)</f>
        <v>0</v>
      </c>
      <c r="CJ83" s="111">
        <f ca="1">SUMIFS(
  m.vb[valor],
  m.vb[nucleo],$CB$1,
  m.vb[variavel],CJ$7,
  m.vb[mes],$A83
)</f>
        <v>0</v>
      </c>
      <c r="CK83" s="111">
        <f ca="1">SUMIFS(
  m.vb[valor],
  m.vb[nucleo],$CB$1,
  m.vb[variavel],CK$7,
  m.vb[mes],$A83
)</f>
        <v>0</v>
      </c>
      <c r="CL83" s="111">
        <f ca="1">SUMIFS(
  m.vb[valor],
  m.vb[nucleo],$CB$1,
  m.vb[variavel],CL$7,
  m.vb[mes],$A83
)</f>
        <v>0</v>
      </c>
      <c r="CM83" s="111">
        <f ca="1">SUMIFS(
  m.vb[valor],
  m.vb[nucleo],$CB$1,
  m.vb[variavel],CM$7,
  m.vb[mes],$A83
)</f>
        <v>0</v>
      </c>
      <c r="CN83" s="122">
        <f>COUNTIFS(
    tb_estq[empresa], CN$6,
    tb_estq[Data da venda / reserva], "&gt;=" &amp; $A83,
    tb_estq[Data da venda / reserva], "&lt;"  &amp; EOMONTH($A83,0) + 1
)</f>
        <v>0</v>
      </c>
      <c r="CO83" s="123">
        <f ca="1">SUMIFS(tb_rec_uni[2027-09-01],
INDIRECT("tb_rec_uni[natureza]"),"pro.soluto",
INDIRECT("tb_rec_uni[empresa]"),CO$6)</f>
        <v>0</v>
      </c>
      <c r="CP83" s="123">
        <f ca="1">SUMIFS(tb_rec_uni[2027-09-01],
INDIRECT("tb_rec_uni[natureza]"),"repasse.cef.obra",
INDIRECT("tb_rec_uni[empresa]"),CP$6)</f>
        <v>0</v>
      </c>
      <c r="CQ83" s="126">
        <f ca="1">SUMIFS(tb_rec_uni[2027-09-01],
INDIRECT("tb_rec_uni[natureza]"),"repasse.cef.terreno",
INDIRECT("tb_rec_uni[empresa]"),CQ$6)</f>
        <v>0</v>
      </c>
      <c r="CR83" s="127"/>
      <c r="CS83" s="123">
        <f ca="1">SUMIFS(tb_rec_uni[2027-09-01],
INDIRECT("tb_rec_uni[natureza]"),"taxa.extra",
INDIRECT("tb_rec_uni[empresa]"),CS$6)</f>
        <v>0</v>
      </c>
      <c r="CT83" s="111"/>
      <c r="CU83" s="111">
        <f ca="1">SUMIFS(
  m.vb[valor],
  m.vb[nucleo],$CN$1,
  m.vb[variavel],CU$7,
  m.vb[mes],$A83
)</f>
        <v>0</v>
      </c>
      <c r="CV83" s="111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11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11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4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21">
        <v>46661</v>
      </c>
      <c r="B84" s="122">
        <f>COUNTIFS(
    tb_estq[empresa], B$6,
    tb_estq[Data da venda / reserva], "&gt;=" &amp; $A84,
    tb_estq[Data da venda / reserva], "&lt;"  &amp; EOMONTH($A84,0) + 1
)</f>
        <v>0</v>
      </c>
      <c r="C84" s="123">
        <f ca="1">SUMIFS(tb_rec_uni[2027-10-01],
INDIRECT("tb_rec_uni[natureza]"),"pro.soluto",
INDIRECT("tb_rec_uni[empresa]"),C$6)</f>
        <v>0</v>
      </c>
      <c r="D84" s="123">
        <f ca="1">SUMIFS(tb_rec_uni[2027-10-01],
INDIRECT("tb_rec_uni[natureza]"),"repasse.cef.obra",
INDIRECT("tb_rec_uni[empresa]"),D$6)</f>
        <v>0</v>
      </c>
      <c r="E84" s="123">
        <f ca="1">SUMIFS(tb_rec_uni[2027-10-01],
INDIRECT("tb_rec_uni[natureza]"),"repasse.cef.terreno",
INDIRECT("tb_rec_uni[empresa]"),E$6)</f>
        <v>0</v>
      </c>
      <c r="F84" s="127"/>
      <c r="G84" s="123">
        <f ca="1">SUMIFS(tb_rec_uni[2027-10-01],
INDIRECT("tb_rec_uni[natureza]"),"taxa.extra",
INDIRECT("tb_rec_uni[empresa]"),G$6)</f>
        <v>0</v>
      </c>
      <c r="H84" s="111"/>
      <c r="I84" s="111">
        <f ca="1">SUMIFS(
  m.vb[valor],
  m.vb[nucleo],$B$1,
  m.vb[variavel],I$7,
  m.vb[mes],$A84
)</f>
        <v>0</v>
      </c>
      <c r="J84" s="111">
        <f ca="1">SUMIFS(
  m.vb[valor],
  m.vb[nucleo],$B$1,
  m.vb[variavel],J$7,
  m.vb[mes],$A84
)</f>
        <v>0</v>
      </c>
      <c r="K84" s="111">
        <f ca="1">SUMIFS(
  m.vb[valor],
  m.vb[nucleo],$B$1,
  m.vb[variavel],K$7,
  m.vb[mes],$A84
)</f>
        <v>0</v>
      </c>
      <c r="L84" s="111">
        <f ca="1">SUMIFS(
  m.vb[valor],
  m.vb[nucleo],$B$1,
  m.vb[variavel],L$7,
  m.vb[mes],$A84
)</f>
        <v>0</v>
      </c>
      <c r="M84" s="111">
        <f ca="1">SUMIFS(
  m.vb[valor],
  m.vb[nucleo],$B$1,
  m.vb[variavel],M$7,
  m.vb[mes],$A84
)</f>
        <v>0</v>
      </c>
      <c r="N84" s="122">
        <f>COUNTIFS(
    tb_estq[empresa], N$6,
    tb_estq[Data da venda / reserva], "&gt;=" &amp; $A84,
    tb_estq[Data da venda / reserva], "&lt;"  &amp; EOMONTH($A84,0) + 1
)</f>
        <v>0</v>
      </c>
      <c r="O84" s="123">
        <f ca="1">SUMIFS(tb_rec_uni[2027-10-01],
INDIRECT("tb_rec_uni[natureza]"),"pro.soluto",
INDIRECT("tb_rec_uni[empresa]"),O$6)</f>
        <v>0</v>
      </c>
      <c r="P84" s="123">
        <f ca="1">SUMIFS(tb_rec_uni[2027-10-01],
INDIRECT("tb_rec_uni[natureza]"),"repasse.cef.obra",
INDIRECT("tb_rec_uni[empresa]"),P$6)</f>
        <v>0</v>
      </c>
      <c r="Q84" s="123">
        <f ca="1">SUMIFS(tb_rec_uni[2027-10-01],
INDIRECT("tb_rec_uni[natureza]"),"repasse.cef.terreno",
INDIRECT("tb_rec_uni[empresa]"),Q$6)</f>
        <v>0</v>
      </c>
      <c r="R84" s="127"/>
      <c r="S84" s="123">
        <f ca="1">SUMIFS(tb_rec_uni[2027-10-01],
INDIRECT("tb_rec_uni[natureza]"),"taxa.extra",
INDIRECT("tb_rec_uni[empresa]"),S$6)</f>
        <v>0</v>
      </c>
      <c r="T84" s="111"/>
      <c r="U84" s="111">
        <f ca="1">SUMIFS(
  m.vb[valor],
  m.vb[nucleo],$N$1,
  m.vb[variavel],U$7,
  m.vb[mes],$A84
)</f>
        <v>0</v>
      </c>
      <c r="V84" s="111">
        <f ca="1">SUMIFS(
  m.vb[valor],
  m.vb[nucleo],$N$1,
  m.vb[variavel],V$7,
  m.vb[mes],$A84
)</f>
        <v>0</v>
      </c>
      <c r="W84" s="111">
        <f ca="1">SUMIFS(
  m.vb[valor],
  m.vb[nucleo],$N$1,
  m.vb[variavel],W$7,
  m.vb[mes],$A84
)</f>
        <v>0</v>
      </c>
      <c r="X84" s="111">
        <f ca="1">SUMIFS(
  m.vb[valor],
  m.vb[nucleo],$N$1,
  m.vb[variavel],X$7,
  m.vb[mes],$A84
)</f>
        <v>0</v>
      </c>
      <c r="Y84" s="111">
        <f ca="1">SUMIFS(
  m.vb[valor],
  m.vb[nucleo],$N$1,
  m.vb[variavel],Y$7,
  m.vb[mes],$A84
)</f>
        <v>0</v>
      </c>
      <c r="Z84" s="122">
        <f>COUNTIFS(
    tb_estq[empresa], Z$6,
    tb_estq[Data da venda / reserva], "&gt;=" &amp; $A84,
    tb_estq[Data da venda / reserva], "&lt;"  &amp; EOMONTH($A84,0) + 1
)</f>
        <v>0</v>
      </c>
      <c r="AA84" s="123">
        <f ca="1">SUMIFS(tb_rec_uni[2027-10-01],
INDIRECT("tb_rec_uni[natureza]"),"pro.soluto",
INDIRECT("tb_rec_uni[empresa]"),AA$6)</f>
        <v>0</v>
      </c>
      <c r="AB84" s="127">
        <f ca="1">SUMIFS(tb_rec_uni[2027-10-01],
INDIRECT("tb_rec_uni[natureza]"),"parcela.fin.total.ik",
INDIRECT("tb_rec_uni[empresa]"),AB$6)</f>
        <v>0</v>
      </c>
      <c r="AC84" s="123">
        <f ca="1">SUMIFS(tb_rec_uni[2027-10-01],
INDIRECT("tb_rec_uni[natureza]"),"taxa.extra",
INDIRECT("tb_rec_uni[empresa]"),AC$6)</f>
        <v>0</v>
      </c>
      <c r="AD84" s="111"/>
      <c r="AE84" s="111">
        <f ca="1">SUMIFS(
  m.vb[valor],
  m.vb[nucleo],$Z$1,
  m.vb[variavel],AE$7,
  m.vb[mes],$A84
)</f>
        <v>0</v>
      </c>
      <c r="AF84" s="111">
        <f ca="1">SUMIFS(
  m.vb[valor],
  m.vb[nucleo],$Z$1,
  m.vb[variavel],AF$7,
  m.vb[mes],$A84
)</f>
        <v>0</v>
      </c>
      <c r="AG84" s="111">
        <f ca="1">SUMIFS(
  m.vb[valor],
  m.vb[nucleo],$Z$1,
  m.vb[variavel],AG$7,
  m.vb[mes],$A84
)</f>
        <v>0</v>
      </c>
      <c r="AH84" s="111">
        <f ca="1">SUMIFS(
  m.vb[valor],
  m.vb[nucleo],$Z$1,
  m.vb[variavel],AH$7,
  m.vb[mes],$A84
)</f>
        <v>0</v>
      </c>
      <c r="AI84" s="111">
        <f ca="1">SUMIFS(
  m.vb[valor],
  m.vb[nucleo],$Z$1,
  m.vb[variavel],AI$7,
  m.vb[mes],$A84
)</f>
        <v>0</v>
      </c>
      <c r="AJ84" s="122">
        <f>COUNTIFS(
    tb_estq[empresa], AJ$6,
    tb_estq[Data da venda / reserva], "&gt;=" &amp; $A84,
    tb_estq[Data da venda / reserva], "&lt;"  &amp; EOMONTH($A84,0) + 1
)</f>
        <v>0</v>
      </c>
      <c r="AK84" s="123">
        <f ca="1">SUMIFS(tb_rec_uni[2027-10-01],
INDIRECT("tb_rec_uni[natureza]"),"pro.soluto",
INDIRECT("tb_rec_uni[empresa]"),AK$6)</f>
        <v>0</v>
      </c>
      <c r="AL84" s="123">
        <f ca="1">SUMIFS(tb_rec_uni[2027-10-01],
INDIRECT("tb_rec_uni[natureza]"),"repasse.cef.obra",
INDIRECT("tb_rec_uni[empresa]"),AL$6)</f>
        <v>0</v>
      </c>
      <c r="AM84" s="126">
        <f ca="1">SUMIFS(tb_rec_uni[2027-10-01],
INDIRECT("tb_rec_uni[natureza]"),"repasse.cef.terreno",
INDIRECT("tb_rec_uni[empresa]"),AM$6)</f>
        <v>0</v>
      </c>
      <c r="AN84" s="127"/>
      <c r="AO84" s="123">
        <f ca="1">SUMIFS(tb_rec_uni[2027-10-01],
INDIRECT("tb_rec_uni[natureza]"),"taxa.extra",
INDIRECT("tb_rec_uni[empresa]"),AO$6)</f>
        <v>0</v>
      </c>
      <c r="AP84" s="111"/>
      <c r="AQ84" s="111">
        <f ca="1">SUMIFS(
  m.vb[valor],
  m.vb[nucleo],$AJ$1,
  m.vb[variavel],AQ$7,
  m.vb[mes],$A84
)</f>
        <v>0</v>
      </c>
      <c r="AR84" s="111">
        <f ca="1">SUMIFS(
  m.vb[valor],
  m.vb[nucleo],$AJ$1,
  m.vb[variavel],AR$7,
  m.vb[mes],$A84
)</f>
        <v>0</v>
      </c>
      <c r="AS84" s="111">
        <f ca="1">SUMIFS(
  m.vb[valor],
  m.vb[nucleo],$AJ$1,
  m.vb[variavel],AS$7,
  m.vb[mes],$A84
)</f>
        <v>0</v>
      </c>
      <c r="AT84" s="111">
        <f ca="1">SUMIFS(
  m.vb[valor],
  m.vb[nucleo],$AJ$1,
  m.vb[variavel],AT$7,
  m.vb[mes],$A84
)</f>
        <v>0</v>
      </c>
      <c r="AU84" s="111">
        <f ca="1">SUMIFS(
  m.vb[valor],
  m.vb[nucleo],$AJ$1,
  m.vb[variavel],AU$7,
  m.vb[mes],$A84
)</f>
        <v>0</v>
      </c>
      <c r="AV84" s="122">
        <f>COUNTIFS(
    tb_estq[empresa], AV$6,
    tb_estq[Data da venda / reserva], "&gt;=" &amp; $A84,
    tb_estq[Data da venda / reserva], "&lt;"  &amp; EOMONTH($A84,0) + 1
)</f>
        <v>0</v>
      </c>
      <c r="AW84" s="123">
        <f ca="1">SUMIFS(tb_rec_uni[2027-10-01],
INDIRECT("tb_rec_uni[natureza]"),"pro.soluto",
INDIRECT("tb_rec_uni[empresa]"),AW$6)</f>
        <v>0</v>
      </c>
      <c r="AX84" s="123">
        <f ca="1">SUMIFS(tb_rec_uni[2027-10-01],
INDIRECT("tb_rec_uni[natureza]"),"repasse.cef.obra",
INDIRECT("tb_rec_uni[empresa]"),AX$6)</f>
        <v>0</v>
      </c>
      <c r="AY84" s="126">
        <f ca="1">SUMIFS(tb_rec_uni[2027-10-01],
INDIRECT("tb_rec_uni[natureza]"),"repasse.cef.terreno",
INDIRECT("tb_rec_uni[empresa]"),AY$6)</f>
        <v>0</v>
      </c>
      <c r="AZ84" s="127"/>
      <c r="BA84" s="123">
        <f ca="1">SUMIFS(tb_rec_uni[2027-10-01],
INDIRECT("tb_rec_uni[natureza]"),"taxa.extra",
INDIRECT("tb_rec_uni[empresa]"),BA$6)</f>
        <v>0</v>
      </c>
      <c r="BB84" s="111"/>
      <c r="BC84" s="111">
        <f ca="1">SUMIFS(
  m.vb[valor],
  m.vb[nucleo],$AV$1,
  m.vb[variavel],BC$7,
  m.vb[mes],$A84
)</f>
        <v>0</v>
      </c>
      <c r="BD84" s="111">
        <f ca="1">SUMIFS(
  m.vb[valor],
  m.vb[nucleo],$AV$1,
  m.vb[variavel],BD$7,
  m.vb[mes],$A84
)</f>
        <v>0</v>
      </c>
      <c r="BE84" s="111">
        <f ca="1">SUMIFS(
  m.vb[valor],
  m.vb[nucleo],$AV$1,
  m.vb[variavel],BE$7,
  m.vb[mes],$A84
)</f>
        <v>0</v>
      </c>
      <c r="BF84" s="111">
        <f ca="1">SUMIFS(
  m.vb[valor],
  m.vb[nucleo],$AV$1,
  m.vb[variavel],BF$7,
  m.vb[mes],$A84
)</f>
        <v>0</v>
      </c>
      <c r="BG84" s="111">
        <f ca="1">SUMIFS(
  m.vb[valor],
  m.vb[nucleo],$AV$1,
  m.vb[variavel],BG$7,
  m.vb[mes],$A84
)</f>
        <v>0</v>
      </c>
      <c r="BH84" s="122">
        <f>COUNTIFS(
    tb_estq[empresa], BH$6,
    tb_estq[Data da venda / reserva], "&gt;=" &amp; $A84,
    tb_estq[Data da venda / reserva], "&lt;"  &amp; EOMONTH($A84,0) + 1
)</f>
        <v>0</v>
      </c>
      <c r="BI84" s="123">
        <f ca="1">SUMIFS(tb_rec_uni[2027-10-01],
INDIRECT("tb_rec_uni[natureza]"),"pro.soluto",
INDIRECT("tb_rec_uni[empresa]"),BI$6)</f>
        <v>0</v>
      </c>
      <c r="BJ84" s="127"/>
      <c r="BK84" s="123">
        <f ca="1">SUMIFS(tb_rec_uni[2027-10-01],
INDIRECT("tb_rec_uni[natureza]"),"taxa.extra",
INDIRECT("tb_rec_uni[empresa]"),BK$6)</f>
        <v>0</v>
      </c>
      <c r="BL84" s="111"/>
      <c r="BM84" s="111">
        <f ca="1">SUMIFS(
  m.vb[valor],
  m.vb[nucleo],$BH$1,
  m.vb[variavel],BM$7,
  m.vb[mes],$A84
)</f>
        <v>0</v>
      </c>
      <c r="BN84" s="111">
        <f ca="1">SUMIFS(
  m.vb[valor],
  m.vb[nucleo],$BH$1,
  m.vb[variavel],BN$7,
  m.vb[mes],$A84
)</f>
        <v>0</v>
      </c>
      <c r="BO84" s="111">
        <f ca="1">SUMIFS(
  m.vb[valor],
  m.vb[nucleo],$BH$1,
  m.vb[variavel],BO$7,
  m.vb[mes],$A84
)</f>
        <v>0</v>
      </c>
      <c r="BP84" s="111">
        <f ca="1">SUMIFS(
  m.vb[valor],
  m.vb[nucleo],$BH$1,
  m.vb[variavel],BP$7,
  m.vb[mes],$A84
)</f>
        <v>0</v>
      </c>
      <c r="BQ84" s="111">
        <f ca="1">SUMIFS(
  m.vb[valor],
  m.vb[nucleo],$BH$1,
  m.vb[variavel],BQ$7,
  m.vb[mes],$A84
)</f>
        <v>0</v>
      </c>
      <c r="BR84" s="122">
        <f>COUNTIFS(
    tb_estq[empresa], BR$6,
    tb_estq[Data da venda / reserva], "&gt;=" &amp; $A84,
    tb_estq[Data da venda / reserva], "&lt;"  &amp; EOMONTH($A84,0) + 1
)</f>
        <v>0</v>
      </c>
      <c r="BS84" s="123">
        <f ca="1">SUMIFS(tb_rec_uni[2027-10-01],
INDIRECT("tb_rec_uni[natureza]"),"pro.soluto",
INDIRECT("tb_rec_uni[empresa]"),BS$6)</f>
        <v>0</v>
      </c>
      <c r="BT84" s="127">
        <f ca="1">SUMIFS(tb_rec_uni[2027-10-01],
INDIRECT("tb_rec_uni[natureza]"),"parcela.fin.total.ik",
INDIRECT("tb_rec_uni[empresa]"),BT$6)</f>
        <v>0</v>
      </c>
      <c r="BU84" s="123">
        <f ca="1">SUMIFS(tb_rec_uni[2027-10-01],
INDIRECT("tb_rec_uni[natureza]"),"taxa.extra",
INDIRECT("tb_rec_uni[empresa]"),BU$6)</f>
        <v>0</v>
      </c>
      <c r="BV84" s="111"/>
      <c r="BW84" s="111">
        <f ca="1">SUMIFS(
  m.vb[valor],
  m.vb[nucleo],$BR$1,
  m.vb[variavel],BW$7,
  m.vb[mes],$A84
)</f>
        <v>0</v>
      </c>
      <c r="BX84" s="111">
        <f ca="1">SUMIFS(
  m.vb[valor],
  m.vb[nucleo],$BR$1,
  m.vb[variavel],BX$7,
  m.vb[mes],$A84
)</f>
        <v>0</v>
      </c>
      <c r="BY84" s="111">
        <f ca="1">SUMIFS(
  m.vb[valor],
  m.vb[nucleo],$BR$1,
  m.vb[variavel],BY$7,
  m.vb[mes],$A84
)</f>
        <v>0</v>
      </c>
      <c r="BZ84" s="111">
        <f ca="1">SUMIFS(
  m.vb[valor],
  m.vb[nucleo],$BR$1,
  m.vb[variavel],BZ$7,
  m.vb[mes],$A84
)</f>
        <v>0</v>
      </c>
      <c r="CA84" s="111">
        <f ca="1">SUMIFS(
  m.vb[valor],
  m.vb[nucleo],$BR$1,
  m.vb[variavel],CA$7,
  m.vb[mes],$A84
)</f>
        <v>0</v>
      </c>
      <c r="CB84" s="122">
        <f>COUNTIFS(
    tb_estq[empresa], CB$6,
    tb_estq[Data da venda / reserva], "&gt;=" &amp; $A84,
    tb_estq[Data da venda / reserva], "&lt;"  &amp; EOMONTH($A84,0) + 1
)</f>
        <v>0</v>
      </c>
      <c r="CC84" s="123">
        <f ca="1">SUMIFS(tb_rec_uni[2027-10-01],
INDIRECT("tb_rec_uni[natureza]"),"pro.soluto",
INDIRECT("tb_rec_uni[empresa]"),CC$6)</f>
        <v>0</v>
      </c>
      <c r="CD84" s="123">
        <f ca="1">SUMIFS(tb_rec_uni[2027-10-01],
INDIRECT("tb_rec_uni[natureza]"),"repasse.cef.obra",
INDIRECT("tb_rec_uni[empresa]"),CD$6)</f>
        <v>0</v>
      </c>
      <c r="CE84" s="126">
        <f ca="1">SUMIFS(tb_rec_uni[2027-10-01],
INDIRECT("tb_rec_uni[natureza]"),"repasse.cef.terreno",
INDIRECT("tb_rec_uni[empresa]"),CE$6)</f>
        <v>0</v>
      </c>
      <c r="CF84" s="127"/>
      <c r="CG84" s="123">
        <f ca="1">SUMIFS(tb_rec_uni[2027-10-01],
INDIRECT("tb_rec_uni[natureza]"),"taxa.extra",
INDIRECT("tb_rec_uni[empresa]"),CG$6)</f>
        <v>0</v>
      </c>
      <c r="CH84" s="111"/>
      <c r="CI84" s="111">
        <f ca="1">SUMIFS(
  m.vb[valor],
  m.vb[nucleo],$CB$1,
  m.vb[variavel],CI$7,
  m.vb[mes],$A84
)</f>
        <v>0</v>
      </c>
      <c r="CJ84" s="111">
        <f ca="1">SUMIFS(
  m.vb[valor],
  m.vb[nucleo],$CB$1,
  m.vb[variavel],CJ$7,
  m.vb[mes],$A84
)</f>
        <v>0</v>
      </c>
      <c r="CK84" s="111">
        <f ca="1">SUMIFS(
  m.vb[valor],
  m.vb[nucleo],$CB$1,
  m.vb[variavel],CK$7,
  m.vb[mes],$A84
)</f>
        <v>0</v>
      </c>
      <c r="CL84" s="111">
        <f ca="1">SUMIFS(
  m.vb[valor],
  m.vb[nucleo],$CB$1,
  m.vb[variavel],CL$7,
  m.vb[mes],$A84
)</f>
        <v>0</v>
      </c>
      <c r="CM84" s="111">
        <f ca="1">SUMIFS(
  m.vb[valor],
  m.vb[nucleo],$CB$1,
  m.vb[variavel],CM$7,
  m.vb[mes],$A84
)</f>
        <v>0</v>
      </c>
      <c r="CN84" s="122">
        <f>COUNTIFS(
    tb_estq[empresa], CN$6,
    tb_estq[Data da venda / reserva], "&gt;=" &amp; $A84,
    tb_estq[Data da venda / reserva], "&lt;"  &amp; EOMONTH($A84,0) + 1
)</f>
        <v>0</v>
      </c>
      <c r="CO84" s="123">
        <f ca="1">SUMIFS(tb_rec_uni[2027-10-01],
INDIRECT("tb_rec_uni[natureza]"),"pro.soluto",
INDIRECT("tb_rec_uni[empresa]"),CO$6)</f>
        <v>0</v>
      </c>
      <c r="CP84" s="123">
        <f ca="1">SUMIFS(tb_rec_uni[2027-10-01],
INDIRECT("tb_rec_uni[natureza]"),"repasse.cef.obra",
INDIRECT("tb_rec_uni[empresa]"),CP$6)</f>
        <v>0</v>
      </c>
      <c r="CQ84" s="126">
        <f ca="1">SUMIFS(tb_rec_uni[2027-10-01],
INDIRECT("tb_rec_uni[natureza]"),"repasse.cef.terreno",
INDIRECT("tb_rec_uni[empresa]"),CQ$6)</f>
        <v>0</v>
      </c>
      <c r="CR84" s="127"/>
      <c r="CS84" s="123">
        <f ca="1">SUMIFS(tb_rec_uni[2027-10-01],
INDIRECT("tb_rec_uni[natureza]"),"taxa.extra",
INDIRECT("tb_rec_uni[empresa]"),CS$6)</f>
        <v>0</v>
      </c>
      <c r="CT84" s="111"/>
      <c r="CU84" s="111">
        <f ca="1">SUMIFS(
  m.vb[valor],
  m.vb[nucleo],$CN$1,
  m.vb[variavel],CU$7,
  m.vb[mes],$A84
)</f>
        <v>0</v>
      </c>
      <c r="CV84" s="111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11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11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4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21">
        <v>46692</v>
      </c>
      <c r="B85" s="122">
        <f>COUNTIFS(
    tb_estq[empresa], B$6,
    tb_estq[Data da venda / reserva], "&gt;=" &amp; $A85,
    tb_estq[Data da venda / reserva], "&lt;"  &amp; EOMONTH($A85,0) + 1
)</f>
        <v>0</v>
      </c>
      <c r="C85" s="123">
        <f ca="1">SUMIFS(tb_rec_uni[2027-11-01],
INDIRECT("tb_rec_uni[natureza]"),"pro.soluto",
INDIRECT("tb_rec_uni[empresa]"),C$6)</f>
        <v>0</v>
      </c>
      <c r="D85" s="123">
        <f ca="1">SUMIFS(tb_rec_uni[2027-11-01],
INDIRECT("tb_rec_uni[natureza]"),"repasse.cef.obra",
INDIRECT("tb_rec_uni[empresa]"),D$6)</f>
        <v>0</v>
      </c>
      <c r="E85" s="123">
        <f ca="1">SUMIFS(tb_rec_uni[2027-11-01],
INDIRECT("tb_rec_uni[natureza]"),"repasse.cef.terreno",
INDIRECT("tb_rec_uni[empresa]"),E$6)</f>
        <v>0</v>
      </c>
      <c r="F85" s="127"/>
      <c r="G85" s="123">
        <f ca="1">SUMIFS(tb_rec_uni[2027-11-01],
INDIRECT("tb_rec_uni[natureza]"),"taxa.extra",
INDIRECT("tb_rec_uni[empresa]"),G$6)</f>
        <v>0</v>
      </c>
      <c r="H85" s="111"/>
      <c r="I85" s="111">
        <f ca="1">SUMIFS(
  m.vb[valor],
  m.vb[nucleo],$B$1,
  m.vb[variavel],I$7,
  m.vb[mes],$A85
)</f>
        <v>0</v>
      </c>
      <c r="J85" s="111">
        <f ca="1">SUMIFS(
  m.vb[valor],
  m.vb[nucleo],$B$1,
  m.vb[variavel],J$7,
  m.vb[mes],$A85
)</f>
        <v>0</v>
      </c>
      <c r="K85" s="111">
        <f ca="1">SUMIFS(
  m.vb[valor],
  m.vb[nucleo],$B$1,
  m.vb[variavel],K$7,
  m.vb[mes],$A85
)</f>
        <v>0</v>
      </c>
      <c r="L85" s="111">
        <f ca="1">SUMIFS(
  m.vb[valor],
  m.vb[nucleo],$B$1,
  m.vb[variavel],L$7,
  m.vb[mes],$A85
)</f>
        <v>0</v>
      </c>
      <c r="M85" s="111">
        <f ca="1">SUMIFS(
  m.vb[valor],
  m.vb[nucleo],$B$1,
  m.vb[variavel],M$7,
  m.vb[mes],$A85
)</f>
        <v>0</v>
      </c>
      <c r="N85" s="122">
        <f>COUNTIFS(
    tb_estq[empresa], N$6,
    tb_estq[Data da venda / reserva], "&gt;=" &amp; $A85,
    tb_estq[Data da venda / reserva], "&lt;"  &amp; EOMONTH($A85,0) + 1
)</f>
        <v>0</v>
      </c>
      <c r="O85" s="123">
        <f ca="1">SUMIFS(tb_rec_uni[2027-11-01],
INDIRECT("tb_rec_uni[natureza]"),"pro.soluto",
INDIRECT("tb_rec_uni[empresa]"),O$6)</f>
        <v>0</v>
      </c>
      <c r="P85" s="123">
        <f ca="1">SUMIFS(tb_rec_uni[2027-11-01],
INDIRECT("tb_rec_uni[natureza]"),"repasse.cef.obra",
INDIRECT("tb_rec_uni[empresa]"),P$6)</f>
        <v>0</v>
      </c>
      <c r="Q85" s="123">
        <f ca="1">SUMIFS(tb_rec_uni[2027-11-01],
INDIRECT("tb_rec_uni[natureza]"),"repasse.cef.terreno",
INDIRECT("tb_rec_uni[empresa]"),Q$6)</f>
        <v>0</v>
      </c>
      <c r="R85" s="127"/>
      <c r="S85" s="123">
        <f ca="1">SUMIFS(tb_rec_uni[2027-11-01],
INDIRECT("tb_rec_uni[natureza]"),"taxa.extra",
INDIRECT("tb_rec_uni[empresa]"),S$6)</f>
        <v>0</v>
      </c>
      <c r="T85" s="111"/>
      <c r="U85" s="111">
        <f ca="1">SUMIFS(
  m.vb[valor],
  m.vb[nucleo],$N$1,
  m.vb[variavel],U$7,
  m.vb[mes],$A85
)</f>
        <v>0</v>
      </c>
      <c r="V85" s="111">
        <f ca="1">SUMIFS(
  m.vb[valor],
  m.vb[nucleo],$N$1,
  m.vb[variavel],V$7,
  m.vb[mes],$A85
)</f>
        <v>0</v>
      </c>
      <c r="W85" s="111">
        <f ca="1">SUMIFS(
  m.vb[valor],
  m.vb[nucleo],$N$1,
  m.vb[variavel],W$7,
  m.vb[mes],$A85
)</f>
        <v>0</v>
      </c>
      <c r="X85" s="111">
        <f ca="1">SUMIFS(
  m.vb[valor],
  m.vb[nucleo],$N$1,
  m.vb[variavel],X$7,
  m.vb[mes],$A85
)</f>
        <v>0</v>
      </c>
      <c r="Y85" s="111">
        <f ca="1">SUMIFS(
  m.vb[valor],
  m.vb[nucleo],$N$1,
  m.vb[variavel],Y$7,
  m.vb[mes],$A85
)</f>
        <v>0</v>
      </c>
      <c r="Z85" s="122">
        <f>COUNTIFS(
    tb_estq[empresa], Z$6,
    tb_estq[Data da venda / reserva], "&gt;=" &amp; $A85,
    tb_estq[Data da venda / reserva], "&lt;"  &amp; EOMONTH($A85,0) + 1
)</f>
        <v>0</v>
      </c>
      <c r="AA85" s="123">
        <f ca="1">SUMIFS(tb_rec_uni[2027-11-01],
INDIRECT("tb_rec_uni[natureza]"),"pro.soluto",
INDIRECT("tb_rec_uni[empresa]"),AA$6)</f>
        <v>0</v>
      </c>
      <c r="AB85" s="127">
        <f ca="1">SUMIFS(tb_rec_uni[2027-11-01],
INDIRECT("tb_rec_uni[natureza]"),"parcela.fin.total.ik",
INDIRECT("tb_rec_uni[empresa]"),AB$6)</f>
        <v>0</v>
      </c>
      <c r="AC85" s="123">
        <f ca="1">SUMIFS(tb_rec_uni[2027-11-01],
INDIRECT("tb_rec_uni[natureza]"),"taxa.extra",
INDIRECT("tb_rec_uni[empresa]"),AC$6)</f>
        <v>0</v>
      </c>
      <c r="AD85" s="111"/>
      <c r="AE85" s="111">
        <f ca="1">SUMIFS(
  m.vb[valor],
  m.vb[nucleo],$Z$1,
  m.vb[variavel],AE$7,
  m.vb[mes],$A85
)</f>
        <v>0</v>
      </c>
      <c r="AF85" s="111">
        <f ca="1">SUMIFS(
  m.vb[valor],
  m.vb[nucleo],$Z$1,
  m.vb[variavel],AF$7,
  m.vb[mes],$A85
)</f>
        <v>0</v>
      </c>
      <c r="AG85" s="111">
        <f ca="1">SUMIFS(
  m.vb[valor],
  m.vb[nucleo],$Z$1,
  m.vb[variavel],AG$7,
  m.vb[mes],$A85
)</f>
        <v>0</v>
      </c>
      <c r="AH85" s="111">
        <f ca="1">SUMIFS(
  m.vb[valor],
  m.vb[nucleo],$Z$1,
  m.vb[variavel],AH$7,
  m.vb[mes],$A85
)</f>
        <v>0</v>
      </c>
      <c r="AI85" s="111">
        <f ca="1">SUMIFS(
  m.vb[valor],
  m.vb[nucleo],$Z$1,
  m.vb[variavel],AI$7,
  m.vb[mes],$A85
)</f>
        <v>0</v>
      </c>
      <c r="AJ85" s="122">
        <f>COUNTIFS(
    tb_estq[empresa], AJ$6,
    tb_estq[Data da venda / reserva], "&gt;=" &amp; $A85,
    tb_estq[Data da venda / reserva], "&lt;"  &amp; EOMONTH($A85,0) + 1
)</f>
        <v>0</v>
      </c>
      <c r="AK85" s="123">
        <f ca="1">SUMIFS(tb_rec_uni[2027-11-01],
INDIRECT("tb_rec_uni[natureza]"),"pro.soluto",
INDIRECT("tb_rec_uni[empresa]"),AK$6)</f>
        <v>0</v>
      </c>
      <c r="AL85" s="123">
        <f ca="1">SUMIFS(tb_rec_uni[2027-11-01],
INDIRECT("tb_rec_uni[natureza]"),"repasse.cef.obra",
INDIRECT("tb_rec_uni[empresa]"),AL$6)</f>
        <v>0</v>
      </c>
      <c r="AM85" s="126">
        <f ca="1">SUMIFS(tb_rec_uni[2027-11-01],
INDIRECT("tb_rec_uni[natureza]"),"repasse.cef.terreno",
INDIRECT("tb_rec_uni[empresa]"),AM$6)</f>
        <v>0</v>
      </c>
      <c r="AN85" s="127"/>
      <c r="AO85" s="123">
        <f ca="1">SUMIFS(tb_rec_uni[2027-11-01],
INDIRECT("tb_rec_uni[natureza]"),"taxa.extra",
INDIRECT("tb_rec_uni[empresa]"),AO$6)</f>
        <v>0</v>
      </c>
      <c r="AP85" s="111"/>
      <c r="AQ85" s="111">
        <f ca="1">SUMIFS(
  m.vb[valor],
  m.vb[nucleo],$AJ$1,
  m.vb[variavel],AQ$7,
  m.vb[mes],$A85
)</f>
        <v>0</v>
      </c>
      <c r="AR85" s="111">
        <f ca="1">SUMIFS(
  m.vb[valor],
  m.vb[nucleo],$AJ$1,
  m.vb[variavel],AR$7,
  m.vb[mes],$A85
)</f>
        <v>0</v>
      </c>
      <c r="AS85" s="111">
        <f ca="1">SUMIFS(
  m.vb[valor],
  m.vb[nucleo],$AJ$1,
  m.vb[variavel],AS$7,
  m.vb[mes],$A85
)</f>
        <v>0</v>
      </c>
      <c r="AT85" s="111">
        <f ca="1">SUMIFS(
  m.vb[valor],
  m.vb[nucleo],$AJ$1,
  m.vb[variavel],AT$7,
  m.vb[mes],$A85
)</f>
        <v>0</v>
      </c>
      <c r="AU85" s="111">
        <f ca="1">SUMIFS(
  m.vb[valor],
  m.vb[nucleo],$AJ$1,
  m.vb[variavel],AU$7,
  m.vb[mes],$A85
)</f>
        <v>0</v>
      </c>
      <c r="AV85" s="122">
        <f>COUNTIFS(
    tb_estq[empresa], AV$6,
    tb_estq[Data da venda / reserva], "&gt;=" &amp; $A85,
    tb_estq[Data da venda / reserva], "&lt;"  &amp; EOMONTH($A85,0) + 1
)</f>
        <v>0</v>
      </c>
      <c r="AW85" s="123">
        <f ca="1">SUMIFS(tb_rec_uni[2027-11-01],
INDIRECT("tb_rec_uni[natureza]"),"pro.soluto",
INDIRECT("tb_rec_uni[empresa]"),AW$6)</f>
        <v>0</v>
      </c>
      <c r="AX85" s="123">
        <f ca="1">SUMIFS(tb_rec_uni[2027-11-01],
INDIRECT("tb_rec_uni[natureza]"),"repasse.cef.obra",
INDIRECT("tb_rec_uni[empresa]"),AX$6)</f>
        <v>0</v>
      </c>
      <c r="AY85" s="126">
        <f ca="1">SUMIFS(tb_rec_uni[2027-11-01],
INDIRECT("tb_rec_uni[natureza]"),"repasse.cef.terreno",
INDIRECT("tb_rec_uni[empresa]"),AY$6)</f>
        <v>0</v>
      </c>
      <c r="AZ85" s="127"/>
      <c r="BA85" s="123">
        <f ca="1">SUMIFS(tb_rec_uni[2027-11-01],
INDIRECT("tb_rec_uni[natureza]"),"taxa.extra",
INDIRECT("tb_rec_uni[empresa]"),BA$6)</f>
        <v>0</v>
      </c>
      <c r="BB85" s="111"/>
      <c r="BC85" s="111">
        <f ca="1">SUMIFS(
  m.vb[valor],
  m.vb[nucleo],$AV$1,
  m.vb[variavel],BC$7,
  m.vb[mes],$A85
)</f>
        <v>0</v>
      </c>
      <c r="BD85" s="111">
        <f ca="1">SUMIFS(
  m.vb[valor],
  m.vb[nucleo],$AV$1,
  m.vb[variavel],BD$7,
  m.vb[mes],$A85
)</f>
        <v>0</v>
      </c>
      <c r="BE85" s="111">
        <f ca="1">SUMIFS(
  m.vb[valor],
  m.vb[nucleo],$AV$1,
  m.vb[variavel],BE$7,
  m.vb[mes],$A85
)</f>
        <v>0</v>
      </c>
      <c r="BF85" s="111">
        <f ca="1">SUMIFS(
  m.vb[valor],
  m.vb[nucleo],$AV$1,
  m.vb[variavel],BF$7,
  m.vb[mes],$A85
)</f>
        <v>0</v>
      </c>
      <c r="BG85" s="111">
        <f ca="1">SUMIFS(
  m.vb[valor],
  m.vb[nucleo],$AV$1,
  m.vb[variavel],BG$7,
  m.vb[mes],$A85
)</f>
        <v>0</v>
      </c>
      <c r="BH85" s="122">
        <f>COUNTIFS(
    tb_estq[empresa], BH$6,
    tb_estq[Data da venda / reserva], "&gt;=" &amp; $A85,
    tb_estq[Data da venda / reserva], "&lt;"  &amp; EOMONTH($A85,0) + 1
)</f>
        <v>0</v>
      </c>
      <c r="BI85" s="123">
        <f ca="1">SUMIFS(tb_rec_uni[2027-11-01],
INDIRECT("tb_rec_uni[natureza]"),"pro.soluto",
INDIRECT("tb_rec_uni[empresa]"),BI$6)</f>
        <v>0</v>
      </c>
      <c r="BJ85" s="127"/>
      <c r="BK85" s="123">
        <f ca="1">SUMIFS(tb_rec_uni[2027-11-01],
INDIRECT("tb_rec_uni[natureza]"),"taxa.extra",
INDIRECT("tb_rec_uni[empresa]"),BK$6)</f>
        <v>0</v>
      </c>
      <c r="BL85" s="111"/>
      <c r="BM85" s="111">
        <f ca="1">SUMIFS(
  m.vb[valor],
  m.vb[nucleo],$BH$1,
  m.vb[variavel],BM$7,
  m.vb[mes],$A85
)</f>
        <v>0</v>
      </c>
      <c r="BN85" s="111">
        <f ca="1">SUMIFS(
  m.vb[valor],
  m.vb[nucleo],$BH$1,
  m.vb[variavel],BN$7,
  m.vb[mes],$A85
)</f>
        <v>0</v>
      </c>
      <c r="BO85" s="111">
        <f ca="1">SUMIFS(
  m.vb[valor],
  m.vb[nucleo],$BH$1,
  m.vb[variavel],BO$7,
  m.vb[mes],$A85
)</f>
        <v>0</v>
      </c>
      <c r="BP85" s="111">
        <f ca="1">SUMIFS(
  m.vb[valor],
  m.vb[nucleo],$BH$1,
  m.vb[variavel],BP$7,
  m.vb[mes],$A85
)</f>
        <v>0</v>
      </c>
      <c r="BQ85" s="111">
        <f ca="1">SUMIFS(
  m.vb[valor],
  m.vb[nucleo],$BH$1,
  m.vb[variavel],BQ$7,
  m.vb[mes],$A85
)</f>
        <v>0</v>
      </c>
      <c r="BR85" s="122">
        <f>COUNTIFS(
    tb_estq[empresa], BR$6,
    tb_estq[Data da venda / reserva], "&gt;=" &amp; $A85,
    tb_estq[Data da venda / reserva], "&lt;"  &amp; EOMONTH($A85,0) + 1
)</f>
        <v>0</v>
      </c>
      <c r="BS85" s="123">
        <f ca="1">SUMIFS(tb_rec_uni[2027-11-01],
INDIRECT("tb_rec_uni[natureza]"),"pro.soluto",
INDIRECT("tb_rec_uni[empresa]"),BS$6)</f>
        <v>0</v>
      </c>
      <c r="BT85" s="127">
        <f ca="1">SUMIFS(tb_rec_uni[2027-11-01],
INDIRECT("tb_rec_uni[natureza]"),"parcela.fin.total.ik",
INDIRECT("tb_rec_uni[empresa]"),BT$6)</f>
        <v>0</v>
      </c>
      <c r="BU85" s="123">
        <f ca="1">SUMIFS(tb_rec_uni[2027-11-01],
INDIRECT("tb_rec_uni[natureza]"),"taxa.extra",
INDIRECT("tb_rec_uni[empresa]"),BU$6)</f>
        <v>0</v>
      </c>
      <c r="BV85" s="111"/>
      <c r="BW85" s="111">
        <f ca="1">SUMIFS(
  m.vb[valor],
  m.vb[nucleo],$BR$1,
  m.vb[variavel],BW$7,
  m.vb[mes],$A85
)</f>
        <v>0</v>
      </c>
      <c r="BX85" s="111">
        <f ca="1">SUMIFS(
  m.vb[valor],
  m.vb[nucleo],$BR$1,
  m.vb[variavel],BX$7,
  m.vb[mes],$A85
)</f>
        <v>0</v>
      </c>
      <c r="BY85" s="111">
        <f ca="1">SUMIFS(
  m.vb[valor],
  m.vb[nucleo],$BR$1,
  m.vb[variavel],BY$7,
  m.vb[mes],$A85
)</f>
        <v>0</v>
      </c>
      <c r="BZ85" s="111">
        <f ca="1">SUMIFS(
  m.vb[valor],
  m.vb[nucleo],$BR$1,
  m.vb[variavel],BZ$7,
  m.vb[mes],$A85
)</f>
        <v>0</v>
      </c>
      <c r="CA85" s="111">
        <f ca="1">SUMIFS(
  m.vb[valor],
  m.vb[nucleo],$BR$1,
  m.vb[variavel],CA$7,
  m.vb[mes],$A85
)</f>
        <v>0</v>
      </c>
      <c r="CB85" s="122">
        <f>COUNTIFS(
    tb_estq[empresa], CB$6,
    tb_estq[Data da venda / reserva], "&gt;=" &amp; $A85,
    tb_estq[Data da venda / reserva], "&lt;"  &amp; EOMONTH($A85,0) + 1
)</f>
        <v>0</v>
      </c>
      <c r="CC85" s="123">
        <f ca="1">SUMIFS(tb_rec_uni[2027-11-01],
INDIRECT("tb_rec_uni[natureza]"),"pro.soluto",
INDIRECT("tb_rec_uni[empresa]"),CC$6)</f>
        <v>0</v>
      </c>
      <c r="CD85" s="123">
        <f ca="1">SUMIFS(tb_rec_uni[2027-11-01],
INDIRECT("tb_rec_uni[natureza]"),"repasse.cef.obra",
INDIRECT("tb_rec_uni[empresa]"),CD$6)</f>
        <v>0</v>
      </c>
      <c r="CE85" s="126">
        <f ca="1">SUMIFS(tb_rec_uni[2027-11-01],
INDIRECT("tb_rec_uni[natureza]"),"repasse.cef.terreno",
INDIRECT("tb_rec_uni[empresa]"),CE$6)</f>
        <v>0</v>
      </c>
      <c r="CF85" s="127"/>
      <c r="CG85" s="123">
        <f ca="1">SUMIFS(tb_rec_uni[2027-11-01],
INDIRECT("tb_rec_uni[natureza]"),"taxa.extra",
INDIRECT("tb_rec_uni[empresa]"),CG$6)</f>
        <v>0</v>
      </c>
      <c r="CH85" s="111"/>
      <c r="CI85" s="111">
        <f ca="1">SUMIFS(
  m.vb[valor],
  m.vb[nucleo],$CB$1,
  m.vb[variavel],CI$7,
  m.vb[mes],$A85
)</f>
        <v>0</v>
      </c>
      <c r="CJ85" s="111">
        <f ca="1">SUMIFS(
  m.vb[valor],
  m.vb[nucleo],$CB$1,
  m.vb[variavel],CJ$7,
  m.vb[mes],$A85
)</f>
        <v>0</v>
      </c>
      <c r="CK85" s="111">
        <f ca="1">SUMIFS(
  m.vb[valor],
  m.vb[nucleo],$CB$1,
  m.vb[variavel],CK$7,
  m.vb[mes],$A85
)</f>
        <v>0</v>
      </c>
      <c r="CL85" s="111">
        <f ca="1">SUMIFS(
  m.vb[valor],
  m.vb[nucleo],$CB$1,
  m.vb[variavel],CL$7,
  m.vb[mes],$A85
)</f>
        <v>0</v>
      </c>
      <c r="CM85" s="111">
        <f ca="1">SUMIFS(
  m.vb[valor],
  m.vb[nucleo],$CB$1,
  m.vb[variavel],CM$7,
  m.vb[mes],$A85
)</f>
        <v>0</v>
      </c>
      <c r="CN85" s="122">
        <f>COUNTIFS(
    tb_estq[empresa], CN$6,
    tb_estq[Data da venda / reserva], "&gt;=" &amp; $A85,
    tb_estq[Data da venda / reserva], "&lt;"  &amp; EOMONTH($A85,0) + 1
)</f>
        <v>0</v>
      </c>
      <c r="CO85" s="123">
        <f ca="1">SUMIFS(tb_rec_uni[2027-11-01],
INDIRECT("tb_rec_uni[natureza]"),"pro.soluto",
INDIRECT("tb_rec_uni[empresa]"),CO$6)</f>
        <v>0</v>
      </c>
      <c r="CP85" s="123">
        <f ca="1">SUMIFS(tb_rec_uni[2027-11-01],
INDIRECT("tb_rec_uni[natureza]"),"repasse.cef.obra",
INDIRECT("tb_rec_uni[empresa]"),CP$6)</f>
        <v>0</v>
      </c>
      <c r="CQ85" s="126">
        <f ca="1">SUMIFS(tb_rec_uni[2027-11-01],
INDIRECT("tb_rec_uni[natureza]"),"repasse.cef.terreno",
INDIRECT("tb_rec_uni[empresa]"),CQ$6)</f>
        <v>0</v>
      </c>
      <c r="CR85" s="127"/>
      <c r="CS85" s="123">
        <f ca="1">SUMIFS(tb_rec_uni[2027-11-01],
INDIRECT("tb_rec_uni[natureza]"),"taxa.extra",
INDIRECT("tb_rec_uni[empresa]"),CS$6)</f>
        <v>0</v>
      </c>
      <c r="CT85" s="111"/>
      <c r="CU85" s="111">
        <f ca="1">SUMIFS(
  m.vb[valor],
  m.vb[nucleo],$CN$1,
  m.vb[variavel],CU$7,
  m.vb[mes],$A85
)</f>
        <v>0</v>
      </c>
      <c r="CV85" s="111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11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11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4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21">
        <v>46722</v>
      </c>
      <c r="B86" s="122">
        <f>COUNTIFS(
    tb_estq[empresa], B$6,
    tb_estq[Data da venda / reserva], "&gt;=" &amp; $A86,
    tb_estq[Data da venda / reserva], "&lt;"  &amp; EOMONTH($A86,0) + 1
)</f>
        <v>0</v>
      </c>
      <c r="C86" s="123">
        <f ca="1">SUMIFS(tb_rec_uni[2027-12-01],
INDIRECT("tb_rec_uni[natureza]"),"pro.soluto",
INDIRECT("tb_rec_uni[empresa]"),C$6)</f>
        <v>0</v>
      </c>
      <c r="D86" s="123">
        <f ca="1">SUMIFS(tb_rec_uni[2027-12-01],
INDIRECT("tb_rec_uni[natureza]"),"repasse.cef.obra",
INDIRECT("tb_rec_uni[empresa]"),D$6)</f>
        <v>0</v>
      </c>
      <c r="E86" s="123">
        <f ca="1">SUMIFS(tb_rec_uni[2027-12-01],
INDIRECT("tb_rec_uni[natureza]"),"repasse.cef.terreno",
INDIRECT("tb_rec_uni[empresa]"),E$6)</f>
        <v>0</v>
      </c>
      <c r="F86" s="127"/>
      <c r="G86" s="123">
        <f ca="1">SUMIFS(tb_rec_uni[2027-12-01],
INDIRECT("tb_rec_uni[natureza]"),"taxa.extra",
INDIRECT("tb_rec_uni[empresa]"),G$6)</f>
        <v>0</v>
      </c>
      <c r="H86" s="111"/>
      <c r="I86" s="111">
        <f ca="1">SUMIFS(
  m.vb[valor],
  m.vb[nucleo],$B$1,
  m.vb[variavel],I$7,
  m.vb[mes],$A86
)</f>
        <v>0</v>
      </c>
      <c r="J86" s="111">
        <f ca="1">SUMIFS(
  m.vb[valor],
  m.vb[nucleo],$B$1,
  m.vb[variavel],J$7,
  m.vb[mes],$A86
)</f>
        <v>0</v>
      </c>
      <c r="K86" s="111">
        <f ca="1">SUMIFS(
  m.vb[valor],
  m.vb[nucleo],$B$1,
  m.vb[variavel],K$7,
  m.vb[mes],$A86
)</f>
        <v>0</v>
      </c>
      <c r="L86" s="111">
        <f ca="1">SUMIFS(
  m.vb[valor],
  m.vb[nucleo],$B$1,
  m.vb[variavel],L$7,
  m.vb[mes],$A86
)</f>
        <v>0</v>
      </c>
      <c r="M86" s="111">
        <f ca="1">SUMIFS(
  m.vb[valor],
  m.vb[nucleo],$B$1,
  m.vb[variavel],M$7,
  m.vb[mes],$A86
)</f>
        <v>0</v>
      </c>
      <c r="N86" s="122">
        <f>COUNTIFS(
    tb_estq[empresa], N$6,
    tb_estq[Data da venda / reserva], "&gt;=" &amp; $A86,
    tb_estq[Data da venda / reserva], "&lt;"  &amp; EOMONTH($A86,0) + 1
)</f>
        <v>0</v>
      </c>
      <c r="O86" s="123">
        <f ca="1">SUMIFS(tb_rec_uni[2027-12-01],
INDIRECT("tb_rec_uni[natureza]"),"pro.soluto",
INDIRECT("tb_rec_uni[empresa]"),O$6)</f>
        <v>0</v>
      </c>
      <c r="P86" s="123">
        <f ca="1">SUMIFS(tb_rec_uni[2027-12-01],
INDIRECT("tb_rec_uni[natureza]"),"repasse.cef.obra",
INDIRECT("tb_rec_uni[empresa]"),P$6)</f>
        <v>0</v>
      </c>
      <c r="Q86" s="123">
        <f ca="1">SUMIFS(tb_rec_uni[2027-12-01],
INDIRECT("tb_rec_uni[natureza]"),"repasse.cef.terreno",
INDIRECT("tb_rec_uni[empresa]"),Q$6)</f>
        <v>0</v>
      </c>
      <c r="R86" s="127"/>
      <c r="S86" s="123">
        <f ca="1">SUMIFS(tb_rec_uni[2027-12-01],
INDIRECT("tb_rec_uni[natureza]"),"taxa.extra",
INDIRECT("tb_rec_uni[empresa]"),S$6)</f>
        <v>0</v>
      </c>
      <c r="T86" s="111"/>
      <c r="U86" s="111">
        <f ca="1">SUMIFS(
  m.vb[valor],
  m.vb[nucleo],$N$1,
  m.vb[variavel],U$7,
  m.vb[mes],$A86
)</f>
        <v>0</v>
      </c>
      <c r="V86" s="111">
        <f ca="1">SUMIFS(
  m.vb[valor],
  m.vb[nucleo],$N$1,
  m.vb[variavel],V$7,
  m.vb[mes],$A86
)</f>
        <v>0</v>
      </c>
      <c r="W86" s="111">
        <f ca="1">SUMIFS(
  m.vb[valor],
  m.vb[nucleo],$N$1,
  m.vb[variavel],W$7,
  m.vb[mes],$A86
)</f>
        <v>0</v>
      </c>
      <c r="X86" s="111">
        <f ca="1">SUMIFS(
  m.vb[valor],
  m.vb[nucleo],$N$1,
  m.vb[variavel],X$7,
  m.vb[mes],$A86
)</f>
        <v>0</v>
      </c>
      <c r="Y86" s="111">
        <f ca="1">SUMIFS(
  m.vb[valor],
  m.vb[nucleo],$N$1,
  m.vb[variavel],Y$7,
  m.vb[mes],$A86
)</f>
        <v>0</v>
      </c>
      <c r="Z86" s="122">
        <f>COUNTIFS(
    tb_estq[empresa], Z$6,
    tb_estq[Data da venda / reserva], "&gt;=" &amp; $A86,
    tb_estq[Data da venda / reserva], "&lt;"  &amp; EOMONTH($A86,0) + 1
)</f>
        <v>0</v>
      </c>
      <c r="AA86" s="123">
        <f ca="1">SUMIFS(tb_rec_uni[2027-12-01],
INDIRECT("tb_rec_uni[natureza]"),"pro.soluto",
INDIRECT("tb_rec_uni[empresa]"),AA$6)</f>
        <v>0</v>
      </c>
      <c r="AB86" s="127">
        <f ca="1">SUMIFS(tb_rec_uni[2027-12-01],
INDIRECT("tb_rec_uni[natureza]"),"parcela.fin.total.ik",
INDIRECT("tb_rec_uni[empresa]"),AB$6)</f>
        <v>0</v>
      </c>
      <c r="AC86" s="123">
        <f ca="1">SUMIFS(tb_rec_uni[2027-12-01],
INDIRECT("tb_rec_uni[natureza]"),"taxa.extra",
INDIRECT("tb_rec_uni[empresa]"),AC$6)</f>
        <v>0</v>
      </c>
      <c r="AD86" s="111"/>
      <c r="AE86" s="111">
        <f ca="1">SUMIFS(
  m.vb[valor],
  m.vb[nucleo],$Z$1,
  m.vb[variavel],AE$7,
  m.vb[mes],$A86
)</f>
        <v>0</v>
      </c>
      <c r="AF86" s="111">
        <f ca="1">SUMIFS(
  m.vb[valor],
  m.vb[nucleo],$Z$1,
  m.vb[variavel],AF$7,
  m.vb[mes],$A86
)</f>
        <v>0</v>
      </c>
      <c r="AG86" s="111">
        <f ca="1">SUMIFS(
  m.vb[valor],
  m.vb[nucleo],$Z$1,
  m.vb[variavel],AG$7,
  m.vb[mes],$A86
)</f>
        <v>0</v>
      </c>
      <c r="AH86" s="111">
        <f ca="1">SUMIFS(
  m.vb[valor],
  m.vb[nucleo],$Z$1,
  m.vb[variavel],AH$7,
  m.vb[mes],$A86
)</f>
        <v>0</v>
      </c>
      <c r="AI86" s="111">
        <f ca="1">SUMIFS(
  m.vb[valor],
  m.vb[nucleo],$Z$1,
  m.vb[variavel],AI$7,
  m.vb[mes],$A86
)</f>
        <v>0</v>
      </c>
      <c r="AJ86" s="122">
        <f>COUNTIFS(
    tb_estq[empresa], AJ$6,
    tb_estq[Data da venda / reserva], "&gt;=" &amp; $A86,
    tb_estq[Data da venda / reserva], "&lt;"  &amp; EOMONTH($A86,0) + 1
)</f>
        <v>0</v>
      </c>
      <c r="AK86" s="123">
        <f ca="1">SUMIFS(tb_rec_uni[2027-12-01],
INDIRECT("tb_rec_uni[natureza]"),"pro.soluto",
INDIRECT("tb_rec_uni[empresa]"),AK$6)</f>
        <v>0</v>
      </c>
      <c r="AL86" s="123">
        <f ca="1">SUMIFS(tb_rec_uni[2027-12-01],
INDIRECT("tb_rec_uni[natureza]"),"repasse.cef.obra",
INDIRECT("tb_rec_uni[empresa]"),AL$6)</f>
        <v>0</v>
      </c>
      <c r="AM86" s="126">
        <f ca="1">SUMIFS(tb_rec_uni[2027-12-01],
INDIRECT("tb_rec_uni[natureza]"),"repasse.cef.terreno",
INDIRECT("tb_rec_uni[empresa]"),AM$6)</f>
        <v>0</v>
      </c>
      <c r="AN86" s="127"/>
      <c r="AO86" s="123">
        <f ca="1">SUMIFS(tb_rec_uni[2027-12-01],
INDIRECT("tb_rec_uni[natureza]"),"taxa.extra",
INDIRECT("tb_rec_uni[empresa]"),AO$6)</f>
        <v>0</v>
      </c>
      <c r="AP86" s="111"/>
      <c r="AQ86" s="111">
        <f ca="1">SUMIFS(
  m.vb[valor],
  m.vb[nucleo],$AJ$1,
  m.vb[variavel],AQ$7,
  m.vb[mes],$A86
)</f>
        <v>0</v>
      </c>
      <c r="AR86" s="111">
        <f ca="1">SUMIFS(
  m.vb[valor],
  m.vb[nucleo],$AJ$1,
  m.vb[variavel],AR$7,
  m.vb[mes],$A86
)</f>
        <v>0</v>
      </c>
      <c r="AS86" s="111">
        <f ca="1">SUMIFS(
  m.vb[valor],
  m.vb[nucleo],$AJ$1,
  m.vb[variavel],AS$7,
  m.vb[mes],$A86
)</f>
        <v>0</v>
      </c>
      <c r="AT86" s="111">
        <f ca="1">SUMIFS(
  m.vb[valor],
  m.vb[nucleo],$AJ$1,
  m.vb[variavel],AT$7,
  m.vb[mes],$A86
)</f>
        <v>0</v>
      </c>
      <c r="AU86" s="111">
        <f ca="1">SUMIFS(
  m.vb[valor],
  m.vb[nucleo],$AJ$1,
  m.vb[variavel],AU$7,
  m.vb[mes],$A86
)</f>
        <v>0</v>
      </c>
      <c r="AV86" s="122">
        <f>COUNTIFS(
    tb_estq[empresa], AV$6,
    tb_estq[Data da venda / reserva], "&gt;=" &amp; $A86,
    tb_estq[Data da venda / reserva], "&lt;"  &amp; EOMONTH($A86,0) + 1
)</f>
        <v>0</v>
      </c>
      <c r="AW86" s="123">
        <f ca="1">SUMIFS(tb_rec_uni[2027-12-01],
INDIRECT("tb_rec_uni[natureza]"),"pro.soluto",
INDIRECT("tb_rec_uni[empresa]"),AW$6)</f>
        <v>0</v>
      </c>
      <c r="AX86" s="123">
        <f ca="1">SUMIFS(tb_rec_uni[2027-12-01],
INDIRECT("tb_rec_uni[natureza]"),"repasse.cef.obra",
INDIRECT("tb_rec_uni[empresa]"),AX$6)</f>
        <v>0</v>
      </c>
      <c r="AY86" s="126">
        <f ca="1">SUMIFS(tb_rec_uni[2027-12-01],
INDIRECT("tb_rec_uni[natureza]"),"repasse.cef.terreno",
INDIRECT("tb_rec_uni[empresa]"),AY$6)</f>
        <v>0</v>
      </c>
      <c r="AZ86" s="127"/>
      <c r="BA86" s="123">
        <f ca="1">SUMIFS(tb_rec_uni[2027-12-01],
INDIRECT("tb_rec_uni[natureza]"),"taxa.extra",
INDIRECT("tb_rec_uni[empresa]"),BA$6)</f>
        <v>0</v>
      </c>
      <c r="BB86" s="111"/>
      <c r="BC86" s="111">
        <f ca="1">SUMIFS(
  m.vb[valor],
  m.vb[nucleo],$AV$1,
  m.vb[variavel],BC$7,
  m.vb[mes],$A86
)</f>
        <v>0</v>
      </c>
      <c r="BD86" s="111">
        <f ca="1">SUMIFS(
  m.vb[valor],
  m.vb[nucleo],$AV$1,
  m.vb[variavel],BD$7,
  m.vb[mes],$A86
)</f>
        <v>0</v>
      </c>
      <c r="BE86" s="111">
        <f ca="1">SUMIFS(
  m.vb[valor],
  m.vb[nucleo],$AV$1,
  m.vb[variavel],BE$7,
  m.vb[mes],$A86
)</f>
        <v>0</v>
      </c>
      <c r="BF86" s="111">
        <f ca="1">SUMIFS(
  m.vb[valor],
  m.vb[nucleo],$AV$1,
  m.vb[variavel],BF$7,
  m.vb[mes],$A86
)</f>
        <v>0</v>
      </c>
      <c r="BG86" s="111">
        <f ca="1">SUMIFS(
  m.vb[valor],
  m.vb[nucleo],$AV$1,
  m.vb[variavel],BG$7,
  m.vb[mes],$A86
)</f>
        <v>0</v>
      </c>
      <c r="BH86" s="122">
        <f>COUNTIFS(
    tb_estq[empresa], BH$6,
    tb_estq[Data da venda / reserva], "&gt;=" &amp; $A86,
    tb_estq[Data da venda / reserva], "&lt;"  &amp; EOMONTH($A86,0) + 1
)</f>
        <v>0</v>
      </c>
      <c r="BI86" s="123">
        <f ca="1">SUMIFS(tb_rec_uni[2027-12-01],
INDIRECT("tb_rec_uni[natureza]"),"pro.soluto",
INDIRECT("tb_rec_uni[empresa]"),BI$6)</f>
        <v>0</v>
      </c>
      <c r="BJ86" s="127"/>
      <c r="BK86" s="123">
        <f ca="1">SUMIFS(tb_rec_uni[2027-12-01],
INDIRECT("tb_rec_uni[natureza]"),"taxa.extra",
INDIRECT("tb_rec_uni[empresa]"),BK$6)</f>
        <v>0</v>
      </c>
      <c r="BL86" s="111"/>
      <c r="BM86" s="111">
        <f ca="1">SUMIFS(
  m.vb[valor],
  m.vb[nucleo],$BH$1,
  m.vb[variavel],BM$7,
  m.vb[mes],$A86
)</f>
        <v>0</v>
      </c>
      <c r="BN86" s="111">
        <f ca="1">SUMIFS(
  m.vb[valor],
  m.vb[nucleo],$BH$1,
  m.vb[variavel],BN$7,
  m.vb[mes],$A86
)</f>
        <v>0</v>
      </c>
      <c r="BO86" s="111">
        <f ca="1">SUMIFS(
  m.vb[valor],
  m.vb[nucleo],$BH$1,
  m.vb[variavel],BO$7,
  m.vb[mes],$A86
)</f>
        <v>0</v>
      </c>
      <c r="BP86" s="111">
        <f ca="1">SUMIFS(
  m.vb[valor],
  m.vb[nucleo],$BH$1,
  m.vb[variavel],BP$7,
  m.vb[mes],$A86
)</f>
        <v>0</v>
      </c>
      <c r="BQ86" s="111">
        <f ca="1">SUMIFS(
  m.vb[valor],
  m.vb[nucleo],$BH$1,
  m.vb[variavel],BQ$7,
  m.vb[mes],$A86
)</f>
        <v>0</v>
      </c>
      <c r="BR86" s="122">
        <f>COUNTIFS(
    tb_estq[empresa], BR$6,
    tb_estq[Data da venda / reserva], "&gt;=" &amp; $A86,
    tb_estq[Data da venda / reserva], "&lt;"  &amp; EOMONTH($A86,0) + 1
)</f>
        <v>0</v>
      </c>
      <c r="BS86" s="123">
        <f ca="1">SUMIFS(tb_rec_uni[2027-12-01],
INDIRECT("tb_rec_uni[natureza]"),"pro.soluto",
INDIRECT("tb_rec_uni[empresa]"),BS$6)</f>
        <v>0</v>
      </c>
      <c r="BT86" s="127">
        <f ca="1">SUMIFS(tb_rec_uni[2027-12-01],
INDIRECT("tb_rec_uni[natureza]"),"parcela.fin.total.ik",
INDIRECT("tb_rec_uni[empresa]"),BT$6)</f>
        <v>0</v>
      </c>
      <c r="BU86" s="123">
        <f ca="1">SUMIFS(tb_rec_uni[2027-12-01],
INDIRECT("tb_rec_uni[natureza]"),"taxa.extra",
INDIRECT("tb_rec_uni[empresa]"),BU$6)</f>
        <v>0</v>
      </c>
      <c r="BV86" s="111"/>
      <c r="BW86" s="111">
        <f ca="1">SUMIFS(
  m.vb[valor],
  m.vb[nucleo],$BR$1,
  m.vb[variavel],BW$7,
  m.vb[mes],$A86
)</f>
        <v>0</v>
      </c>
      <c r="BX86" s="111">
        <f ca="1">SUMIFS(
  m.vb[valor],
  m.vb[nucleo],$BR$1,
  m.vb[variavel],BX$7,
  m.vb[mes],$A86
)</f>
        <v>0</v>
      </c>
      <c r="BY86" s="111">
        <f ca="1">SUMIFS(
  m.vb[valor],
  m.vb[nucleo],$BR$1,
  m.vb[variavel],BY$7,
  m.vb[mes],$A86
)</f>
        <v>0</v>
      </c>
      <c r="BZ86" s="111">
        <f ca="1">SUMIFS(
  m.vb[valor],
  m.vb[nucleo],$BR$1,
  m.vb[variavel],BZ$7,
  m.vb[mes],$A86
)</f>
        <v>0</v>
      </c>
      <c r="CA86" s="111">
        <f ca="1">SUMIFS(
  m.vb[valor],
  m.vb[nucleo],$BR$1,
  m.vb[variavel],CA$7,
  m.vb[mes],$A86
)</f>
        <v>0</v>
      </c>
      <c r="CB86" s="122">
        <f>COUNTIFS(
    tb_estq[empresa], CB$6,
    tb_estq[Data da venda / reserva], "&gt;=" &amp; $A86,
    tb_estq[Data da venda / reserva], "&lt;"  &amp; EOMONTH($A86,0) + 1
)</f>
        <v>0</v>
      </c>
      <c r="CC86" s="123">
        <f ca="1">SUMIFS(tb_rec_uni[2027-12-01],
INDIRECT("tb_rec_uni[natureza]"),"pro.soluto",
INDIRECT("tb_rec_uni[empresa]"),CC$6)</f>
        <v>0</v>
      </c>
      <c r="CD86" s="123">
        <f ca="1">SUMIFS(tb_rec_uni[2027-12-01],
INDIRECT("tb_rec_uni[natureza]"),"repasse.cef.obra",
INDIRECT("tb_rec_uni[empresa]"),CD$6)</f>
        <v>0</v>
      </c>
      <c r="CE86" s="126">
        <f ca="1">SUMIFS(tb_rec_uni[2027-12-01],
INDIRECT("tb_rec_uni[natureza]"),"repasse.cef.terreno",
INDIRECT("tb_rec_uni[empresa]"),CE$6)</f>
        <v>0</v>
      </c>
      <c r="CF86" s="127"/>
      <c r="CG86" s="123">
        <f ca="1">SUMIFS(tb_rec_uni[2027-12-01],
INDIRECT("tb_rec_uni[natureza]"),"taxa.extra",
INDIRECT("tb_rec_uni[empresa]"),CG$6)</f>
        <v>0</v>
      </c>
      <c r="CH86" s="111"/>
      <c r="CI86" s="111">
        <f ca="1">SUMIFS(
  m.vb[valor],
  m.vb[nucleo],$CB$1,
  m.vb[variavel],CI$7,
  m.vb[mes],$A86
)</f>
        <v>0</v>
      </c>
      <c r="CJ86" s="111">
        <f ca="1">SUMIFS(
  m.vb[valor],
  m.vb[nucleo],$CB$1,
  m.vb[variavel],CJ$7,
  m.vb[mes],$A86
)</f>
        <v>0</v>
      </c>
      <c r="CK86" s="111">
        <f ca="1">SUMIFS(
  m.vb[valor],
  m.vb[nucleo],$CB$1,
  m.vb[variavel],CK$7,
  m.vb[mes],$A86
)</f>
        <v>0</v>
      </c>
      <c r="CL86" s="111">
        <f ca="1">SUMIFS(
  m.vb[valor],
  m.vb[nucleo],$CB$1,
  m.vb[variavel],CL$7,
  m.vb[mes],$A86
)</f>
        <v>0</v>
      </c>
      <c r="CM86" s="111">
        <f ca="1">SUMIFS(
  m.vb[valor],
  m.vb[nucleo],$CB$1,
  m.vb[variavel],CM$7,
  m.vb[mes],$A86
)</f>
        <v>0</v>
      </c>
      <c r="CN86" s="122">
        <f>COUNTIFS(
    tb_estq[empresa], CN$6,
    tb_estq[Data da venda / reserva], "&gt;=" &amp; $A86,
    tb_estq[Data da venda / reserva], "&lt;"  &amp; EOMONTH($A86,0) + 1
)</f>
        <v>0</v>
      </c>
      <c r="CO86" s="123">
        <f ca="1">SUMIFS(tb_rec_uni[2027-12-01],
INDIRECT("tb_rec_uni[natureza]"),"pro.soluto",
INDIRECT("tb_rec_uni[empresa]"),CO$6)</f>
        <v>0</v>
      </c>
      <c r="CP86" s="123">
        <f ca="1">SUMIFS(tb_rec_uni[2027-12-01],
INDIRECT("tb_rec_uni[natureza]"),"repasse.cef.obra",
INDIRECT("tb_rec_uni[empresa]"),CP$6)</f>
        <v>0</v>
      </c>
      <c r="CQ86" s="126">
        <f ca="1">SUMIFS(tb_rec_uni[2027-12-01],
INDIRECT("tb_rec_uni[natureza]"),"repasse.cef.terreno",
INDIRECT("tb_rec_uni[empresa]"),CQ$6)</f>
        <v>0</v>
      </c>
      <c r="CR86" s="127"/>
      <c r="CS86" s="123">
        <f ca="1">SUMIFS(tb_rec_uni[2027-12-01],
INDIRECT("tb_rec_uni[natureza]"),"taxa.extra",
INDIRECT("tb_rec_uni[empresa]"),CS$6)</f>
        <v>0</v>
      </c>
      <c r="CT86" s="111"/>
      <c r="CU86" s="111">
        <f ca="1">SUMIFS(
  m.vb[valor],
  m.vb[nucleo],$CN$1,
  m.vb[variavel],CU$7,
  m.vb[mes],$A86
)</f>
        <v>0</v>
      </c>
      <c r="CV86" s="111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11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11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4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21">
        <v>46753</v>
      </c>
      <c r="B87" s="122">
        <f>COUNTIFS(
    tb_estq[empresa], B$6,
    tb_estq[Data da venda / reserva], "&gt;=" &amp; $A87,
    tb_estq[Data da venda / reserva], "&lt;"  &amp; EOMONTH($A87,0) + 1
)</f>
        <v>0</v>
      </c>
      <c r="C87" s="123">
        <f ca="1">SUMIFS(tb_rec_uni[2028-01-01],
INDIRECT("tb_rec_uni[natureza]"),"pro.soluto",
INDIRECT("tb_rec_uni[empresa]"),C$6)</f>
        <v>0</v>
      </c>
      <c r="D87" s="123">
        <f ca="1">SUMIFS(tb_rec_uni[2028-01-01],
INDIRECT("tb_rec_uni[natureza]"),"repasse.cef.obra",
INDIRECT("tb_rec_uni[empresa]"),D$6)</f>
        <v>0</v>
      </c>
      <c r="E87" s="123">
        <f ca="1">SUMIFS(tb_rec_uni[2028-01-01],
INDIRECT("tb_rec_uni[natureza]"),"repasse.cef.terreno",
INDIRECT("tb_rec_uni[empresa]"),E$6)</f>
        <v>0</v>
      </c>
      <c r="F87" s="127"/>
      <c r="G87" s="123">
        <f ca="1">SUMIFS(tb_rec_uni[2028-01-01],
INDIRECT("tb_rec_uni[natureza]"),"taxa.extra",
INDIRECT("tb_rec_uni[empresa]"),G$6)</f>
        <v>0</v>
      </c>
      <c r="H87" s="111"/>
      <c r="I87" s="111">
        <f ca="1">SUMIFS(
  m.vb[valor],
  m.vb[nucleo],$B$1,
  m.vb[variavel],I$7,
  m.vb[mes],$A87
)</f>
        <v>0</v>
      </c>
      <c r="J87" s="111">
        <f ca="1">SUMIFS(
  m.vb[valor],
  m.vb[nucleo],$B$1,
  m.vb[variavel],J$7,
  m.vb[mes],$A87
)</f>
        <v>0</v>
      </c>
      <c r="K87" s="111">
        <f ca="1">SUMIFS(
  m.vb[valor],
  m.vb[nucleo],$B$1,
  m.vb[variavel],K$7,
  m.vb[mes],$A87
)</f>
        <v>0</v>
      </c>
      <c r="L87" s="111">
        <f ca="1">SUMIFS(
  m.vb[valor],
  m.vb[nucleo],$B$1,
  m.vb[variavel],L$7,
  m.vb[mes],$A87
)</f>
        <v>0</v>
      </c>
      <c r="M87" s="111">
        <f ca="1">SUMIFS(
  m.vb[valor],
  m.vb[nucleo],$B$1,
  m.vb[variavel],M$7,
  m.vb[mes],$A87
)</f>
        <v>0</v>
      </c>
      <c r="N87" s="122">
        <f>COUNTIFS(
    tb_estq[empresa], N$6,
    tb_estq[Data da venda / reserva], "&gt;=" &amp; $A87,
    tb_estq[Data da venda / reserva], "&lt;"  &amp; EOMONTH($A87,0) + 1
)</f>
        <v>0</v>
      </c>
      <c r="O87" s="123">
        <f ca="1">SUMIFS(tb_rec_uni[2028-01-01],
INDIRECT("tb_rec_uni[natureza]"),"pro.soluto",
INDIRECT("tb_rec_uni[empresa]"),O$6)</f>
        <v>0</v>
      </c>
      <c r="P87" s="123">
        <f ca="1">SUMIFS(tb_rec_uni[2028-01-01],
INDIRECT("tb_rec_uni[natureza]"),"repasse.cef.obra",
INDIRECT("tb_rec_uni[empresa]"),P$6)</f>
        <v>0</v>
      </c>
      <c r="Q87" s="123">
        <f ca="1">SUMIFS(tb_rec_uni[2028-01-01],
INDIRECT("tb_rec_uni[natureza]"),"repasse.cef.terreno",
INDIRECT("tb_rec_uni[empresa]"),Q$6)</f>
        <v>0</v>
      </c>
      <c r="R87" s="127"/>
      <c r="S87" s="123">
        <f ca="1">SUMIFS(tb_rec_uni[2028-01-01],
INDIRECT("tb_rec_uni[natureza]"),"taxa.extra",
INDIRECT("tb_rec_uni[empresa]"),S$6)</f>
        <v>0</v>
      </c>
      <c r="T87" s="111"/>
      <c r="U87" s="111">
        <f ca="1">SUMIFS(
  m.vb[valor],
  m.vb[nucleo],$N$1,
  m.vb[variavel],U$7,
  m.vb[mes],$A87
)</f>
        <v>0</v>
      </c>
      <c r="V87" s="111">
        <f ca="1">SUMIFS(
  m.vb[valor],
  m.vb[nucleo],$N$1,
  m.vb[variavel],V$7,
  m.vb[mes],$A87
)</f>
        <v>0</v>
      </c>
      <c r="W87" s="111">
        <f ca="1">SUMIFS(
  m.vb[valor],
  m.vb[nucleo],$N$1,
  m.vb[variavel],W$7,
  m.vb[mes],$A87
)</f>
        <v>0</v>
      </c>
      <c r="X87" s="111">
        <f ca="1">SUMIFS(
  m.vb[valor],
  m.vb[nucleo],$N$1,
  m.vb[variavel],X$7,
  m.vb[mes],$A87
)</f>
        <v>0</v>
      </c>
      <c r="Y87" s="111">
        <f ca="1">SUMIFS(
  m.vb[valor],
  m.vb[nucleo],$N$1,
  m.vb[variavel],Y$7,
  m.vb[mes],$A87
)</f>
        <v>0</v>
      </c>
      <c r="Z87" s="122">
        <f>COUNTIFS(
    tb_estq[empresa], Z$6,
    tb_estq[Data da venda / reserva], "&gt;=" &amp; $A87,
    tb_estq[Data da venda / reserva], "&lt;"  &amp; EOMONTH($A87,0) + 1
)</f>
        <v>0</v>
      </c>
      <c r="AA87" s="123">
        <f ca="1">SUMIFS(tb_rec_uni[2028-01-01],
INDIRECT("tb_rec_uni[natureza]"),"pro.soluto",
INDIRECT("tb_rec_uni[empresa]"),AA$6)</f>
        <v>0</v>
      </c>
      <c r="AB87" s="127">
        <f ca="1">SUMIFS(tb_rec_uni[2028-01-01],
INDIRECT("tb_rec_uni[natureza]"),"parcela.fin.total.ik",
INDIRECT("tb_rec_uni[empresa]"),AB$6)</f>
        <v>0</v>
      </c>
      <c r="AC87" s="123">
        <f ca="1">SUMIFS(tb_rec_uni[2028-01-01],
INDIRECT("tb_rec_uni[natureza]"),"taxa.extra",
INDIRECT("tb_rec_uni[empresa]"),AC$6)</f>
        <v>0</v>
      </c>
      <c r="AD87" s="111"/>
      <c r="AE87" s="111">
        <f ca="1">SUMIFS(
  m.vb[valor],
  m.vb[nucleo],$Z$1,
  m.vb[variavel],AE$7,
  m.vb[mes],$A87
)</f>
        <v>0</v>
      </c>
      <c r="AF87" s="111">
        <f ca="1">SUMIFS(
  m.vb[valor],
  m.vb[nucleo],$Z$1,
  m.vb[variavel],AF$7,
  m.vb[mes],$A87
)</f>
        <v>0</v>
      </c>
      <c r="AG87" s="111">
        <f ca="1">SUMIFS(
  m.vb[valor],
  m.vb[nucleo],$Z$1,
  m.vb[variavel],AG$7,
  m.vb[mes],$A87
)</f>
        <v>0</v>
      </c>
      <c r="AH87" s="111">
        <f ca="1">SUMIFS(
  m.vb[valor],
  m.vb[nucleo],$Z$1,
  m.vb[variavel],AH$7,
  m.vb[mes],$A87
)</f>
        <v>0</v>
      </c>
      <c r="AI87" s="111">
        <f ca="1">SUMIFS(
  m.vb[valor],
  m.vb[nucleo],$Z$1,
  m.vb[variavel],AI$7,
  m.vb[mes],$A87
)</f>
        <v>0</v>
      </c>
      <c r="AJ87" s="122">
        <f>COUNTIFS(
    tb_estq[empresa], AJ$6,
    tb_estq[Data da venda / reserva], "&gt;=" &amp; $A87,
    tb_estq[Data da venda / reserva], "&lt;"  &amp; EOMONTH($A87,0) + 1
)</f>
        <v>0</v>
      </c>
      <c r="AK87" s="123">
        <f ca="1">SUMIFS(tb_rec_uni[2028-01-01],
INDIRECT("tb_rec_uni[natureza]"),"pro.soluto",
INDIRECT("tb_rec_uni[empresa]"),AK$6)</f>
        <v>0</v>
      </c>
      <c r="AL87" s="123">
        <f ca="1">SUMIFS(tb_rec_uni[2028-01-01],
INDIRECT("tb_rec_uni[natureza]"),"repasse.cef.obra",
INDIRECT("tb_rec_uni[empresa]"),AL$6)</f>
        <v>0</v>
      </c>
      <c r="AM87" s="126">
        <f ca="1">SUMIFS(tb_rec_uni[2028-01-01],
INDIRECT("tb_rec_uni[natureza]"),"repasse.cef.terreno",
INDIRECT("tb_rec_uni[empresa]"),AM$6)</f>
        <v>0</v>
      </c>
      <c r="AN87" s="127"/>
      <c r="AO87" s="123">
        <f ca="1">SUMIFS(tb_rec_uni[2028-01-01],
INDIRECT("tb_rec_uni[natureza]"),"taxa.extra",
INDIRECT("tb_rec_uni[empresa]"),AO$6)</f>
        <v>0</v>
      </c>
      <c r="AP87" s="111"/>
      <c r="AQ87" s="111">
        <f ca="1">SUMIFS(
  m.vb[valor],
  m.vb[nucleo],$AJ$1,
  m.vb[variavel],AQ$7,
  m.vb[mes],$A87
)</f>
        <v>0</v>
      </c>
      <c r="AR87" s="111">
        <f ca="1">SUMIFS(
  m.vb[valor],
  m.vb[nucleo],$AJ$1,
  m.vb[variavel],AR$7,
  m.vb[mes],$A87
)</f>
        <v>0</v>
      </c>
      <c r="AS87" s="111">
        <f ca="1">SUMIFS(
  m.vb[valor],
  m.vb[nucleo],$AJ$1,
  m.vb[variavel],AS$7,
  m.vb[mes],$A87
)</f>
        <v>0</v>
      </c>
      <c r="AT87" s="111">
        <f ca="1">SUMIFS(
  m.vb[valor],
  m.vb[nucleo],$AJ$1,
  m.vb[variavel],AT$7,
  m.vb[mes],$A87
)</f>
        <v>0</v>
      </c>
      <c r="AU87" s="111">
        <f ca="1">SUMIFS(
  m.vb[valor],
  m.vb[nucleo],$AJ$1,
  m.vb[variavel],AU$7,
  m.vb[mes],$A87
)</f>
        <v>0</v>
      </c>
      <c r="AV87" s="122">
        <f>COUNTIFS(
    tb_estq[empresa], AV$6,
    tb_estq[Data da venda / reserva], "&gt;=" &amp; $A87,
    tb_estq[Data da venda / reserva], "&lt;"  &amp; EOMONTH($A87,0) + 1
)</f>
        <v>0</v>
      </c>
      <c r="AW87" s="123">
        <f ca="1">SUMIFS(tb_rec_uni[2028-01-01],
INDIRECT("tb_rec_uni[natureza]"),"pro.soluto",
INDIRECT("tb_rec_uni[empresa]"),AW$6)</f>
        <v>0</v>
      </c>
      <c r="AX87" s="123">
        <f ca="1">SUMIFS(tb_rec_uni[2028-01-01],
INDIRECT("tb_rec_uni[natureza]"),"repasse.cef.obra",
INDIRECT("tb_rec_uni[empresa]"),AX$6)</f>
        <v>0</v>
      </c>
      <c r="AY87" s="126">
        <f ca="1">SUMIFS(tb_rec_uni[2028-01-01],
INDIRECT("tb_rec_uni[natureza]"),"repasse.cef.terreno",
INDIRECT("tb_rec_uni[empresa]"),AY$6)</f>
        <v>0</v>
      </c>
      <c r="AZ87" s="127"/>
      <c r="BA87" s="123">
        <f ca="1">SUMIFS(tb_rec_uni[2028-01-01],
INDIRECT("tb_rec_uni[natureza]"),"taxa.extra",
INDIRECT("tb_rec_uni[empresa]"),BA$6)</f>
        <v>0</v>
      </c>
      <c r="BB87" s="111"/>
      <c r="BC87" s="111">
        <f ca="1">SUMIFS(
  m.vb[valor],
  m.vb[nucleo],$AV$1,
  m.vb[variavel],BC$7,
  m.vb[mes],$A87
)</f>
        <v>0</v>
      </c>
      <c r="BD87" s="111">
        <f ca="1">SUMIFS(
  m.vb[valor],
  m.vb[nucleo],$AV$1,
  m.vb[variavel],BD$7,
  m.vb[mes],$A87
)</f>
        <v>0</v>
      </c>
      <c r="BE87" s="111">
        <f ca="1">SUMIFS(
  m.vb[valor],
  m.vb[nucleo],$AV$1,
  m.vb[variavel],BE$7,
  m.vb[mes],$A87
)</f>
        <v>0</v>
      </c>
      <c r="BF87" s="111">
        <f ca="1">SUMIFS(
  m.vb[valor],
  m.vb[nucleo],$AV$1,
  m.vb[variavel],BF$7,
  m.vb[mes],$A87
)</f>
        <v>0</v>
      </c>
      <c r="BG87" s="111">
        <f ca="1">SUMIFS(
  m.vb[valor],
  m.vb[nucleo],$AV$1,
  m.vb[variavel],BG$7,
  m.vb[mes],$A87
)</f>
        <v>0</v>
      </c>
      <c r="BH87" s="122">
        <f>COUNTIFS(
    tb_estq[empresa], BH$6,
    tb_estq[Data da venda / reserva], "&gt;=" &amp; $A87,
    tb_estq[Data da venda / reserva], "&lt;"  &amp; EOMONTH($A87,0) + 1
)</f>
        <v>0</v>
      </c>
      <c r="BI87" s="123">
        <f ca="1">SUMIFS(tb_rec_uni[2028-01-01],
INDIRECT("tb_rec_uni[natureza]"),"pro.soluto",
INDIRECT("tb_rec_uni[empresa]"),BI$6)</f>
        <v>0</v>
      </c>
      <c r="BJ87" s="127"/>
      <c r="BK87" s="123">
        <f ca="1">SUMIFS(tb_rec_uni[2028-01-01],
INDIRECT("tb_rec_uni[natureza]"),"taxa.extra",
INDIRECT("tb_rec_uni[empresa]"),BK$6)</f>
        <v>0</v>
      </c>
      <c r="BL87" s="111"/>
      <c r="BM87" s="111">
        <f ca="1">SUMIFS(
  m.vb[valor],
  m.vb[nucleo],$BH$1,
  m.vb[variavel],BM$7,
  m.vb[mes],$A87
)</f>
        <v>0</v>
      </c>
      <c r="BN87" s="111">
        <f ca="1">SUMIFS(
  m.vb[valor],
  m.vb[nucleo],$BH$1,
  m.vb[variavel],BN$7,
  m.vb[mes],$A87
)</f>
        <v>0</v>
      </c>
      <c r="BO87" s="111">
        <f ca="1">SUMIFS(
  m.vb[valor],
  m.vb[nucleo],$BH$1,
  m.vb[variavel],BO$7,
  m.vb[mes],$A87
)</f>
        <v>0</v>
      </c>
      <c r="BP87" s="111">
        <f ca="1">SUMIFS(
  m.vb[valor],
  m.vb[nucleo],$BH$1,
  m.vb[variavel],BP$7,
  m.vb[mes],$A87
)</f>
        <v>0</v>
      </c>
      <c r="BQ87" s="111">
        <f ca="1">SUMIFS(
  m.vb[valor],
  m.vb[nucleo],$BH$1,
  m.vb[variavel],BQ$7,
  m.vb[mes],$A87
)</f>
        <v>0</v>
      </c>
      <c r="BR87" s="122">
        <f>COUNTIFS(
    tb_estq[empresa], BR$6,
    tb_estq[Data da venda / reserva], "&gt;=" &amp; $A87,
    tb_estq[Data da venda / reserva], "&lt;"  &amp; EOMONTH($A87,0) + 1
)</f>
        <v>0</v>
      </c>
      <c r="BS87" s="123">
        <f ca="1">SUMIFS(tb_rec_uni[2028-01-01],
INDIRECT("tb_rec_uni[natureza]"),"pro.soluto",
INDIRECT("tb_rec_uni[empresa]"),BS$6)</f>
        <v>0</v>
      </c>
      <c r="BT87" s="127">
        <f ca="1">SUMIFS(tb_rec_uni[2028-01-01],
INDIRECT("tb_rec_uni[natureza]"),"parcela.fin.total.ik",
INDIRECT("tb_rec_uni[empresa]"),BT$6)</f>
        <v>0</v>
      </c>
      <c r="BU87" s="123">
        <f ca="1">SUMIFS(tb_rec_uni[2028-01-01],
INDIRECT("tb_rec_uni[natureza]"),"taxa.extra",
INDIRECT("tb_rec_uni[empresa]"),BU$6)</f>
        <v>0</v>
      </c>
      <c r="BV87" s="111"/>
      <c r="BW87" s="111">
        <f ca="1">SUMIFS(
  m.vb[valor],
  m.vb[nucleo],$BR$1,
  m.vb[variavel],BW$7,
  m.vb[mes],$A87
)</f>
        <v>0</v>
      </c>
      <c r="BX87" s="111">
        <f ca="1">SUMIFS(
  m.vb[valor],
  m.vb[nucleo],$BR$1,
  m.vb[variavel],BX$7,
  m.vb[mes],$A87
)</f>
        <v>0</v>
      </c>
      <c r="BY87" s="111">
        <f ca="1">SUMIFS(
  m.vb[valor],
  m.vb[nucleo],$BR$1,
  m.vb[variavel],BY$7,
  m.vb[mes],$A87
)</f>
        <v>0</v>
      </c>
      <c r="BZ87" s="111">
        <f ca="1">SUMIFS(
  m.vb[valor],
  m.vb[nucleo],$BR$1,
  m.vb[variavel],BZ$7,
  m.vb[mes],$A87
)</f>
        <v>0</v>
      </c>
      <c r="CA87" s="111">
        <f ca="1">SUMIFS(
  m.vb[valor],
  m.vb[nucleo],$BR$1,
  m.vb[variavel],CA$7,
  m.vb[mes],$A87
)</f>
        <v>0</v>
      </c>
      <c r="CB87" s="122">
        <f>COUNTIFS(
    tb_estq[empresa], CB$6,
    tb_estq[Data da venda / reserva], "&gt;=" &amp; $A87,
    tb_estq[Data da venda / reserva], "&lt;"  &amp; EOMONTH($A87,0) + 1
)</f>
        <v>0</v>
      </c>
      <c r="CC87" s="123">
        <f ca="1">SUMIFS(tb_rec_uni[2028-01-01],
INDIRECT("tb_rec_uni[natureza]"),"pro.soluto",
INDIRECT("tb_rec_uni[empresa]"),CC$6)</f>
        <v>0</v>
      </c>
      <c r="CD87" s="123">
        <f ca="1">SUMIFS(tb_rec_uni[2028-01-01],
INDIRECT("tb_rec_uni[natureza]"),"repasse.cef.obra",
INDIRECT("tb_rec_uni[empresa]"),CD$6)</f>
        <v>0</v>
      </c>
      <c r="CE87" s="126">
        <f ca="1">SUMIFS(tb_rec_uni[2028-01-01],
INDIRECT("tb_rec_uni[natureza]"),"repasse.cef.terreno",
INDIRECT("tb_rec_uni[empresa]"),CE$6)</f>
        <v>0</v>
      </c>
      <c r="CF87" s="127"/>
      <c r="CG87" s="123">
        <f ca="1">SUMIFS(tb_rec_uni[2028-01-01],
INDIRECT("tb_rec_uni[natureza]"),"taxa.extra",
INDIRECT("tb_rec_uni[empresa]"),CG$6)</f>
        <v>0</v>
      </c>
      <c r="CH87" s="111"/>
      <c r="CI87" s="111">
        <f ca="1">SUMIFS(
  m.vb[valor],
  m.vb[nucleo],$CB$1,
  m.vb[variavel],CI$7,
  m.vb[mes],$A87
)</f>
        <v>0</v>
      </c>
      <c r="CJ87" s="111">
        <f ca="1">SUMIFS(
  m.vb[valor],
  m.vb[nucleo],$CB$1,
  m.vb[variavel],CJ$7,
  m.vb[mes],$A87
)</f>
        <v>0</v>
      </c>
      <c r="CK87" s="111">
        <f ca="1">SUMIFS(
  m.vb[valor],
  m.vb[nucleo],$CB$1,
  m.vb[variavel],CK$7,
  m.vb[mes],$A87
)</f>
        <v>0</v>
      </c>
      <c r="CL87" s="111">
        <f ca="1">SUMIFS(
  m.vb[valor],
  m.vb[nucleo],$CB$1,
  m.vb[variavel],CL$7,
  m.vb[mes],$A87
)</f>
        <v>0</v>
      </c>
      <c r="CM87" s="111">
        <f ca="1">SUMIFS(
  m.vb[valor],
  m.vb[nucleo],$CB$1,
  m.vb[variavel],CM$7,
  m.vb[mes],$A87
)</f>
        <v>0</v>
      </c>
      <c r="CN87" s="122">
        <f>COUNTIFS(
    tb_estq[empresa], CN$6,
    tb_estq[Data da venda / reserva], "&gt;=" &amp; $A87,
    tb_estq[Data da venda / reserva], "&lt;"  &amp; EOMONTH($A87,0) + 1
)</f>
        <v>0</v>
      </c>
      <c r="CO87" s="123">
        <f ca="1">SUMIFS(tb_rec_uni[2028-01-01],
INDIRECT("tb_rec_uni[natureza]"),"pro.soluto",
INDIRECT("tb_rec_uni[empresa]"),CO$6)</f>
        <v>0</v>
      </c>
      <c r="CP87" s="123">
        <f ca="1">SUMIFS(tb_rec_uni[2028-01-01],
INDIRECT("tb_rec_uni[natureza]"),"repasse.cef.obra",
INDIRECT("tb_rec_uni[empresa]"),CP$6)</f>
        <v>0</v>
      </c>
      <c r="CQ87" s="126">
        <f ca="1">SUMIFS(tb_rec_uni[2028-01-01],
INDIRECT("tb_rec_uni[natureza]"),"repasse.cef.terreno",
INDIRECT("tb_rec_uni[empresa]"),CQ$6)</f>
        <v>0</v>
      </c>
      <c r="CR87" s="127"/>
      <c r="CS87" s="123">
        <f ca="1">SUMIFS(tb_rec_uni[2028-01-01],
INDIRECT("tb_rec_uni[natureza]"),"taxa.extra",
INDIRECT("tb_rec_uni[empresa]"),CS$6)</f>
        <v>0</v>
      </c>
      <c r="CT87" s="111"/>
      <c r="CU87" s="111">
        <f ca="1">SUMIFS(
  m.vb[valor],
  m.vb[nucleo],$CN$1,
  m.vb[variavel],CU$7,
  m.vb[mes],$A87
)</f>
        <v>0</v>
      </c>
      <c r="CV87" s="111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11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11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4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21">
        <v>46784</v>
      </c>
      <c r="B88" s="122">
        <f>COUNTIFS(
    tb_estq[empresa], B$6,
    tb_estq[Data da venda / reserva], "&gt;=" &amp; $A88,
    tb_estq[Data da venda / reserva], "&lt;"  &amp; EOMONTH($A88,0) + 1
)</f>
        <v>0</v>
      </c>
      <c r="C88" s="123">
        <f ca="1">SUMIFS(tb_rec_uni[2028-02-01],
INDIRECT("tb_rec_uni[natureza]"),"pro.soluto",
INDIRECT("tb_rec_uni[empresa]"),C$6)</f>
        <v>0</v>
      </c>
      <c r="D88" s="123">
        <f ca="1">SUMIFS(tb_rec_uni[2028-02-01],
INDIRECT("tb_rec_uni[natureza]"),"repasse.cef.obra",
INDIRECT("tb_rec_uni[empresa]"),D$6)</f>
        <v>0</v>
      </c>
      <c r="E88" s="123">
        <f ca="1">SUMIFS(tb_rec_uni[2028-02-01],
INDIRECT("tb_rec_uni[natureza]"),"repasse.cef.terreno",
INDIRECT("tb_rec_uni[empresa]"),E$6)</f>
        <v>0</v>
      </c>
      <c r="F88" s="127"/>
      <c r="G88" s="123">
        <f ca="1">SUMIFS(tb_rec_uni[2028-02-01],
INDIRECT("tb_rec_uni[natureza]"),"taxa.extra",
INDIRECT("tb_rec_uni[empresa]"),G$6)</f>
        <v>0</v>
      </c>
      <c r="H88" s="111"/>
      <c r="I88" s="111">
        <f ca="1">SUMIFS(
  m.vb[valor],
  m.vb[nucleo],$B$1,
  m.vb[variavel],I$7,
  m.vb[mes],$A88
)</f>
        <v>0</v>
      </c>
      <c r="J88" s="111">
        <f ca="1">SUMIFS(
  m.vb[valor],
  m.vb[nucleo],$B$1,
  m.vb[variavel],J$7,
  m.vb[mes],$A88
)</f>
        <v>0</v>
      </c>
      <c r="K88" s="111">
        <f ca="1">SUMIFS(
  m.vb[valor],
  m.vb[nucleo],$B$1,
  m.vb[variavel],K$7,
  m.vb[mes],$A88
)</f>
        <v>0</v>
      </c>
      <c r="L88" s="111">
        <f ca="1">SUMIFS(
  m.vb[valor],
  m.vb[nucleo],$B$1,
  m.vb[variavel],L$7,
  m.vb[mes],$A88
)</f>
        <v>0</v>
      </c>
      <c r="M88" s="111">
        <f ca="1">SUMIFS(
  m.vb[valor],
  m.vb[nucleo],$B$1,
  m.vb[variavel],M$7,
  m.vb[mes],$A88
)</f>
        <v>0</v>
      </c>
      <c r="N88" s="122">
        <f>COUNTIFS(
    tb_estq[empresa], N$6,
    tb_estq[Data da venda / reserva], "&gt;=" &amp; $A88,
    tb_estq[Data da venda / reserva], "&lt;"  &amp; EOMONTH($A88,0) + 1
)</f>
        <v>0</v>
      </c>
      <c r="O88" s="123">
        <f ca="1">SUMIFS(tb_rec_uni[2028-02-01],
INDIRECT("tb_rec_uni[natureza]"),"pro.soluto",
INDIRECT("tb_rec_uni[empresa]"),O$6)</f>
        <v>0</v>
      </c>
      <c r="P88" s="123">
        <f ca="1">SUMIFS(tb_rec_uni[2028-02-01],
INDIRECT("tb_rec_uni[natureza]"),"repasse.cef.obra",
INDIRECT("tb_rec_uni[empresa]"),P$6)</f>
        <v>0</v>
      </c>
      <c r="Q88" s="123">
        <f ca="1">SUMIFS(tb_rec_uni[2028-02-01],
INDIRECT("tb_rec_uni[natureza]"),"repasse.cef.terreno",
INDIRECT("tb_rec_uni[empresa]"),Q$6)</f>
        <v>0</v>
      </c>
      <c r="R88" s="127"/>
      <c r="S88" s="123">
        <f ca="1">SUMIFS(tb_rec_uni[2028-02-01],
INDIRECT("tb_rec_uni[natureza]"),"taxa.extra",
INDIRECT("tb_rec_uni[empresa]"),S$6)</f>
        <v>0</v>
      </c>
      <c r="T88" s="111"/>
      <c r="U88" s="111">
        <f ca="1">SUMIFS(
  m.vb[valor],
  m.vb[nucleo],$N$1,
  m.vb[variavel],U$7,
  m.vb[mes],$A88
)</f>
        <v>0</v>
      </c>
      <c r="V88" s="111">
        <f ca="1">SUMIFS(
  m.vb[valor],
  m.vb[nucleo],$N$1,
  m.vb[variavel],V$7,
  m.vb[mes],$A88
)</f>
        <v>0</v>
      </c>
      <c r="W88" s="111">
        <f ca="1">SUMIFS(
  m.vb[valor],
  m.vb[nucleo],$N$1,
  m.vb[variavel],W$7,
  m.vb[mes],$A88
)</f>
        <v>0</v>
      </c>
      <c r="X88" s="111">
        <f ca="1">SUMIFS(
  m.vb[valor],
  m.vb[nucleo],$N$1,
  m.vb[variavel],X$7,
  m.vb[mes],$A88
)</f>
        <v>0</v>
      </c>
      <c r="Y88" s="111">
        <f ca="1">SUMIFS(
  m.vb[valor],
  m.vb[nucleo],$N$1,
  m.vb[variavel],Y$7,
  m.vb[mes],$A88
)</f>
        <v>0</v>
      </c>
      <c r="Z88" s="122">
        <f>COUNTIFS(
    tb_estq[empresa], Z$6,
    tb_estq[Data da venda / reserva], "&gt;=" &amp; $A88,
    tb_estq[Data da venda / reserva], "&lt;"  &amp; EOMONTH($A88,0) + 1
)</f>
        <v>0</v>
      </c>
      <c r="AA88" s="123">
        <f ca="1">SUMIFS(tb_rec_uni[2028-02-01],
INDIRECT("tb_rec_uni[natureza]"),"pro.soluto",
INDIRECT("tb_rec_uni[empresa]"),AA$6)</f>
        <v>0</v>
      </c>
      <c r="AB88" s="127">
        <f ca="1">SUMIFS(tb_rec_uni[2028-02-01],
INDIRECT("tb_rec_uni[natureza]"),"parcela.fin.total.ik",
INDIRECT("tb_rec_uni[empresa]"),AB$6)</f>
        <v>0</v>
      </c>
      <c r="AC88" s="123">
        <f ca="1">SUMIFS(tb_rec_uni[2028-02-01],
INDIRECT("tb_rec_uni[natureza]"),"taxa.extra",
INDIRECT("tb_rec_uni[empresa]"),AC$6)</f>
        <v>0</v>
      </c>
      <c r="AD88" s="111"/>
      <c r="AE88" s="111">
        <f ca="1">SUMIFS(
  m.vb[valor],
  m.vb[nucleo],$Z$1,
  m.vb[variavel],AE$7,
  m.vb[mes],$A88
)</f>
        <v>0</v>
      </c>
      <c r="AF88" s="111">
        <f ca="1">SUMIFS(
  m.vb[valor],
  m.vb[nucleo],$Z$1,
  m.vb[variavel],AF$7,
  m.vb[mes],$A88
)</f>
        <v>0</v>
      </c>
      <c r="AG88" s="111">
        <f ca="1">SUMIFS(
  m.vb[valor],
  m.vb[nucleo],$Z$1,
  m.vb[variavel],AG$7,
  m.vb[mes],$A88
)</f>
        <v>0</v>
      </c>
      <c r="AH88" s="111">
        <f ca="1">SUMIFS(
  m.vb[valor],
  m.vb[nucleo],$Z$1,
  m.vb[variavel],AH$7,
  m.vb[mes],$A88
)</f>
        <v>0</v>
      </c>
      <c r="AI88" s="111">
        <f ca="1">SUMIFS(
  m.vb[valor],
  m.vb[nucleo],$Z$1,
  m.vb[variavel],AI$7,
  m.vb[mes],$A88
)</f>
        <v>0</v>
      </c>
      <c r="AJ88" s="122">
        <f>COUNTIFS(
    tb_estq[empresa], AJ$6,
    tb_estq[Data da venda / reserva], "&gt;=" &amp; $A88,
    tb_estq[Data da venda / reserva], "&lt;"  &amp; EOMONTH($A88,0) + 1
)</f>
        <v>0</v>
      </c>
      <c r="AK88" s="123">
        <f ca="1">SUMIFS(tb_rec_uni[2028-02-01],
INDIRECT("tb_rec_uni[natureza]"),"pro.soluto",
INDIRECT("tb_rec_uni[empresa]"),AK$6)</f>
        <v>0</v>
      </c>
      <c r="AL88" s="123">
        <f ca="1">SUMIFS(tb_rec_uni[2028-02-01],
INDIRECT("tb_rec_uni[natureza]"),"repasse.cef.obra",
INDIRECT("tb_rec_uni[empresa]"),AL$6)</f>
        <v>0</v>
      </c>
      <c r="AM88" s="126">
        <f ca="1">SUMIFS(tb_rec_uni[2028-02-01],
INDIRECT("tb_rec_uni[natureza]"),"repasse.cef.terreno",
INDIRECT("tb_rec_uni[empresa]"),AM$6)</f>
        <v>0</v>
      </c>
      <c r="AN88" s="127"/>
      <c r="AO88" s="123">
        <f ca="1">SUMIFS(tb_rec_uni[2028-02-01],
INDIRECT("tb_rec_uni[natureza]"),"taxa.extra",
INDIRECT("tb_rec_uni[empresa]"),AO$6)</f>
        <v>0</v>
      </c>
      <c r="AP88" s="111"/>
      <c r="AQ88" s="111">
        <f ca="1">SUMIFS(
  m.vb[valor],
  m.vb[nucleo],$AJ$1,
  m.vb[variavel],AQ$7,
  m.vb[mes],$A88
)</f>
        <v>0</v>
      </c>
      <c r="AR88" s="111">
        <f ca="1">SUMIFS(
  m.vb[valor],
  m.vb[nucleo],$AJ$1,
  m.vb[variavel],AR$7,
  m.vb[mes],$A88
)</f>
        <v>0</v>
      </c>
      <c r="AS88" s="111">
        <f ca="1">SUMIFS(
  m.vb[valor],
  m.vb[nucleo],$AJ$1,
  m.vb[variavel],AS$7,
  m.vb[mes],$A88
)</f>
        <v>0</v>
      </c>
      <c r="AT88" s="111">
        <f ca="1">SUMIFS(
  m.vb[valor],
  m.vb[nucleo],$AJ$1,
  m.vb[variavel],AT$7,
  m.vb[mes],$A88
)</f>
        <v>0</v>
      </c>
      <c r="AU88" s="111">
        <f ca="1">SUMIFS(
  m.vb[valor],
  m.vb[nucleo],$AJ$1,
  m.vb[variavel],AU$7,
  m.vb[mes],$A88
)</f>
        <v>0</v>
      </c>
      <c r="AV88" s="122">
        <f>COUNTIFS(
    tb_estq[empresa], AV$6,
    tb_estq[Data da venda / reserva], "&gt;=" &amp; $A88,
    tb_estq[Data da venda / reserva], "&lt;"  &amp; EOMONTH($A88,0) + 1
)</f>
        <v>0</v>
      </c>
      <c r="AW88" s="123">
        <f ca="1">SUMIFS(tb_rec_uni[2028-02-01],
INDIRECT("tb_rec_uni[natureza]"),"pro.soluto",
INDIRECT("tb_rec_uni[empresa]"),AW$6)</f>
        <v>0</v>
      </c>
      <c r="AX88" s="123">
        <f ca="1">SUMIFS(tb_rec_uni[2028-02-01],
INDIRECT("tb_rec_uni[natureza]"),"repasse.cef.obra",
INDIRECT("tb_rec_uni[empresa]"),AX$6)</f>
        <v>0</v>
      </c>
      <c r="AY88" s="126">
        <f ca="1">SUMIFS(tb_rec_uni[2028-02-01],
INDIRECT("tb_rec_uni[natureza]"),"repasse.cef.terreno",
INDIRECT("tb_rec_uni[empresa]"),AY$6)</f>
        <v>0</v>
      </c>
      <c r="AZ88" s="127"/>
      <c r="BA88" s="123">
        <f ca="1">SUMIFS(tb_rec_uni[2028-02-01],
INDIRECT("tb_rec_uni[natureza]"),"taxa.extra",
INDIRECT("tb_rec_uni[empresa]"),BA$6)</f>
        <v>0</v>
      </c>
      <c r="BB88" s="111"/>
      <c r="BC88" s="111">
        <f ca="1">SUMIFS(
  m.vb[valor],
  m.vb[nucleo],$AV$1,
  m.vb[variavel],BC$7,
  m.vb[mes],$A88
)</f>
        <v>0</v>
      </c>
      <c r="BD88" s="111">
        <f ca="1">SUMIFS(
  m.vb[valor],
  m.vb[nucleo],$AV$1,
  m.vb[variavel],BD$7,
  m.vb[mes],$A88
)</f>
        <v>0</v>
      </c>
      <c r="BE88" s="111">
        <f ca="1">SUMIFS(
  m.vb[valor],
  m.vb[nucleo],$AV$1,
  m.vb[variavel],BE$7,
  m.vb[mes],$A88
)</f>
        <v>0</v>
      </c>
      <c r="BF88" s="111">
        <f ca="1">SUMIFS(
  m.vb[valor],
  m.vb[nucleo],$AV$1,
  m.vb[variavel],BF$7,
  m.vb[mes],$A88
)</f>
        <v>0</v>
      </c>
      <c r="BG88" s="111">
        <f ca="1">SUMIFS(
  m.vb[valor],
  m.vb[nucleo],$AV$1,
  m.vb[variavel],BG$7,
  m.vb[mes],$A88
)</f>
        <v>0</v>
      </c>
      <c r="BH88" s="122">
        <f>COUNTIFS(
    tb_estq[empresa], BH$6,
    tb_estq[Data da venda / reserva], "&gt;=" &amp; $A88,
    tb_estq[Data da venda / reserva], "&lt;"  &amp; EOMONTH($A88,0) + 1
)</f>
        <v>0</v>
      </c>
      <c r="BI88" s="123">
        <f ca="1">SUMIFS(tb_rec_uni[2028-02-01],
INDIRECT("tb_rec_uni[natureza]"),"pro.soluto",
INDIRECT("tb_rec_uni[empresa]"),BI$6)</f>
        <v>0</v>
      </c>
      <c r="BJ88" s="127"/>
      <c r="BK88" s="123">
        <f ca="1">SUMIFS(tb_rec_uni[2028-02-01],
INDIRECT("tb_rec_uni[natureza]"),"taxa.extra",
INDIRECT("tb_rec_uni[empresa]"),BK$6)</f>
        <v>0</v>
      </c>
      <c r="BL88" s="111"/>
      <c r="BM88" s="111">
        <f ca="1">SUMIFS(
  m.vb[valor],
  m.vb[nucleo],$BH$1,
  m.vb[variavel],BM$7,
  m.vb[mes],$A88
)</f>
        <v>0</v>
      </c>
      <c r="BN88" s="111">
        <f ca="1">SUMIFS(
  m.vb[valor],
  m.vb[nucleo],$BH$1,
  m.vb[variavel],BN$7,
  m.vb[mes],$A88
)</f>
        <v>0</v>
      </c>
      <c r="BO88" s="111">
        <f ca="1">SUMIFS(
  m.vb[valor],
  m.vb[nucleo],$BH$1,
  m.vb[variavel],BO$7,
  m.vb[mes],$A88
)</f>
        <v>0</v>
      </c>
      <c r="BP88" s="111">
        <f ca="1">SUMIFS(
  m.vb[valor],
  m.vb[nucleo],$BH$1,
  m.vb[variavel],BP$7,
  m.vb[mes],$A88
)</f>
        <v>0</v>
      </c>
      <c r="BQ88" s="111">
        <f ca="1">SUMIFS(
  m.vb[valor],
  m.vb[nucleo],$BH$1,
  m.vb[variavel],BQ$7,
  m.vb[mes],$A88
)</f>
        <v>0</v>
      </c>
      <c r="BR88" s="122">
        <f>COUNTIFS(
    tb_estq[empresa], BR$6,
    tb_estq[Data da venda / reserva], "&gt;=" &amp; $A88,
    tb_estq[Data da venda / reserva], "&lt;"  &amp; EOMONTH($A88,0) + 1
)</f>
        <v>0</v>
      </c>
      <c r="BS88" s="123">
        <f ca="1">SUMIFS(tb_rec_uni[2028-02-01],
INDIRECT("tb_rec_uni[natureza]"),"pro.soluto",
INDIRECT("tb_rec_uni[empresa]"),BS$6)</f>
        <v>0</v>
      </c>
      <c r="BT88" s="127">
        <f ca="1">SUMIFS(tb_rec_uni[2028-02-01],
INDIRECT("tb_rec_uni[natureza]"),"parcela.fin.total.ik",
INDIRECT("tb_rec_uni[empresa]"),BT$6)</f>
        <v>0</v>
      </c>
      <c r="BU88" s="123">
        <f ca="1">SUMIFS(tb_rec_uni[2028-02-01],
INDIRECT("tb_rec_uni[natureza]"),"taxa.extra",
INDIRECT("tb_rec_uni[empresa]"),BU$6)</f>
        <v>0</v>
      </c>
      <c r="BV88" s="111"/>
      <c r="BW88" s="111">
        <f ca="1">SUMIFS(
  m.vb[valor],
  m.vb[nucleo],$BR$1,
  m.vb[variavel],BW$7,
  m.vb[mes],$A88
)</f>
        <v>0</v>
      </c>
      <c r="BX88" s="111">
        <f ca="1">SUMIFS(
  m.vb[valor],
  m.vb[nucleo],$BR$1,
  m.vb[variavel],BX$7,
  m.vb[mes],$A88
)</f>
        <v>0</v>
      </c>
      <c r="BY88" s="111">
        <f ca="1">SUMIFS(
  m.vb[valor],
  m.vb[nucleo],$BR$1,
  m.vb[variavel],BY$7,
  m.vb[mes],$A88
)</f>
        <v>0</v>
      </c>
      <c r="BZ88" s="111">
        <f ca="1">SUMIFS(
  m.vb[valor],
  m.vb[nucleo],$BR$1,
  m.vb[variavel],BZ$7,
  m.vb[mes],$A88
)</f>
        <v>0</v>
      </c>
      <c r="CA88" s="111">
        <f ca="1">SUMIFS(
  m.vb[valor],
  m.vb[nucleo],$BR$1,
  m.vb[variavel],CA$7,
  m.vb[mes],$A88
)</f>
        <v>0</v>
      </c>
      <c r="CB88" s="122">
        <f>COUNTIFS(
    tb_estq[empresa], CB$6,
    tb_estq[Data da venda / reserva], "&gt;=" &amp; $A88,
    tb_estq[Data da venda / reserva], "&lt;"  &amp; EOMONTH($A88,0) + 1
)</f>
        <v>0</v>
      </c>
      <c r="CC88" s="123">
        <f ca="1">SUMIFS(tb_rec_uni[2028-02-01],
INDIRECT("tb_rec_uni[natureza]"),"pro.soluto",
INDIRECT("tb_rec_uni[empresa]"),CC$6)</f>
        <v>0</v>
      </c>
      <c r="CD88" s="123">
        <f ca="1">SUMIFS(tb_rec_uni[2028-02-01],
INDIRECT("tb_rec_uni[natureza]"),"repasse.cef.obra",
INDIRECT("tb_rec_uni[empresa]"),CD$6)</f>
        <v>0</v>
      </c>
      <c r="CE88" s="126">
        <f ca="1">SUMIFS(tb_rec_uni[2028-02-01],
INDIRECT("tb_rec_uni[natureza]"),"repasse.cef.terreno",
INDIRECT("tb_rec_uni[empresa]"),CE$6)</f>
        <v>0</v>
      </c>
      <c r="CF88" s="127"/>
      <c r="CG88" s="123">
        <f ca="1">SUMIFS(tb_rec_uni[2028-02-01],
INDIRECT("tb_rec_uni[natureza]"),"taxa.extra",
INDIRECT("tb_rec_uni[empresa]"),CG$6)</f>
        <v>0</v>
      </c>
      <c r="CH88" s="111"/>
      <c r="CI88" s="111">
        <f ca="1">SUMIFS(
  m.vb[valor],
  m.vb[nucleo],$CB$1,
  m.vb[variavel],CI$7,
  m.vb[mes],$A88
)</f>
        <v>0</v>
      </c>
      <c r="CJ88" s="111">
        <f ca="1">SUMIFS(
  m.vb[valor],
  m.vb[nucleo],$CB$1,
  m.vb[variavel],CJ$7,
  m.vb[mes],$A88
)</f>
        <v>0</v>
      </c>
      <c r="CK88" s="111">
        <f ca="1">SUMIFS(
  m.vb[valor],
  m.vb[nucleo],$CB$1,
  m.vb[variavel],CK$7,
  m.vb[mes],$A88
)</f>
        <v>0</v>
      </c>
      <c r="CL88" s="111">
        <f ca="1">SUMIFS(
  m.vb[valor],
  m.vb[nucleo],$CB$1,
  m.vb[variavel],CL$7,
  m.vb[mes],$A88
)</f>
        <v>0</v>
      </c>
      <c r="CM88" s="111">
        <f ca="1">SUMIFS(
  m.vb[valor],
  m.vb[nucleo],$CB$1,
  m.vb[variavel],CM$7,
  m.vb[mes],$A88
)</f>
        <v>0</v>
      </c>
      <c r="CN88" s="122">
        <f>COUNTIFS(
    tb_estq[empresa], CN$6,
    tb_estq[Data da venda / reserva], "&gt;=" &amp; $A88,
    tb_estq[Data da venda / reserva], "&lt;"  &amp; EOMONTH($A88,0) + 1
)</f>
        <v>0</v>
      </c>
      <c r="CO88" s="123">
        <f ca="1">SUMIFS(tb_rec_uni[2028-02-01],
INDIRECT("tb_rec_uni[natureza]"),"pro.soluto",
INDIRECT("tb_rec_uni[empresa]"),CO$6)</f>
        <v>0</v>
      </c>
      <c r="CP88" s="123">
        <f ca="1">SUMIFS(tb_rec_uni[2028-02-01],
INDIRECT("tb_rec_uni[natureza]"),"repasse.cef.obra",
INDIRECT("tb_rec_uni[empresa]"),CP$6)</f>
        <v>0</v>
      </c>
      <c r="CQ88" s="126">
        <f ca="1">SUMIFS(tb_rec_uni[2028-02-01],
INDIRECT("tb_rec_uni[natureza]"),"repasse.cef.terreno",
INDIRECT("tb_rec_uni[empresa]"),CQ$6)</f>
        <v>0</v>
      </c>
      <c r="CR88" s="127"/>
      <c r="CS88" s="123">
        <f ca="1">SUMIFS(tb_rec_uni[2028-02-01],
INDIRECT("tb_rec_uni[natureza]"),"taxa.extra",
INDIRECT("tb_rec_uni[empresa]"),CS$6)</f>
        <v>0</v>
      </c>
      <c r="CT88" s="111"/>
      <c r="CU88" s="111">
        <f ca="1">SUMIFS(
  m.vb[valor],
  m.vb[nucleo],$CN$1,
  m.vb[variavel],CU$7,
  m.vb[mes],$A88
)</f>
        <v>0</v>
      </c>
      <c r="CV88" s="111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11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11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4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21">
        <v>46813</v>
      </c>
      <c r="B89" s="122">
        <f>COUNTIFS(
    tb_estq[empresa], B$6,
    tb_estq[Data da venda / reserva], "&gt;=" &amp; $A89,
    tb_estq[Data da venda / reserva], "&lt;"  &amp; EOMONTH($A89,0) + 1
)</f>
        <v>0</v>
      </c>
      <c r="C89" s="123">
        <f ca="1">SUMIFS(tb_rec_uni[2028-03-01],
INDIRECT("tb_rec_uni[natureza]"),"pro.soluto",
INDIRECT("tb_rec_uni[empresa]"),C$6)</f>
        <v>0</v>
      </c>
      <c r="D89" s="123">
        <f ca="1">SUMIFS(tb_rec_uni[2028-03-01],
INDIRECT("tb_rec_uni[natureza]"),"repasse.cef.obra",
INDIRECT("tb_rec_uni[empresa]"),D$6)</f>
        <v>0</v>
      </c>
      <c r="E89" s="123">
        <f ca="1">SUMIFS(tb_rec_uni[2028-03-01],
INDIRECT("tb_rec_uni[natureza]"),"repasse.cef.terreno",
INDIRECT("tb_rec_uni[empresa]"),E$6)</f>
        <v>0</v>
      </c>
      <c r="F89" s="127"/>
      <c r="G89" s="123">
        <f ca="1">SUMIFS(tb_rec_uni[2028-03-01],
INDIRECT("tb_rec_uni[natureza]"),"taxa.extra",
INDIRECT("tb_rec_uni[empresa]"),G$6)</f>
        <v>0</v>
      </c>
      <c r="H89" s="111"/>
      <c r="I89" s="111">
        <f ca="1">SUMIFS(
  m.vb[valor],
  m.vb[nucleo],$B$1,
  m.vb[variavel],I$7,
  m.vb[mes],$A89
)</f>
        <v>0</v>
      </c>
      <c r="J89" s="111">
        <f ca="1">SUMIFS(
  m.vb[valor],
  m.vb[nucleo],$B$1,
  m.vb[variavel],J$7,
  m.vb[mes],$A89
)</f>
        <v>0</v>
      </c>
      <c r="K89" s="111">
        <f ca="1">SUMIFS(
  m.vb[valor],
  m.vb[nucleo],$B$1,
  m.vb[variavel],K$7,
  m.vb[mes],$A89
)</f>
        <v>0</v>
      </c>
      <c r="L89" s="111">
        <f ca="1">SUMIFS(
  m.vb[valor],
  m.vb[nucleo],$B$1,
  m.vb[variavel],L$7,
  m.vb[mes],$A89
)</f>
        <v>0</v>
      </c>
      <c r="M89" s="111">
        <f ca="1">SUMIFS(
  m.vb[valor],
  m.vb[nucleo],$B$1,
  m.vb[variavel],M$7,
  m.vb[mes],$A89
)</f>
        <v>0</v>
      </c>
      <c r="N89" s="122">
        <f>COUNTIFS(
    tb_estq[empresa], N$6,
    tb_estq[Data da venda / reserva], "&gt;=" &amp; $A89,
    tb_estq[Data da venda / reserva], "&lt;"  &amp; EOMONTH($A89,0) + 1
)</f>
        <v>0</v>
      </c>
      <c r="O89" s="123">
        <f ca="1">SUMIFS(tb_rec_uni[2028-03-01],
INDIRECT("tb_rec_uni[natureza]"),"pro.soluto",
INDIRECT("tb_rec_uni[empresa]"),O$6)</f>
        <v>0</v>
      </c>
      <c r="P89" s="123">
        <f ca="1">SUMIFS(tb_rec_uni[2028-03-01],
INDIRECT("tb_rec_uni[natureza]"),"repasse.cef.obra",
INDIRECT("tb_rec_uni[empresa]"),P$6)</f>
        <v>0</v>
      </c>
      <c r="Q89" s="123">
        <f ca="1">SUMIFS(tb_rec_uni[2028-03-01],
INDIRECT("tb_rec_uni[natureza]"),"repasse.cef.terreno",
INDIRECT("tb_rec_uni[empresa]"),Q$6)</f>
        <v>0</v>
      </c>
      <c r="R89" s="127"/>
      <c r="S89" s="123">
        <f ca="1">SUMIFS(tb_rec_uni[2028-03-01],
INDIRECT("tb_rec_uni[natureza]"),"taxa.extra",
INDIRECT("tb_rec_uni[empresa]"),S$6)</f>
        <v>0</v>
      </c>
      <c r="T89" s="111"/>
      <c r="U89" s="111">
        <f ca="1">SUMIFS(
  m.vb[valor],
  m.vb[nucleo],$N$1,
  m.vb[variavel],U$7,
  m.vb[mes],$A89
)</f>
        <v>0</v>
      </c>
      <c r="V89" s="111">
        <f ca="1">SUMIFS(
  m.vb[valor],
  m.vb[nucleo],$N$1,
  m.vb[variavel],V$7,
  m.vb[mes],$A89
)</f>
        <v>0</v>
      </c>
      <c r="W89" s="111">
        <f ca="1">SUMIFS(
  m.vb[valor],
  m.vb[nucleo],$N$1,
  m.vb[variavel],W$7,
  m.vb[mes],$A89
)</f>
        <v>0</v>
      </c>
      <c r="X89" s="111">
        <f ca="1">SUMIFS(
  m.vb[valor],
  m.vb[nucleo],$N$1,
  m.vb[variavel],X$7,
  m.vb[mes],$A89
)</f>
        <v>0</v>
      </c>
      <c r="Y89" s="111">
        <f ca="1">SUMIFS(
  m.vb[valor],
  m.vb[nucleo],$N$1,
  m.vb[variavel],Y$7,
  m.vb[mes],$A89
)</f>
        <v>0</v>
      </c>
      <c r="Z89" s="122">
        <f>COUNTIFS(
    tb_estq[empresa], Z$6,
    tb_estq[Data da venda / reserva], "&gt;=" &amp; $A89,
    tb_estq[Data da venda / reserva], "&lt;"  &amp; EOMONTH($A89,0) + 1
)</f>
        <v>0</v>
      </c>
      <c r="AA89" s="123">
        <f ca="1">SUMIFS(tb_rec_uni[2028-03-01],
INDIRECT("tb_rec_uni[natureza]"),"pro.soluto",
INDIRECT("tb_rec_uni[empresa]"),AA$6)</f>
        <v>0</v>
      </c>
      <c r="AB89" s="127">
        <f ca="1">SUMIFS(tb_rec_uni[2028-03-01],
INDIRECT("tb_rec_uni[natureza]"),"parcela.fin.total.ik",
INDIRECT("tb_rec_uni[empresa]"),AB$6)</f>
        <v>0</v>
      </c>
      <c r="AC89" s="123">
        <f ca="1">SUMIFS(tb_rec_uni[2028-03-01],
INDIRECT("tb_rec_uni[natureza]"),"taxa.extra",
INDIRECT("tb_rec_uni[empresa]"),AC$6)</f>
        <v>0</v>
      </c>
      <c r="AD89" s="111"/>
      <c r="AE89" s="111">
        <f ca="1">SUMIFS(
  m.vb[valor],
  m.vb[nucleo],$Z$1,
  m.vb[variavel],AE$7,
  m.vb[mes],$A89
)</f>
        <v>0</v>
      </c>
      <c r="AF89" s="111">
        <f ca="1">SUMIFS(
  m.vb[valor],
  m.vb[nucleo],$Z$1,
  m.vb[variavel],AF$7,
  m.vb[mes],$A89
)</f>
        <v>0</v>
      </c>
      <c r="AG89" s="111">
        <f ca="1">SUMIFS(
  m.vb[valor],
  m.vb[nucleo],$Z$1,
  m.vb[variavel],AG$7,
  m.vb[mes],$A89
)</f>
        <v>0</v>
      </c>
      <c r="AH89" s="111">
        <f ca="1">SUMIFS(
  m.vb[valor],
  m.vb[nucleo],$Z$1,
  m.vb[variavel],AH$7,
  m.vb[mes],$A89
)</f>
        <v>0</v>
      </c>
      <c r="AI89" s="111">
        <f ca="1">SUMIFS(
  m.vb[valor],
  m.vb[nucleo],$Z$1,
  m.vb[variavel],AI$7,
  m.vb[mes],$A89
)</f>
        <v>0</v>
      </c>
      <c r="AJ89" s="122">
        <f>COUNTIFS(
    tb_estq[empresa], AJ$6,
    tb_estq[Data da venda / reserva], "&gt;=" &amp; $A89,
    tb_estq[Data da venda / reserva], "&lt;"  &amp; EOMONTH($A89,0) + 1
)</f>
        <v>0</v>
      </c>
      <c r="AK89" s="123">
        <f ca="1">SUMIFS(tb_rec_uni[2028-03-01],
INDIRECT("tb_rec_uni[natureza]"),"pro.soluto",
INDIRECT("tb_rec_uni[empresa]"),AK$6)</f>
        <v>0</v>
      </c>
      <c r="AL89" s="123">
        <f ca="1">SUMIFS(tb_rec_uni[2028-03-01],
INDIRECT("tb_rec_uni[natureza]"),"repasse.cef.obra",
INDIRECT("tb_rec_uni[empresa]"),AL$6)</f>
        <v>0</v>
      </c>
      <c r="AM89" s="126">
        <f ca="1">SUMIFS(tb_rec_uni[2028-03-01],
INDIRECT("tb_rec_uni[natureza]"),"repasse.cef.terreno",
INDIRECT("tb_rec_uni[empresa]"),AM$6)</f>
        <v>0</v>
      </c>
      <c r="AN89" s="127"/>
      <c r="AO89" s="123">
        <f ca="1">SUMIFS(tb_rec_uni[2028-03-01],
INDIRECT("tb_rec_uni[natureza]"),"taxa.extra",
INDIRECT("tb_rec_uni[empresa]"),AO$6)</f>
        <v>0</v>
      </c>
      <c r="AP89" s="111"/>
      <c r="AQ89" s="111">
        <f ca="1">SUMIFS(
  m.vb[valor],
  m.vb[nucleo],$AJ$1,
  m.vb[variavel],AQ$7,
  m.vb[mes],$A89
)</f>
        <v>0</v>
      </c>
      <c r="AR89" s="111">
        <f ca="1">SUMIFS(
  m.vb[valor],
  m.vb[nucleo],$AJ$1,
  m.vb[variavel],AR$7,
  m.vb[mes],$A89
)</f>
        <v>0</v>
      </c>
      <c r="AS89" s="111">
        <f ca="1">SUMIFS(
  m.vb[valor],
  m.vb[nucleo],$AJ$1,
  m.vb[variavel],AS$7,
  m.vb[mes],$A89
)</f>
        <v>0</v>
      </c>
      <c r="AT89" s="111">
        <f ca="1">SUMIFS(
  m.vb[valor],
  m.vb[nucleo],$AJ$1,
  m.vb[variavel],AT$7,
  m.vb[mes],$A89
)</f>
        <v>0</v>
      </c>
      <c r="AU89" s="111">
        <f ca="1">SUMIFS(
  m.vb[valor],
  m.vb[nucleo],$AJ$1,
  m.vb[variavel],AU$7,
  m.vb[mes],$A89
)</f>
        <v>0</v>
      </c>
      <c r="AV89" s="122">
        <f>COUNTIFS(
    tb_estq[empresa], AV$6,
    tb_estq[Data da venda / reserva], "&gt;=" &amp; $A89,
    tb_estq[Data da venda / reserva], "&lt;"  &amp; EOMONTH($A89,0) + 1
)</f>
        <v>0</v>
      </c>
      <c r="AW89" s="123">
        <f ca="1">SUMIFS(tb_rec_uni[2028-03-01],
INDIRECT("tb_rec_uni[natureza]"),"pro.soluto",
INDIRECT("tb_rec_uni[empresa]"),AW$6)</f>
        <v>0</v>
      </c>
      <c r="AX89" s="123">
        <f ca="1">SUMIFS(tb_rec_uni[2028-03-01],
INDIRECT("tb_rec_uni[natureza]"),"repasse.cef.obra",
INDIRECT("tb_rec_uni[empresa]"),AX$6)</f>
        <v>0</v>
      </c>
      <c r="AY89" s="126">
        <f ca="1">SUMIFS(tb_rec_uni[2028-03-01],
INDIRECT("tb_rec_uni[natureza]"),"repasse.cef.terreno",
INDIRECT("tb_rec_uni[empresa]"),AY$6)</f>
        <v>0</v>
      </c>
      <c r="AZ89" s="127"/>
      <c r="BA89" s="123">
        <f ca="1">SUMIFS(tb_rec_uni[2028-03-01],
INDIRECT("tb_rec_uni[natureza]"),"taxa.extra",
INDIRECT("tb_rec_uni[empresa]"),BA$6)</f>
        <v>0</v>
      </c>
      <c r="BB89" s="111"/>
      <c r="BC89" s="111">
        <f ca="1">SUMIFS(
  m.vb[valor],
  m.vb[nucleo],$AV$1,
  m.vb[variavel],BC$7,
  m.vb[mes],$A89
)</f>
        <v>0</v>
      </c>
      <c r="BD89" s="111">
        <f ca="1">SUMIFS(
  m.vb[valor],
  m.vb[nucleo],$AV$1,
  m.vb[variavel],BD$7,
  m.vb[mes],$A89
)</f>
        <v>0</v>
      </c>
      <c r="BE89" s="111">
        <f ca="1">SUMIFS(
  m.vb[valor],
  m.vb[nucleo],$AV$1,
  m.vb[variavel],BE$7,
  m.vb[mes],$A89
)</f>
        <v>0</v>
      </c>
      <c r="BF89" s="111">
        <f ca="1">SUMIFS(
  m.vb[valor],
  m.vb[nucleo],$AV$1,
  m.vb[variavel],BF$7,
  m.vb[mes],$A89
)</f>
        <v>0</v>
      </c>
      <c r="BG89" s="111">
        <f ca="1">SUMIFS(
  m.vb[valor],
  m.vb[nucleo],$AV$1,
  m.vb[variavel],BG$7,
  m.vb[mes],$A89
)</f>
        <v>0</v>
      </c>
      <c r="BH89" s="122">
        <f>COUNTIFS(
    tb_estq[empresa], BH$6,
    tb_estq[Data da venda / reserva], "&gt;=" &amp; $A89,
    tb_estq[Data da venda / reserva], "&lt;"  &amp; EOMONTH($A89,0) + 1
)</f>
        <v>0</v>
      </c>
      <c r="BI89" s="123">
        <f ca="1">SUMIFS(tb_rec_uni[2028-03-01],
INDIRECT("tb_rec_uni[natureza]"),"pro.soluto",
INDIRECT("tb_rec_uni[empresa]"),BI$6)</f>
        <v>0</v>
      </c>
      <c r="BJ89" s="127"/>
      <c r="BK89" s="123">
        <f ca="1">SUMIFS(tb_rec_uni[2028-03-01],
INDIRECT("tb_rec_uni[natureza]"),"taxa.extra",
INDIRECT("tb_rec_uni[empresa]"),BK$6)</f>
        <v>0</v>
      </c>
      <c r="BL89" s="111"/>
      <c r="BM89" s="111">
        <f ca="1">SUMIFS(
  m.vb[valor],
  m.vb[nucleo],$BH$1,
  m.vb[variavel],BM$7,
  m.vb[mes],$A89
)</f>
        <v>0</v>
      </c>
      <c r="BN89" s="111">
        <f ca="1">SUMIFS(
  m.vb[valor],
  m.vb[nucleo],$BH$1,
  m.vb[variavel],BN$7,
  m.vb[mes],$A89
)</f>
        <v>0</v>
      </c>
      <c r="BO89" s="111">
        <f ca="1">SUMIFS(
  m.vb[valor],
  m.vb[nucleo],$BH$1,
  m.vb[variavel],BO$7,
  m.vb[mes],$A89
)</f>
        <v>0</v>
      </c>
      <c r="BP89" s="111">
        <f ca="1">SUMIFS(
  m.vb[valor],
  m.vb[nucleo],$BH$1,
  m.vb[variavel],BP$7,
  m.vb[mes],$A89
)</f>
        <v>0</v>
      </c>
      <c r="BQ89" s="111">
        <f ca="1">SUMIFS(
  m.vb[valor],
  m.vb[nucleo],$BH$1,
  m.vb[variavel],BQ$7,
  m.vb[mes],$A89
)</f>
        <v>0</v>
      </c>
      <c r="BR89" s="122">
        <f>COUNTIFS(
    tb_estq[empresa], BR$6,
    tb_estq[Data da venda / reserva], "&gt;=" &amp; $A89,
    tb_estq[Data da venda / reserva], "&lt;"  &amp; EOMONTH($A89,0) + 1
)</f>
        <v>0</v>
      </c>
      <c r="BS89" s="123">
        <f ca="1">SUMIFS(tb_rec_uni[2028-03-01],
INDIRECT("tb_rec_uni[natureza]"),"pro.soluto",
INDIRECT("tb_rec_uni[empresa]"),BS$6)</f>
        <v>0</v>
      </c>
      <c r="BT89" s="127">
        <f ca="1">SUMIFS(tb_rec_uni[2028-03-01],
INDIRECT("tb_rec_uni[natureza]"),"parcela.fin.total.ik",
INDIRECT("tb_rec_uni[empresa]"),BT$6)</f>
        <v>0</v>
      </c>
      <c r="BU89" s="123">
        <f ca="1">SUMIFS(tb_rec_uni[2028-03-01],
INDIRECT("tb_rec_uni[natureza]"),"taxa.extra",
INDIRECT("tb_rec_uni[empresa]"),BU$6)</f>
        <v>0</v>
      </c>
      <c r="BV89" s="111"/>
      <c r="BW89" s="111">
        <f ca="1">SUMIFS(
  m.vb[valor],
  m.vb[nucleo],$BR$1,
  m.vb[variavel],BW$7,
  m.vb[mes],$A89
)</f>
        <v>0</v>
      </c>
      <c r="BX89" s="111">
        <f ca="1">SUMIFS(
  m.vb[valor],
  m.vb[nucleo],$BR$1,
  m.vb[variavel],BX$7,
  m.vb[mes],$A89
)</f>
        <v>0</v>
      </c>
      <c r="BY89" s="111">
        <f ca="1">SUMIFS(
  m.vb[valor],
  m.vb[nucleo],$BR$1,
  m.vb[variavel],BY$7,
  m.vb[mes],$A89
)</f>
        <v>0</v>
      </c>
      <c r="BZ89" s="111">
        <f ca="1">SUMIFS(
  m.vb[valor],
  m.vb[nucleo],$BR$1,
  m.vb[variavel],BZ$7,
  m.vb[mes],$A89
)</f>
        <v>0</v>
      </c>
      <c r="CA89" s="111">
        <f ca="1">SUMIFS(
  m.vb[valor],
  m.vb[nucleo],$BR$1,
  m.vb[variavel],CA$7,
  m.vb[mes],$A89
)</f>
        <v>0</v>
      </c>
      <c r="CB89" s="122">
        <f>COUNTIFS(
    tb_estq[empresa], CB$6,
    tb_estq[Data da venda / reserva], "&gt;=" &amp; $A89,
    tb_estq[Data da venda / reserva], "&lt;"  &amp; EOMONTH($A89,0) + 1
)</f>
        <v>0</v>
      </c>
      <c r="CC89" s="123">
        <f ca="1">SUMIFS(tb_rec_uni[2028-03-01],
INDIRECT("tb_rec_uni[natureza]"),"pro.soluto",
INDIRECT("tb_rec_uni[empresa]"),CC$6)</f>
        <v>0</v>
      </c>
      <c r="CD89" s="123">
        <f ca="1">SUMIFS(tb_rec_uni[2028-03-01],
INDIRECT("tb_rec_uni[natureza]"),"repasse.cef.obra",
INDIRECT("tb_rec_uni[empresa]"),CD$6)</f>
        <v>0</v>
      </c>
      <c r="CE89" s="126">
        <f ca="1">SUMIFS(tb_rec_uni[2028-03-01],
INDIRECT("tb_rec_uni[natureza]"),"repasse.cef.terreno",
INDIRECT("tb_rec_uni[empresa]"),CE$6)</f>
        <v>0</v>
      </c>
      <c r="CF89" s="127"/>
      <c r="CG89" s="123">
        <f ca="1">SUMIFS(tb_rec_uni[2028-03-01],
INDIRECT("tb_rec_uni[natureza]"),"taxa.extra",
INDIRECT("tb_rec_uni[empresa]"),CG$6)</f>
        <v>0</v>
      </c>
      <c r="CH89" s="111"/>
      <c r="CI89" s="111">
        <f ca="1">SUMIFS(
  m.vb[valor],
  m.vb[nucleo],$CB$1,
  m.vb[variavel],CI$7,
  m.vb[mes],$A89
)</f>
        <v>0</v>
      </c>
      <c r="CJ89" s="111">
        <f ca="1">SUMIFS(
  m.vb[valor],
  m.vb[nucleo],$CB$1,
  m.vb[variavel],CJ$7,
  m.vb[mes],$A89
)</f>
        <v>0</v>
      </c>
      <c r="CK89" s="111">
        <f ca="1">SUMIFS(
  m.vb[valor],
  m.vb[nucleo],$CB$1,
  m.vb[variavel],CK$7,
  m.vb[mes],$A89
)</f>
        <v>0</v>
      </c>
      <c r="CL89" s="111">
        <f ca="1">SUMIFS(
  m.vb[valor],
  m.vb[nucleo],$CB$1,
  m.vb[variavel],CL$7,
  m.vb[mes],$A89
)</f>
        <v>0</v>
      </c>
      <c r="CM89" s="111">
        <f ca="1">SUMIFS(
  m.vb[valor],
  m.vb[nucleo],$CB$1,
  m.vb[variavel],CM$7,
  m.vb[mes],$A89
)</f>
        <v>0</v>
      </c>
      <c r="CN89" s="122">
        <f>COUNTIFS(
    tb_estq[empresa], CN$6,
    tb_estq[Data da venda / reserva], "&gt;=" &amp; $A89,
    tb_estq[Data da venda / reserva], "&lt;"  &amp; EOMONTH($A89,0) + 1
)</f>
        <v>0</v>
      </c>
      <c r="CO89" s="123">
        <f ca="1">SUMIFS(tb_rec_uni[2028-03-01],
INDIRECT("tb_rec_uni[natureza]"),"pro.soluto",
INDIRECT("tb_rec_uni[empresa]"),CO$6)</f>
        <v>0</v>
      </c>
      <c r="CP89" s="123">
        <f ca="1">SUMIFS(tb_rec_uni[2028-03-01],
INDIRECT("tb_rec_uni[natureza]"),"repasse.cef.obra",
INDIRECT("tb_rec_uni[empresa]"),CP$6)</f>
        <v>0</v>
      </c>
      <c r="CQ89" s="126">
        <f ca="1">SUMIFS(tb_rec_uni[2028-03-01],
INDIRECT("tb_rec_uni[natureza]"),"repasse.cef.terreno",
INDIRECT("tb_rec_uni[empresa]"),CQ$6)</f>
        <v>0</v>
      </c>
      <c r="CR89" s="127"/>
      <c r="CS89" s="123">
        <f ca="1">SUMIFS(tb_rec_uni[2028-03-01],
INDIRECT("tb_rec_uni[natureza]"),"taxa.extra",
INDIRECT("tb_rec_uni[empresa]"),CS$6)</f>
        <v>0</v>
      </c>
      <c r="CT89" s="111"/>
      <c r="CU89" s="111">
        <f ca="1">SUMIFS(
  m.vb[valor],
  m.vb[nucleo],$CN$1,
  m.vb[variavel],CU$7,
  m.vb[mes],$A89
)</f>
        <v>0</v>
      </c>
      <c r="CV89" s="111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11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11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4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21">
        <v>46844</v>
      </c>
      <c r="B90" s="122">
        <f>COUNTIFS(
    tb_estq[empresa], B$6,
    tb_estq[Data da venda / reserva], "&gt;=" &amp; $A90,
    tb_estq[Data da venda / reserva], "&lt;"  &amp; EOMONTH($A90,0) + 1
)</f>
        <v>0</v>
      </c>
      <c r="C90" s="123">
        <f ca="1">SUMIFS(tb_rec_uni[2028-04-01],
INDIRECT("tb_rec_uni[natureza]"),"pro.soluto",
INDIRECT("tb_rec_uni[empresa]"),C$6)</f>
        <v>0</v>
      </c>
      <c r="D90" s="123">
        <f ca="1">SUMIFS(tb_rec_uni[2028-04-01],
INDIRECT("tb_rec_uni[natureza]"),"repasse.cef.obra",
INDIRECT("tb_rec_uni[empresa]"),D$6)</f>
        <v>0</v>
      </c>
      <c r="E90" s="123">
        <f ca="1">SUMIFS(tb_rec_uni[2028-04-01],
INDIRECT("tb_rec_uni[natureza]"),"repasse.cef.terreno",
INDIRECT("tb_rec_uni[empresa]"),E$6)</f>
        <v>0</v>
      </c>
      <c r="F90" s="127"/>
      <c r="G90" s="123">
        <f ca="1">SUMIFS(tb_rec_uni[2028-04-01],
INDIRECT("tb_rec_uni[natureza]"),"taxa.extra",
INDIRECT("tb_rec_uni[empresa]"),G$6)</f>
        <v>0</v>
      </c>
      <c r="H90" s="111"/>
      <c r="I90" s="111">
        <f ca="1">SUMIFS(
  m.vb[valor],
  m.vb[nucleo],$B$1,
  m.vb[variavel],I$7,
  m.vb[mes],$A90
)</f>
        <v>0</v>
      </c>
      <c r="J90" s="111">
        <f ca="1">SUMIFS(
  m.vb[valor],
  m.vb[nucleo],$B$1,
  m.vb[variavel],J$7,
  m.vb[mes],$A90
)</f>
        <v>0</v>
      </c>
      <c r="K90" s="111">
        <f ca="1">SUMIFS(
  m.vb[valor],
  m.vb[nucleo],$B$1,
  m.vb[variavel],K$7,
  m.vb[mes],$A90
)</f>
        <v>0</v>
      </c>
      <c r="L90" s="111">
        <f ca="1">SUMIFS(
  m.vb[valor],
  m.vb[nucleo],$B$1,
  m.vb[variavel],L$7,
  m.vb[mes],$A90
)</f>
        <v>0</v>
      </c>
      <c r="M90" s="111">
        <f ca="1">SUMIFS(
  m.vb[valor],
  m.vb[nucleo],$B$1,
  m.vb[variavel],M$7,
  m.vb[mes],$A90
)</f>
        <v>0</v>
      </c>
      <c r="N90" s="122">
        <f>COUNTIFS(
    tb_estq[empresa], N$6,
    tb_estq[Data da venda / reserva], "&gt;=" &amp; $A90,
    tb_estq[Data da venda / reserva], "&lt;"  &amp; EOMONTH($A90,0) + 1
)</f>
        <v>0</v>
      </c>
      <c r="O90" s="123">
        <f ca="1">SUMIFS(tb_rec_uni[2028-04-01],
INDIRECT("tb_rec_uni[natureza]"),"pro.soluto",
INDIRECT("tb_rec_uni[empresa]"),O$6)</f>
        <v>0</v>
      </c>
      <c r="P90" s="123">
        <f ca="1">SUMIFS(tb_rec_uni[2028-04-01],
INDIRECT("tb_rec_uni[natureza]"),"repasse.cef.obra",
INDIRECT("tb_rec_uni[empresa]"),P$6)</f>
        <v>0</v>
      </c>
      <c r="Q90" s="123">
        <f ca="1">SUMIFS(tb_rec_uni[2028-04-01],
INDIRECT("tb_rec_uni[natureza]"),"repasse.cef.terreno",
INDIRECT("tb_rec_uni[empresa]"),Q$6)</f>
        <v>0</v>
      </c>
      <c r="R90" s="127"/>
      <c r="S90" s="123">
        <f ca="1">SUMIFS(tb_rec_uni[2028-04-01],
INDIRECT("tb_rec_uni[natureza]"),"taxa.extra",
INDIRECT("tb_rec_uni[empresa]"),S$6)</f>
        <v>0</v>
      </c>
      <c r="T90" s="111"/>
      <c r="U90" s="111">
        <f ca="1">SUMIFS(
  m.vb[valor],
  m.vb[nucleo],$N$1,
  m.vb[variavel],U$7,
  m.vb[mes],$A90
)</f>
        <v>0</v>
      </c>
      <c r="V90" s="111">
        <f ca="1">SUMIFS(
  m.vb[valor],
  m.vb[nucleo],$N$1,
  m.vb[variavel],V$7,
  m.vb[mes],$A90
)</f>
        <v>0</v>
      </c>
      <c r="W90" s="111">
        <f ca="1">SUMIFS(
  m.vb[valor],
  m.vb[nucleo],$N$1,
  m.vb[variavel],W$7,
  m.vb[mes],$A90
)</f>
        <v>0</v>
      </c>
      <c r="X90" s="111">
        <f ca="1">SUMIFS(
  m.vb[valor],
  m.vb[nucleo],$N$1,
  m.vb[variavel],X$7,
  m.vb[mes],$A90
)</f>
        <v>0</v>
      </c>
      <c r="Y90" s="111">
        <f ca="1">SUMIFS(
  m.vb[valor],
  m.vb[nucleo],$N$1,
  m.vb[variavel],Y$7,
  m.vb[mes],$A90
)</f>
        <v>0</v>
      </c>
      <c r="Z90" s="122">
        <f>COUNTIFS(
    tb_estq[empresa], Z$6,
    tb_estq[Data da venda / reserva], "&gt;=" &amp; $A90,
    tb_estq[Data da venda / reserva], "&lt;"  &amp; EOMONTH($A90,0) + 1
)</f>
        <v>0</v>
      </c>
      <c r="AA90" s="123">
        <f ca="1">SUMIFS(tb_rec_uni[2028-04-01],
INDIRECT("tb_rec_uni[natureza]"),"pro.soluto",
INDIRECT("tb_rec_uni[empresa]"),AA$6)</f>
        <v>0</v>
      </c>
      <c r="AB90" s="127">
        <f ca="1">SUMIFS(tb_rec_uni[2028-04-01],
INDIRECT("tb_rec_uni[natureza]"),"parcela.fin.total.ik",
INDIRECT("tb_rec_uni[empresa]"),AB$6)</f>
        <v>0</v>
      </c>
      <c r="AC90" s="123">
        <f ca="1">SUMIFS(tb_rec_uni[2028-04-01],
INDIRECT("tb_rec_uni[natureza]"),"taxa.extra",
INDIRECT("tb_rec_uni[empresa]"),AC$6)</f>
        <v>0</v>
      </c>
      <c r="AD90" s="111"/>
      <c r="AE90" s="111">
        <f ca="1">SUMIFS(
  m.vb[valor],
  m.vb[nucleo],$Z$1,
  m.vb[variavel],AE$7,
  m.vb[mes],$A90
)</f>
        <v>0</v>
      </c>
      <c r="AF90" s="111">
        <f ca="1">SUMIFS(
  m.vb[valor],
  m.vb[nucleo],$Z$1,
  m.vb[variavel],AF$7,
  m.vb[mes],$A90
)</f>
        <v>0</v>
      </c>
      <c r="AG90" s="111">
        <f ca="1">SUMIFS(
  m.vb[valor],
  m.vb[nucleo],$Z$1,
  m.vb[variavel],AG$7,
  m.vb[mes],$A90
)</f>
        <v>0</v>
      </c>
      <c r="AH90" s="111">
        <f ca="1">SUMIFS(
  m.vb[valor],
  m.vb[nucleo],$Z$1,
  m.vb[variavel],AH$7,
  m.vb[mes],$A90
)</f>
        <v>0</v>
      </c>
      <c r="AI90" s="111">
        <f ca="1">SUMIFS(
  m.vb[valor],
  m.vb[nucleo],$Z$1,
  m.vb[variavel],AI$7,
  m.vb[mes],$A90
)</f>
        <v>0</v>
      </c>
      <c r="AJ90" s="122">
        <f>COUNTIFS(
    tb_estq[empresa], AJ$6,
    tb_estq[Data da venda / reserva], "&gt;=" &amp; $A90,
    tb_estq[Data da venda / reserva], "&lt;"  &amp; EOMONTH($A90,0) + 1
)</f>
        <v>0</v>
      </c>
      <c r="AK90" s="123">
        <f ca="1">SUMIFS(tb_rec_uni[2028-04-01],
INDIRECT("tb_rec_uni[natureza]"),"pro.soluto",
INDIRECT("tb_rec_uni[empresa]"),AK$6)</f>
        <v>0</v>
      </c>
      <c r="AL90" s="123">
        <f ca="1">SUMIFS(tb_rec_uni[2028-04-01],
INDIRECT("tb_rec_uni[natureza]"),"repasse.cef.obra",
INDIRECT("tb_rec_uni[empresa]"),AL$6)</f>
        <v>0</v>
      </c>
      <c r="AM90" s="126">
        <f ca="1">SUMIFS(tb_rec_uni[2028-04-01],
INDIRECT("tb_rec_uni[natureza]"),"repasse.cef.terreno",
INDIRECT("tb_rec_uni[empresa]"),AM$6)</f>
        <v>0</v>
      </c>
      <c r="AN90" s="127"/>
      <c r="AO90" s="123">
        <f ca="1">SUMIFS(tb_rec_uni[2028-04-01],
INDIRECT("tb_rec_uni[natureza]"),"taxa.extra",
INDIRECT("tb_rec_uni[empresa]"),AO$6)</f>
        <v>0</v>
      </c>
      <c r="AP90" s="111"/>
      <c r="AQ90" s="111">
        <f ca="1">SUMIFS(
  m.vb[valor],
  m.vb[nucleo],$AJ$1,
  m.vb[variavel],AQ$7,
  m.vb[mes],$A90
)</f>
        <v>0</v>
      </c>
      <c r="AR90" s="111">
        <f ca="1">SUMIFS(
  m.vb[valor],
  m.vb[nucleo],$AJ$1,
  m.vb[variavel],AR$7,
  m.vb[mes],$A90
)</f>
        <v>0</v>
      </c>
      <c r="AS90" s="111">
        <f ca="1">SUMIFS(
  m.vb[valor],
  m.vb[nucleo],$AJ$1,
  m.vb[variavel],AS$7,
  m.vb[mes],$A90
)</f>
        <v>0</v>
      </c>
      <c r="AT90" s="111">
        <f ca="1">SUMIFS(
  m.vb[valor],
  m.vb[nucleo],$AJ$1,
  m.vb[variavel],AT$7,
  m.vb[mes],$A90
)</f>
        <v>0</v>
      </c>
      <c r="AU90" s="111">
        <f ca="1">SUMIFS(
  m.vb[valor],
  m.vb[nucleo],$AJ$1,
  m.vb[variavel],AU$7,
  m.vb[mes],$A90
)</f>
        <v>0</v>
      </c>
      <c r="AV90" s="122">
        <f>COUNTIFS(
    tb_estq[empresa], AV$6,
    tb_estq[Data da venda / reserva], "&gt;=" &amp; $A90,
    tb_estq[Data da venda / reserva], "&lt;"  &amp; EOMONTH($A90,0) + 1
)</f>
        <v>0</v>
      </c>
      <c r="AW90" s="123">
        <f ca="1">SUMIFS(tb_rec_uni[2028-04-01],
INDIRECT("tb_rec_uni[natureza]"),"pro.soluto",
INDIRECT("tb_rec_uni[empresa]"),AW$6)</f>
        <v>0</v>
      </c>
      <c r="AX90" s="123">
        <f ca="1">SUMIFS(tb_rec_uni[2028-04-01],
INDIRECT("tb_rec_uni[natureza]"),"repasse.cef.obra",
INDIRECT("tb_rec_uni[empresa]"),AX$6)</f>
        <v>0</v>
      </c>
      <c r="AY90" s="126">
        <f ca="1">SUMIFS(tb_rec_uni[2028-04-01],
INDIRECT("tb_rec_uni[natureza]"),"repasse.cef.terreno",
INDIRECT("tb_rec_uni[empresa]"),AY$6)</f>
        <v>0</v>
      </c>
      <c r="AZ90" s="127"/>
      <c r="BA90" s="123">
        <f ca="1">SUMIFS(tb_rec_uni[2028-04-01],
INDIRECT("tb_rec_uni[natureza]"),"taxa.extra",
INDIRECT("tb_rec_uni[empresa]"),BA$6)</f>
        <v>0</v>
      </c>
      <c r="BB90" s="111"/>
      <c r="BC90" s="111">
        <f ca="1">SUMIFS(
  m.vb[valor],
  m.vb[nucleo],$AV$1,
  m.vb[variavel],BC$7,
  m.vb[mes],$A90
)</f>
        <v>0</v>
      </c>
      <c r="BD90" s="111">
        <f ca="1">SUMIFS(
  m.vb[valor],
  m.vb[nucleo],$AV$1,
  m.vb[variavel],BD$7,
  m.vb[mes],$A90
)</f>
        <v>0</v>
      </c>
      <c r="BE90" s="111">
        <f ca="1">SUMIFS(
  m.vb[valor],
  m.vb[nucleo],$AV$1,
  m.vb[variavel],BE$7,
  m.vb[mes],$A90
)</f>
        <v>0</v>
      </c>
      <c r="BF90" s="111">
        <f ca="1">SUMIFS(
  m.vb[valor],
  m.vb[nucleo],$AV$1,
  m.vb[variavel],BF$7,
  m.vb[mes],$A90
)</f>
        <v>0</v>
      </c>
      <c r="BG90" s="111">
        <f ca="1">SUMIFS(
  m.vb[valor],
  m.vb[nucleo],$AV$1,
  m.vb[variavel],BG$7,
  m.vb[mes],$A90
)</f>
        <v>0</v>
      </c>
      <c r="BH90" s="122">
        <f>COUNTIFS(
    tb_estq[empresa], BH$6,
    tb_estq[Data da venda / reserva], "&gt;=" &amp; $A90,
    tb_estq[Data da venda / reserva], "&lt;"  &amp; EOMONTH($A90,0) + 1
)</f>
        <v>0</v>
      </c>
      <c r="BI90" s="123">
        <f ca="1">SUMIFS(tb_rec_uni[2028-04-01],
INDIRECT("tb_rec_uni[natureza]"),"pro.soluto",
INDIRECT("tb_rec_uni[empresa]"),BI$6)</f>
        <v>0</v>
      </c>
      <c r="BJ90" s="127"/>
      <c r="BK90" s="123">
        <f ca="1">SUMIFS(tb_rec_uni[2028-04-01],
INDIRECT("tb_rec_uni[natureza]"),"taxa.extra",
INDIRECT("tb_rec_uni[empresa]"),BK$6)</f>
        <v>0</v>
      </c>
      <c r="BL90" s="111"/>
      <c r="BM90" s="111">
        <f ca="1">SUMIFS(
  m.vb[valor],
  m.vb[nucleo],$BH$1,
  m.vb[variavel],BM$7,
  m.vb[mes],$A90
)</f>
        <v>0</v>
      </c>
      <c r="BN90" s="111">
        <f ca="1">SUMIFS(
  m.vb[valor],
  m.vb[nucleo],$BH$1,
  m.vb[variavel],BN$7,
  m.vb[mes],$A90
)</f>
        <v>0</v>
      </c>
      <c r="BO90" s="111">
        <f ca="1">SUMIFS(
  m.vb[valor],
  m.vb[nucleo],$BH$1,
  m.vb[variavel],BO$7,
  m.vb[mes],$A90
)</f>
        <v>0</v>
      </c>
      <c r="BP90" s="111">
        <f ca="1">SUMIFS(
  m.vb[valor],
  m.vb[nucleo],$BH$1,
  m.vb[variavel],BP$7,
  m.vb[mes],$A90
)</f>
        <v>0</v>
      </c>
      <c r="BQ90" s="111">
        <f ca="1">SUMIFS(
  m.vb[valor],
  m.vb[nucleo],$BH$1,
  m.vb[variavel],BQ$7,
  m.vb[mes],$A90
)</f>
        <v>0</v>
      </c>
      <c r="BR90" s="122">
        <f>COUNTIFS(
    tb_estq[empresa], BR$6,
    tb_estq[Data da venda / reserva], "&gt;=" &amp; $A90,
    tb_estq[Data da venda / reserva], "&lt;"  &amp; EOMONTH($A90,0) + 1
)</f>
        <v>0</v>
      </c>
      <c r="BS90" s="123">
        <f ca="1">SUMIFS(tb_rec_uni[2028-04-01],
INDIRECT("tb_rec_uni[natureza]"),"pro.soluto",
INDIRECT("tb_rec_uni[empresa]"),BS$6)</f>
        <v>0</v>
      </c>
      <c r="BT90" s="127">
        <f ca="1">SUMIFS(tb_rec_uni[2028-04-01],
INDIRECT("tb_rec_uni[natureza]"),"parcela.fin.total.ik",
INDIRECT("tb_rec_uni[empresa]"),BT$6)</f>
        <v>0</v>
      </c>
      <c r="BU90" s="123">
        <f ca="1">SUMIFS(tb_rec_uni[2028-04-01],
INDIRECT("tb_rec_uni[natureza]"),"taxa.extra",
INDIRECT("tb_rec_uni[empresa]"),BU$6)</f>
        <v>0</v>
      </c>
      <c r="BV90" s="111"/>
      <c r="BW90" s="111">
        <f ca="1">SUMIFS(
  m.vb[valor],
  m.vb[nucleo],$BR$1,
  m.vb[variavel],BW$7,
  m.vb[mes],$A90
)</f>
        <v>0</v>
      </c>
      <c r="BX90" s="111">
        <f ca="1">SUMIFS(
  m.vb[valor],
  m.vb[nucleo],$BR$1,
  m.vb[variavel],BX$7,
  m.vb[mes],$A90
)</f>
        <v>0</v>
      </c>
      <c r="BY90" s="111">
        <f ca="1">SUMIFS(
  m.vb[valor],
  m.vb[nucleo],$BR$1,
  m.vb[variavel],BY$7,
  m.vb[mes],$A90
)</f>
        <v>0</v>
      </c>
      <c r="BZ90" s="111">
        <f ca="1">SUMIFS(
  m.vb[valor],
  m.vb[nucleo],$BR$1,
  m.vb[variavel],BZ$7,
  m.vb[mes],$A90
)</f>
        <v>0</v>
      </c>
      <c r="CA90" s="111">
        <f ca="1">SUMIFS(
  m.vb[valor],
  m.vb[nucleo],$BR$1,
  m.vb[variavel],CA$7,
  m.vb[mes],$A90
)</f>
        <v>0</v>
      </c>
      <c r="CB90" s="122">
        <f>COUNTIFS(
    tb_estq[empresa], CB$6,
    tb_estq[Data da venda / reserva], "&gt;=" &amp; $A90,
    tb_estq[Data da venda / reserva], "&lt;"  &amp; EOMONTH($A90,0) + 1
)</f>
        <v>0</v>
      </c>
      <c r="CC90" s="123">
        <f ca="1">SUMIFS(tb_rec_uni[2028-04-01],
INDIRECT("tb_rec_uni[natureza]"),"pro.soluto",
INDIRECT("tb_rec_uni[empresa]"),CC$6)</f>
        <v>0</v>
      </c>
      <c r="CD90" s="123">
        <f ca="1">SUMIFS(tb_rec_uni[2028-04-01],
INDIRECT("tb_rec_uni[natureza]"),"repasse.cef.obra",
INDIRECT("tb_rec_uni[empresa]"),CD$6)</f>
        <v>0</v>
      </c>
      <c r="CE90" s="126">
        <f ca="1">SUMIFS(tb_rec_uni[2028-04-01],
INDIRECT("tb_rec_uni[natureza]"),"repasse.cef.terreno",
INDIRECT("tb_rec_uni[empresa]"),CE$6)</f>
        <v>0</v>
      </c>
      <c r="CF90" s="127"/>
      <c r="CG90" s="123">
        <f ca="1">SUMIFS(tb_rec_uni[2028-04-01],
INDIRECT("tb_rec_uni[natureza]"),"taxa.extra",
INDIRECT("tb_rec_uni[empresa]"),CG$6)</f>
        <v>0</v>
      </c>
      <c r="CH90" s="111"/>
      <c r="CI90" s="111">
        <f ca="1">SUMIFS(
  m.vb[valor],
  m.vb[nucleo],$CB$1,
  m.vb[variavel],CI$7,
  m.vb[mes],$A90
)</f>
        <v>0</v>
      </c>
      <c r="CJ90" s="111">
        <f ca="1">SUMIFS(
  m.vb[valor],
  m.vb[nucleo],$CB$1,
  m.vb[variavel],CJ$7,
  m.vb[mes],$A90
)</f>
        <v>0</v>
      </c>
      <c r="CK90" s="111">
        <f ca="1">SUMIFS(
  m.vb[valor],
  m.vb[nucleo],$CB$1,
  m.vb[variavel],CK$7,
  m.vb[mes],$A90
)</f>
        <v>0</v>
      </c>
      <c r="CL90" s="111">
        <f ca="1">SUMIFS(
  m.vb[valor],
  m.vb[nucleo],$CB$1,
  m.vb[variavel],CL$7,
  m.vb[mes],$A90
)</f>
        <v>0</v>
      </c>
      <c r="CM90" s="111">
        <f ca="1">SUMIFS(
  m.vb[valor],
  m.vb[nucleo],$CB$1,
  m.vb[variavel],CM$7,
  m.vb[mes],$A90
)</f>
        <v>0</v>
      </c>
      <c r="CN90" s="122">
        <f>COUNTIFS(
    tb_estq[empresa], CN$6,
    tb_estq[Data da venda / reserva], "&gt;=" &amp; $A90,
    tb_estq[Data da venda / reserva], "&lt;"  &amp; EOMONTH($A90,0) + 1
)</f>
        <v>0</v>
      </c>
      <c r="CO90" s="123">
        <f ca="1">SUMIFS(tb_rec_uni[2028-04-01],
INDIRECT("tb_rec_uni[natureza]"),"pro.soluto",
INDIRECT("tb_rec_uni[empresa]"),CO$6)</f>
        <v>0</v>
      </c>
      <c r="CP90" s="123">
        <f ca="1">SUMIFS(tb_rec_uni[2028-04-01],
INDIRECT("tb_rec_uni[natureza]"),"repasse.cef.obra",
INDIRECT("tb_rec_uni[empresa]"),CP$6)</f>
        <v>0</v>
      </c>
      <c r="CQ90" s="126">
        <f ca="1">SUMIFS(tb_rec_uni[2028-04-01],
INDIRECT("tb_rec_uni[natureza]"),"repasse.cef.terreno",
INDIRECT("tb_rec_uni[empresa]"),CQ$6)</f>
        <v>0</v>
      </c>
      <c r="CR90" s="127"/>
      <c r="CS90" s="123">
        <f ca="1">SUMIFS(tb_rec_uni[2028-04-01],
INDIRECT("tb_rec_uni[natureza]"),"taxa.extra",
INDIRECT("tb_rec_uni[empresa]"),CS$6)</f>
        <v>0</v>
      </c>
      <c r="CT90" s="111"/>
      <c r="CU90" s="111">
        <f ca="1">SUMIFS(
  m.vb[valor],
  m.vb[nucleo],$CN$1,
  m.vb[variavel],CU$7,
  m.vb[mes],$A90
)</f>
        <v>0</v>
      </c>
      <c r="CV90" s="111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11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11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4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21">
        <v>46874</v>
      </c>
      <c r="B91" s="122">
        <f>COUNTIFS(
    tb_estq[empresa], B$6,
    tb_estq[Data da venda / reserva], "&gt;=" &amp; $A91,
    tb_estq[Data da venda / reserva], "&lt;"  &amp; EOMONTH($A91,0) + 1
)</f>
        <v>0</v>
      </c>
      <c r="C91" s="123">
        <f ca="1">SUMIFS(tb_rec_uni[2028-05-01],
INDIRECT("tb_rec_uni[natureza]"),"pro.soluto",
INDIRECT("tb_rec_uni[empresa]"),C$6)</f>
        <v>0</v>
      </c>
      <c r="D91" s="123">
        <f ca="1">SUMIFS(tb_rec_uni[2028-05-01],
INDIRECT("tb_rec_uni[natureza]"),"repasse.cef.obra",
INDIRECT("tb_rec_uni[empresa]"),D$6)</f>
        <v>0</v>
      </c>
      <c r="E91" s="123">
        <f ca="1">SUMIFS(tb_rec_uni[2028-05-01],
INDIRECT("tb_rec_uni[natureza]"),"repasse.cef.terreno",
INDIRECT("tb_rec_uni[empresa]"),E$6)</f>
        <v>0</v>
      </c>
      <c r="F91" s="127"/>
      <c r="G91" s="123">
        <f ca="1">SUMIFS(tb_rec_uni[2028-05-01],
INDIRECT("tb_rec_uni[natureza]"),"taxa.extra",
INDIRECT("tb_rec_uni[empresa]"),G$6)</f>
        <v>0</v>
      </c>
      <c r="H91" s="111"/>
      <c r="I91" s="111">
        <f ca="1">SUMIFS(
  m.vb[valor],
  m.vb[nucleo],$B$1,
  m.vb[variavel],I$7,
  m.vb[mes],$A91
)</f>
        <v>0</v>
      </c>
      <c r="J91" s="111">
        <f ca="1">SUMIFS(
  m.vb[valor],
  m.vb[nucleo],$B$1,
  m.vb[variavel],J$7,
  m.vb[mes],$A91
)</f>
        <v>0</v>
      </c>
      <c r="K91" s="111">
        <f ca="1">SUMIFS(
  m.vb[valor],
  m.vb[nucleo],$B$1,
  m.vb[variavel],K$7,
  m.vb[mes],$A91
)</f>
        <v>0</v>
      </c>
      <c r="L91" s="111">
        <f ca="1">SUMIFS(
  m.vb[valor],
  m.vb[nucleo],$B$1,
  m.vb[variavel],L$7,
  m.vb[mes],$A91
)</f>
        <v>0</v>
      </c>
      <c r="M91" s="111">
        <f ca="1">SUMIFS(
  m.vb[valor],
  m.vb[nucleo],$B$1,
  m.vb[variavel],M$7,
  m.vb[mes],$A91
)</f>
        <v>0</v>
      </c>
      <c r="N91" s="122">
        <f>COUNTIFS(
    tb_estq[empresa], N$6,
    tb_estq[Data da venda / reserva], "&gt;=" &amp; $A91,
    tb_estq[Data da venda / reserva], "&lt;"  &amp; EOMONTH($A91,0) + 1
)</f>
        <v>0</v>
      </c>
      <c r="O91" s="123">
        <f ca="1">SUMIFS(tb_rec_uni[2028-05-01],
INDIRECT("tb_rec_uni[natureza]"),"pro.soluto",
INDIRECT("tb_rec_uni[empresa]"),O$6)</f>
        <v>0</v>
      </c>
      <c r="P91" s="123">
        <f ca="1">SUMIFS(tb_rec_uni[2028-05-01],
INDIRECT("tb_rec_uni[natureza]"),"repasse.cef.obra",
INDIRECT("tb_rec_uni[empresa]"),P$6)</f>
        <v>0</v>
      </c>
      <c r="Q91" s="123">
        <f ca="1">SUMIFS(tb_rec_uni[2028-05-01],
INDIRECT("tb_rec_uni[natureza]"),"repasse.cef.terreno",
INDIRECT("tb_rec_uni[empresa]"),Q$6)</f>
        <v>0</v>
      </c>
      <c r="R91" s="127"/>
      <c r="S91" s="123">
        <f ca="1">SUMIFS(tb_rec_uni[2028-05-01],
INDIRECT("tb_rec_uni[natureza]"),"taxa.extra",
INDIRECT("tb_rec_uni[empresa]"),S$6)</f>
        <v>0</v>
      </c>
      <c r="T91" s="111"/>
      <c r="U91" s="111">
        <f ca="1">SUMIFS(
  m.vb[valor],
  m.vb[nucleo],$N$1,
  m.vb[variavel],U$7,
  m.vb[mes],$A91
)</f>
        <v>0</v>
      </c>
      <c r="V91" s="111">
        <f ca="1">SUMIFS(
  m.vb[valor],
  m.vb[nucleo],$N$1,
  m.vb[variavel],V$7,
  m.vb[mes],$A91
)</f>
        <v>0</v>
      </c>
      <c r="W91" s="111">
        <f ca="1">SUMIFS(
  m.vb[valor],
  m.vb[nucleo],$N$1,
  m.vb[variavel],W$7,
  m.vb[mes],$A91
)</f>
        <v>0</v>
      </c>
      <c r="X91" s="111">
        <f ca="1">SUMIFS(
  m.vb[valor],
  m.vb[nucleo],$N$1,
  m.vb[variavel],X$7,
  m.vb[mes],$A91
)</f>
        <v>0</v>
      </c>
      <c r="Y91" s="111">
        <f ca="1">SUMIFS(
  m.vb[valor],
  m.vb[nucleo],$N$1,
  m.vb[variavel],Y$7,
  m.vb[mes],$A91
)</f>
        <v>0</v>
      </c>
      <c r="Z91" s="122">
        <f>COUNTIFS(
    tb_estq[empresa], Z$6,
    tb_estq[Data da venda / reserva], "&gt;=" &amp; $A91,
    tb_estq[Data da venda / reserva], "&lt;"  &amp; EOMONTH($A91,0) + 1
)</f>
        <v>0</v>
      </c>
      <c r="AA91" s="123">
        <f ca="1">SUMIFS(tb_rec_uni[2028-05-01],
INDIRECT("tb_rec_uni[natureza]"),"pro.soluto",
INDIRECT("tb_rec_uni[empresa]"),AA$6)</f>
        <v>0</v>
      </c>
      <c r="AB91" s="127">
        <f ca="1">SUMIFS(tb_rec_uni[2028-05-01],
INDIRECT("tb_rec_uni[natureza]"),"parcela.fin.total.ik",
INDIRECT("tb_rec_uni[empresa]"),AB$6)</f>
        <v>0</v>
      </c>
      <c r="AC91" s="123">
        <f ca="1">SUMIFS(tb_rec_uni[2028-05-01],
INDIRECT("tb_rec_uni[natureza]"),"taxa.extra",
INDIRECT("tb_rec_uni[empresa]"),AC$6)</f>
        <v>0</v>
      </c>
      <c r="AD91" s="111"/>
      <c r="AE91" s="111">
        <f ca="1">SUMIFS(
  m.vb[valor],
  m.vb[nucleo],$Z$1,
  m.vb[variavel],AE$7,
  m.vb[mes],$A91
)</f>
        <v>0</v>
      </c>
      <c r="AF91" s="111">
        <f ca="1">SUMIFS(
  m.vb[valor],
  m.vb[nucleo],$Z$1,
  m.vb[variavel],AF$7,
  m.vb[mes],$A91
)</f>
        <v>0</v>
      </c>
      <c r="AG91" s="111">
        <f ca="1">SUMIFS(
  m.vb[valor],
  m.vb[nucleo],$Z$1,
  m.vb[variavel],AG$7,
  m.vb[mes],$A91
)</f>
        <v>0</v>
      </c>
      <c r="AH91" s="111">
        <f ca="1">SUMIFS(
  m.vb[valor],
  m.vb[nucleo],$Z$1,
  m.vb[variavel],AH$7,
  m.vb[mes],$A91
)</f>
        <v>0</v>
      </c>
      <c r="AI91" s="111">
        <f ca="1">SUMIFS(
  m.vb[valor],
  m.vb[nucleo],$Z$1,
  m.vb[variavel],AI$7,
  m.vb[mes],$A91
)</f>
        <v>0</v>
      </c>
      <c r="AJ91" s="122">
        <f>COUNTIFS(
    tb_estq[empresa], AJ$6,
    tb_estq[Data da venda / reserva], "&gt;=" &amp; $A91,
    tb_estq[Data da venda / reserva], "&lt;"  &amp; EOMONTH($A91,0) + 1
)</f>
        <v>0</v>
      </c>
      <c r="AK91" s="123">
        <f ca="1">SUMIFS(tb_rec_uni[2028-05-01],
INDIRECT("tb_rec_uni[natureza]"),"pro.soluto",
INDIRECT("tb_rec_uni[empresa]"),AK$6)</f>
        <v>0</v>
      </c>
      <c r="AL91" s="123">
        <f ca="1">SUMIFS(tb_rec_uni[2028-05-01],
INDIRECT("tb_rec_uni[natureza]"),"repasse.cef.obra",
INDIRECT("tb_rec_uni[empresa]"),AL$6)</f>
        <v>0</v>
      </c>
      <c r="AM91" s="126">
        <f ca="1">SUMIFS(tb_rec_uni[2028-05-01],
INDIRECT("tb_rec_uni[natureza]"),"repasse.cef.terreno",
INDIRECT("tb_rec_uni[empresa]"),AM$6)</f>
        <v>0</v>
      </c>
      <c r="AN91" s="127"/>
      <c r="AO91" s="123">
        <f ca="1">SUMIFS(tb_rec_uni[2028-05-01],
INDIRECT("tb_rec_uni[natureza]"),"taxa.extra",
INDIRECT("tb_rec_uni[empresa]"),AO$6)</f>
        <v>0</v>
      </c>
      <c r="AP91" s="111"/>
      <c r="AQ91" s="111">
        <f ca="1">SUMIFS(
  m.vb[valor],
  m.vb[nucleo],$AJ$1,
  m.vb[variavel],AQ$7,
  m.vb[mes],$A91
)</f>
        <v>0</v>
      </c>
      <c r="AR91" s="111">
        <f ca="1">SUMIFS(
  m.vb[valor],
  m.vb[nucleo],$AJ$1,
  m.vb[variavel],AR$7,
  m.vb[mes],$A91
)</f>
        <v>0</v>
      </c>
      <c r="AS91" s="111">
        <f ca="1">SUMIFS(
  m.vb[valor],
  m.vb[nucleo],$AJ$1,
  m.vb[variavel],AS$7,
  m.vb[mes],$A91
)</f>
        <v>0</v>
      </c>
      <c r="AT91" s="111">
        <f ca="1">SUMIFS(
  m.vb[valor],
  m.vb[nucleo],$AJ$1,
  m.vb[variavel],AT$7,
  m.vb[mes],$A91
)</f>
        <v>0</v>
      </c>
      <c r="AU91" s="111">
        <f ca="1">SUMIFS(
  m.vb[valor],
  m.vb[nucleo],$AJ$1,
  m.vb[variavel],AU$7,
  m.vb[mes],$A91
)</f>
        <v>0</v>
      </c>
      <c r="AV91" s="122">
        <f>COUNTIFS(
    tb_estq[empresa], AV$6,
    tb_estq[Data da venda / reserva], "&gt;=" &amp; $A91,
    tb_estq[Data da venda / reserva], "&lt;"  &amp; EOMONTH($A91,0) + 1
)</f>
        <v>0</v>
      </c>
      <c r="AW91" s="123">
        <f ca="1">SUMIFS(tb_rec_uni[2028-05-01],
INDIRECT("tb_rec_uni[natureza]"),"pro.soluto",
INDIRECT("tb_rec_uni[empresa]"),AW$6)</f>
        <v>0</v>
      </c>
      <c r="AX91" s="123">
        <f ca="1">SUMIFS(tb_rec_uni[2028-05-01],
INDIRECT("tb_rec_uni[natureza]"),"repasse.cef.obra",
INDIRECT("tb_rec_uni[empresa]"),AX$6)</f>
        <v>0</v>
      </c>
      <c r="AY91" s="126">
        <f ca="1">SUMIFS(tb_rec_uni[2028-05-01],
INDIRECT("tb_rec_uni[natureza]"),"repasse.cef.terreno",
INDIRECT("tb_rec_uni[empresa]"),AY$6)</f>
        <v>0</v>
      </c>
      <c r="AZ91" s="127"/>
      <c r="BA91" s="123">
        <f ca="1">SUMIFS(tb_rec_uni[2028-05-01],
INDIRECT("tb_rec_uni[natureza]"),"taxa.extra",
INDIRECT("tb_rec_uni[empresa]"),BA$6)</f>
        <v>0</v>
      </c>
      <c r="BB91" s="111"/>
      <c r="BC91" s="111">
        <f ca="1">SUMIFS(
  m.vb[valor],
  m.vb[nucleo],$AV$1,
  m.vb[variavel],BC$7,
  m.vb[mes],$A91
)</f>
        <v>0</v>
      </c>
      <c r="BD91" s="111">
        <f ca="1">SUMIFS(
  m.vb[valor],
  m.vb[nucleo],$AV$1,
  m.vb[variavel],BD$7,
  m.vb[mes],$A91
)</f>
        <v>0</v>
      </c>
      <c r="BE91" s="111">
        <f ca="1">SUMIFS(
  m.vb[valor],
  m.vb[nucleo],$AV$1,
  m.vb[variavel],BE$7,
  m.vb[mes],$A91
)</f>
        <v>0</v>
      </c>
      <c r="BF91" s="111">
        <f ca="1">SUMIFS(
  m.vb[valor],
  m.vb[nucleo],$AV$1,
  m.vb[variavel],BF$7,
  m.vb[mes],$A91
)</f>
        <v>0</v>
      </c>
      <c r="BG91" s="111">
        <f ca="1">SUMIFS(
  m.vb[valor],
  m.vb[nucleo],$AV$1,
  m.vb[variavel],BG$7,
  m.vb[mes],$A91
)</f>
        <v>0</v>
      </c>
      <c r="BH91" s="122">
        <f>COUNTIFS(
    tb_estq[empresa], BH$6,
    tb_estq[Data da venda / reserva], "&gt;=" &amp; $A91,
    tb_estq[Data da venda / reserva], "&lt;"  &amp; EOMONTH($A91,0) + 1
)</f>
        <v>0</v>
      </c>
      <c r="BI91" s="123">
        <f ca="1">SUMIFS(tb_rec_uni[2028-05-01],
INDIRECT("tb_rec_uni[natureza]"),"pro.soluto",
INDIRECT("tb_rec_uni[empresa]"),BI$6)</f>
        <v>0</v>
      </c>
      <c r="BJ91" s="127"/>
      <c r="BK91" s="123">
        <f ca="1">SUMIFS(tb_rec_uni[2028-05-01],
INDIRECT("tb_rec_uni[natureza]"),"taxa.extra",
INDIRECT("tb_rec_uni[empresa]"),BK$6)</f>
        <v>0</v>
      </c>
      <c r="BL91" s="111"/>
      <c r="BM91" s="111">
        <f ca="1">SUMIFS(
  m.vb[valor],
  m.vb[nucleo],$BH$1,
  m.vb[variavel],BM$7,
  m.vb[mes],$A91
)</f>
        <v>0</v>
      </c>
      <c r="BN91" s="111">
        <f ca="1">SUMIFS(
  m.vb[valor],
  m.vb[nucleo],$BH$1,
  m.vb[variavel],BN$7,
  m.vb[mes],$A91
)</f>
        <v>0</v>
      </c>
      <c r="BO91" s="111">
        <f ca="1">SUMIFS(
  m.vb[valor],
  m.vb[nucleo],$BH$1,
  m.vb[variavel],BO$7,
  m.vb[mes],$A91
)</f>
        <v>0</v>
      </c>
      <c r="BP91" s="111">
        <f ca="1">SUMIFS(
  m.vb[valor],
  m.vb[nucleo],$BH$1,
  m.vb[variavel],BP$7,
  m.vb[mes],$A91
)</f>
        <v>0</v>
      </c>
      <c r="BQ91" s="111">
        <f ca="1">SUMIFS(
  m.vb[valor],
  m.vb[nucleo],$BH$1,
  m.vb[variavel],BQ$7,
  m.vb[mes],$A91
)</f>
        <v>0</v>
      </c>
      <c r="BR91" s="122">
        <f>COUNTIFS(
    tb_estq[empresa], BR$6,
    tb_estq[Data da venda / reserva], "&gt;=" &amp; $A91,
    tb_estq[Data da venda / reserva], "&lt;"  &amp; EOMONTH($A91,0) + 1
)</f>
        <v>0</v>
      </c>
      <c r="BS91" s="123">
        <f ca="1">SUMIFS(tb_rec_uni[2028-05-01],
INDIRECT("tb_rec_uni[natureza]"),"pro.soluto",
INDIRECT("tb_rec_uni[empresa]"),BS$6)</f>
        <v>0</v>
      </c>
      <c r="BT91" s="127">
        <f ca="1">SUMIFS(tb_rec_uni[2028-05-01],
INDIRECT("tb_rec_uni[natureza]"),"parcela.fin.total.ik",
INDIRECT("tb_rec_uni[empresa]"),BT$6)</f>
        <v>0</v>
      </c>
      <c r="BU91" s="123">
        <f ca="1">SUMIFS(tb_rec_uni[2028-05-01],
INDIRECT("tb_rec_uni[natureza]"),"taxa.extra",
INDIRECT("tb_rec_uni[empresa]"),BU$6)</f>
        <v>0</v>
      </c>
      <c r="BV91" s="111"/>
      <c r="BW91" s="111">
        <f ca="1">SUMIFS(
  m.vb[valor],
  m.vb[nucleo],$BR$1,
  m.vb[variavel],BW$7,
  m.vb[mes],$A91
)</f>
        <v>0</v>
      </c>
      <c r="BX91" s="111">
        <f ca="1">SUMIFS(
  m.vb[valor],
  m.vb[nucleo],$BR$1,
  m.vb[variavel],BX$7,
  m.vb[mes],$A91
)</f>
        <v>0</v>
      </c>
      <c r="BY91" s="111">
        <f ca="1">SUMIFS(
  m.vb[valor],
  m.vb[nucleo],$BR$1,
  m.vb[variavel],BY$7,
  m.vb[mes],$A91
)</f>
        <v>0</v>
      </c>
      <c r="BZ91" s="111">
        <f ca="1">SUMIFS(
  m.vb[valor],
  m.vb[nucleo],$BR$1,
  m.vb[variavel],BZ$7,
  m.vb[mes],$A91
)</f>
        <v>0</v>
      </c>
      <c r="CA91" s="111">
        <f ca="1">SUMIFS(
  m.vb[valor],
  m.vb[nucleo],$BR$1,
  m.vb[variavel],CA$7,
  m.vb[mes],$A91
)</f>
        <v>0</v>
      </c>
      <c r="CB91" s="122">
        <f>COUNTIFS(
    tb_estq[empresa], CB$6,
    tb_estq[Data da venda / reserva], "&gt;=" &amp; $A91,
    tb_estq[Data da venda / reserva], "&lt;"  &amp; EOMONTH($A91,0) + 1
)</f>
        <v>0</v>
      </c>
      <c r="CC91" s="123">
        <f ca="1">SUMIFS(tb_rec_uni[2028-05-01],
INDIRECT("tb_rec_uni[natureza]"),"pro.soluto",
INDIRECT("tb_rec_uni[empresa]"),CC$6)</f>
        <v>0</v>
      </c>
      <c r="CD91" s="123">
        <f ca="1">SUMIFS(tb_rec_uni[2028-05-01],
INDIRECT("tb_rec_uni[natureza]"),"repasse.cef.obra",
INDIRECT("tb_rec_uni[empresa]"),CD$6)</f>
        <v>0</v>
      </c>
      <c r="CE91" s="126">
        <f ca="1">SUMIFS(tb_rec_uni[2028-05-01],
INDIRECT("tb_rec_uni[natureza]"),"repasse.cef.terreno",
INDIRECT("tb_rec_uni[empresa]"),CE$6)</f>
        <v>0</v>
      </c>
      <c r="CF91" s="127"/>
      <c r="CG91" s="123">
        <f ca="1">SUMIFS(tb_rec_uni[2028-05-01],
INDIRECT("tb_rec_uni[natureza]"),"taxa.extra",
INDIRECT("tb_rec_uni[empresa]"),CG$6)</f>
        <v>0</v>
      </c>
      <c r="CH91" s="111"/>
      <c r="CI91" s="111">
        <f ca="1">SUMIFS(
  m.vb[valor],
  m.vb[nucleo],$CB$1,
  m.vb[variavel],CI$7,
  m.vb[mes],$A91
)</f>
        <v>0</v>
      </c>
      <c r="CJ91" s="111">
        <f ca="1">SUMIFS(
  m.vb[valor],
  m.vb[nucleo],$CB$1,
  m.vb[variavel],CJ$7,
  m.vb[mes],$A91
)</f>
        <v>0</v>
      </c>
      <c r="CK91" s="111">
        <f ca="1">SUMIFS(
  m.vb[valor],
  m.vb[nucleo],$CB$1,
  m.vb[variavel],CK$7,
  m.vb[mes],$A91
)</f>
        <v>0</v>
      </c>
      <c r="CL91" s="111">
        <f ca="1">SUMIFS(
  m.vb[valor],
  m.vb[nucleo],$CB$1,
  m.vb[variavel],CL$7,
  m.vb[mes],$A91
)</f>
        <v>0</v>
      </c>
      <c r="CM91" s="111">
        <f ca="1">SUMIFS(
  m.vb[valor],
  m.vb[nucleo],$CB$1,
  m.vb[variavel],CM$7,
  m.vb[mes],$A91
)</f>
        <v>0</v>
      </c>
      <c r="CN91" s="122">
        <f>COUNTIFS(
    tb_estq[empresa], CN$6,
    tb_estq[Data da venda / reserva], "&gt;=" &amp; $A91,
    tb_estq[Data da venda / reserva], "&lt;"  &amp; EOMONTH($A91,0) + 1
)</f>
        <v>0</v>
      </c>
      <c r="CO91" s="123">
        <f ca="1">SUMIFS(tb_rec_uni[2028-05-01],
INDIRECT("tb_rec_uni[natureza]"),"pro.soluto",
INDIRECT("tb_rec_uni[empresa]"),CO$6)</f>
        <v>0</v>
      </c>
      <c r="CP91" s="123">
        <f ca="1">SUMIFS(tb_rec_uni[2028-05-01],
INDIRECT("tb_rec_uni[natureza]"),"repasse.cef.obra",
INDIRECT("tb_rec_uni[empresa]"),CP$6)</f>
        <v>0</v>
      </c>
      <c r="CQ91" s="126">
        <f ca="1">SUMIFS(tb_rec_uni[2028-05-01],
INDIRECT("tb_rec_uni[natureza]"),"repasse.cef.terreno",
INDIRECT("tb_rec_uni[empresa]"),CQ$6)</f>
        <v>0</v>
      </c>
      <c r="CR91" s="127"/>
      <c r="CS91" s="123">
        <f ca="1">SUMIFS(tb_rec_uni[2028-05-01],
INDIRECT("tb_rec_uni[natureza]"),"taxa.extra",
INDIRECT("tb_rec_uni[empresa]"),CS$6)</f>
        <v>0</v>
      </c>
      <c r="CT91" s="111"/>
      <c r="CU91" s="111">
        <f ca="1">SUMIFS(
  m.vb[valor],
  m.vb[nucleo],$CN$1,
  m.vb[variavel],CU$7,
  m.vb[mes],$A91
)</f>
        <v>0</v>
      </c>
      <c r="CV91" s="111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11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11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4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21">
        <v>46905</v>
      </c>
      <c r="B92" s="122">
        <f>COUNTIFS(
    tb_estq[empresa], B$6,
    tb_estq[Data da venda / reserva], "&gt;=" &amp; $A92,
    tb_estq[Data da venda / reserva], "&lt;"  &amp; EOMONTH($A92,0) + 1
)</f>
        <v>0</v>
      </c>
      <c r="C92" s="123">
        <f ca="1">SUMIFS(tb_rec_uni[2028-06-01],
INDIRECT("tb_rec_uni[natureza]"),"pro.soluto",
INDIRECT("tb_rec_uni[empresa]"),C$6)</f>
        <v>0</v>
      </c>
      <c r="D92" s="123">
        <f ca="1">SUMIFS(tb_rec_uni[2028-06-01],
INDIRECT("tb_rec_uni[natureza]"),"repasse.cef.obra",
INDIRECT("tb_rec_uni[empresa]"),D$6)</f>
        <v>0</v>
      </c>
      <c r="E92" s="123">
        <f ca="1">SUMIFS(tb_rec_uni[2028-06-01],
INDIRECT("tb_rec_uni[natureza]"),"repasse.cef.terreno",
INDIRECT("tb_rec_uni[empresa]"),E$6)</f>
        <v>0</v>
      </c>
      <c r="F92" s="127"/>
      <c r="G92" s="123">
        <f ca="1">SUMIFS(tb_rec_uni[2028-06-01],
INDIRECT("tb_rec_uni[natureza]"),"taxa.extra",
INDIRECT("tb_rec_uni[empresa]"),G$6)</f>
        <v>0</v>
      </c>
      <c r="H92" s="111"/>
      <c r="I92" s="111">
        <f ca="1">SUMIFS(
  m.vb[valor],
  m.vb[nucleo],$B$1,
  m.vb[variavel],I$7,
  m.vb[mes],$A92
)</f>
        <v>0</v>
      </c>
      <c r="J92" s="111">
        <f ca="1">SUMIFS(
  m.vb[valor],
  m.vb[nucleo],$B$1,
  m.vb[variavel],J$7,
  m.vb[mes],$A92
)</f>
        <v>0</v>
      </c>
      <c r="K92" s="111">
        <f ca="1">SUMIFS(
  m.vb[valor],
  m.vb[nucleo],$B$1,
  m.vb[variavel],K$7,
  m.vb[mes],$A92
)</f>
        <v>0</v>
      </c>
      <c r="L92" s="111">
        <f ca="1">SUMIFS(
  m.vb[valor],
  m.vb[nucleo],$B$1,
  m.vb[variavel],L$7,
  m.vb[mes],$A92
)</f>
        <v>0</v>
      </c>
      <c r="M92" s="111">
        <f ca="1">SUMIFS(
  m.vb[valor],
  m.vb[nucleo],$B$1,
  m.vb[variavel],M$7,
  m.vb[mes],$A92
)</f>
        <v>0</v>
      </c>
      <c r="N92" s="122">
        <f>COUNTIFS(
    tb_estq[empresa], N$6,
    tb_estq[Data da venda / reserva], "&gt;=" &amp; $A92,
    tb_estq[Data da venda / reserva], "&lt;"  &amp; EOMONTH($A92,0) + 1
)</f>
        <v>0</v>
      </c>
      <c r="O92" s="123">
        <f ca="1">SUMIFS(tb_rec_uni[2028-06-01],
INDIRECT("tb_rec_uni[natureza]"),"pro.soluto",
INDIRECT("tb_rec_uni[empresa]"),O$6)</f>
        <v>0</v>
      </c>
      <c r="P92" s="123">
        <f ca="1">SUMIFS(tb_rec_uni[2028-06-01],
INDIRECT("tb_rec_uni[natureza]"),"repasse.cef.obra",
INDIRECT("tb_rec_uni[empresa]"),P$6)</f>
        <v>0</v>
      </c>
      <c r="Q92" s="123">
        <f ca="1">SUMIFS(tb_rec_uni[2028-06-01],
INDIRECT("tb_rec_uni[natureza]"),"repasse.cef.terreno",
INDIRECT("tb_rec_uni[empresa]"),Q$6)</f>
        <v>0</v>
      </c>
      <c r="R92" s="127"/>
      <c r="S92" s="123">
        <f ca="1">SUMIFS(tb_rec_uni[2028-06-01],
INDIRECT("tb_rec_uni[natureza]"),"taxa.extra",
INDIRECT("tb_rec_uni[empresa]"),S$6)</f>
        <v>0</v>
      </c>
      <c r="T92" s="111"/>
      <c r="U92" s="111">
        <f ca="1">SUMIFS(
  m.vb[valor],
  m.vb[nucleo],$N$1,
  m.vb[variavel],U$7,
  m.vb[mes],$A92
)</f>
        <v>0</v>
      </c>
      <c r="V92" s="111">
        <f ca="1">SUMIFS(
  m.vb[valor],
  m.vb[nucleo],$N$1,
  m.vb[variavel],V$7,
  m.vb[mes],$A92
)</f>
        <v>0</v>
      </c>
      <c r="W92" s="111">
        <f ca="1">SUMIFS(
  m.vb[valor],
  m.vb[nucleo],$N$1,
  m.vb[variavel],W$7,
  m.vb[mes],$A92
)</f>
        <v>0</v>
      </c>
      <c r="X92" s="111">
        <f ca="1">SUMIFS(
  m.vb[valor],
  m.vb[nucleo],$N$1,
  m.vb[variavel],X$7,
  m.vb[mes],$A92
)</f>
        <v>0</v>
      </c>
      <c r="Y92" s="111">
        <f ca="1">SUMIFS(
  m.vb[valor],
  m.vb[nucleo],$N$1,
  m.vb[variavel],Y$7,
  m.vb[mes],$A92
)</f>
        <v>0</v>
      </c>
      <c r="Z92" s="122">
        <f>COUNTIFS(
    tb_estq[empresa], Z$6,
    tb_estq[Data da venda / reserva], "&gt;=" &amp; $A92,
    tb_estq[Data da venda / reserva], "&lt;"  &amp; EOMONTH($A92,0) + 1
)</f>
        <v>0</v>
      </c>
      <c r="AA92" s="123">
        <f ca="1">SUMIFS(tb_rec_uni[2028-06-01],
INDIRECT("tb_rec_uni[natureza]"),"pro.soluto",
INDIRECT("tb_rec_uni[empresa]"),AA$6)</f>
        <v>0</v>
      </c>
      <c r="AB92" s="127">
        <f ca="1">SUMIFS(tb_rec_uni[2028-06-01],
INDIRECT("tb_rec_uni[natureza]"),"parcela.fin.total.ik",
INDIRECT("tb_rec_uni[empresa]"),AB$6)</f>
        <v>0</v>
      </c>
      <c r="AC92" s="123">
        <f ca="1">SUMIFS(tb_rec_uni[2028-06-01],
INDIRECT("tb_rec_uni[natureza]"),"taxa.extra",
INDIRECT("tb_rec_uni[empresa]"),AC$6)</f>
        <v>0</v>
      </c>
      <c r="AD92" s="111"/>
      <c r="AE92" s="111">
        <f ca="1">SUMIFS(
  m.vb[valor],
  m.vb[nucleo],$Z$1,
  m.vb[variavel],AE$7,
  m.vb[mes],$A92
)</f>
        <v>0</v>
      </c>
      <c r="AF92" s="111">
        <f ca="1">SUMIFS(
  m.vb[valor],
  m.vb[nucleo],$Z$1,
  m.vb[variavel],AF$7,
  m.vb[mes],$A92
)</f>
        <v>0</v>
      </c>
      <c r="AG92" s="111">
        <f ca="1">SUMIFS(
  m.vb[valor],
  m.vb[nucleo],$Z$1,
  m.vb[variavel],AG$7,
  m.vb[mes],$A92
)</f>
        <v>0</v>
      </c>
      <c r="AH92" s="111">
        <f ca="1">SUMIFS(
  m.vb[valor],
  m.vb[nucleo],$Z$1,
  m.vb[variavel],AH$7,
  m.vb[mes],$A92
)</f>
        <v>0</v>
      </c>
      <c r="AI92" s="111">
        <f ca="1">SUMIFS(
  m.vb[valor],
  m.vb[nucleo],$Z$1,
  m.vb[variavel],AI$7,
  m.vb[mes],$A92
)</f>
        <v>0</v>
      </c>
      <c r="AJ92" s="122">
        <f>COUNTIFS(
    tb_estq[empresa], AJ$6,
    tb_estq[Data da venda / reserva], "&gt;=" &amp; $A92,
    tb_estq[Data da venda / reserva], "&lt;"  &amp; EOMONTH($A92,0) + 1
)</f>
        <v>0</v>
      </c>
      <c r="AK92" s="123">
        <f ca="1">SUMIFS(tb_rec_uni[2028-06-01],
INDIRECT("tb_rec_uni[natureza]"),"pro.soluto",
INDIRECT("tb_rec_uni[empresa]"),AK$6)</f>
        <v>0</v>
      </c>
      <c r="AL92" s="123">
        <f ca="1">SUMIFS(tb_rec_uni[2028-06-01],
INDIRECT("tb_rec_uni[natureza]"),"repasse.cef.obra",
INDIRECT("tb_rec_uni[empresa]"),AL$6)</f>
        <v>0</v>
      </c>
      <c r="AM92" s="126">
        <f ca="1">SUMIFS(tb_rec_uni[2028-06-01],
INDIRECT("tb_rec_uni[natureza]"),"repasse.cef.terreno",
INDIRECT("tb_rec_uni[empresa]"),AM$6)</f>
        <v>0</v>
      </c>
      <c r="AN92" s="127"/>
      <c r="AO92" s="123">
        <f ca="1">SUMIFS(tb_rec_uni[2028-06-01],
INDIRECT("tb_rec_uni[natureza]"),"taxa.extra",
INDIRECT("tb_rec_uni[empresa]"),AO$6)</f>
        <v>0</v>
      </c>
      <c r="AP92" s="111"/>
      <c r="AQ92" s="111">
        <f ca="1">SUMIFS(
  m.vb[valor],
  m.vb[nucleo],$AJ$1,
  m.vb[variavel],AQ$7,
  m.vb[mes],$A92
)</f>
        <v>0</v>
      </c>
      <c r="AR92" s="111">
        <f ca="1">SUMIFS(
  m.vb[valor],
  m.vb[nucleo],$AJ$1,
  m.vb[variavel],AR$7,
  m.vb[mes],$A92
)</f>
        <v>0</v>
      </c>
      <c r="AS92" s="111">
        <f ca="1">SUMIFS(
  m.vb[valor],
  m.vb[nucleo],$AJ$1,
  m.vb[variavel],AS$7,
  m.vb[mes],$A92
)</f>
        <v>0</v>
      </c>
      <c r="AT92" s="111">
        <f ca="1">SUMIFS(
  m.vb[valor],
  m.vb[nucleo],$AJ$1,
  m.vb[variavel],AT$7,
  m.vb[mes],$A92
)</f>
        <v>0</v>
      </c>
      <c r="AU92" s="111">
        <f ca="1">SUMIFS(
  m.vb[valor],
  m.vb[nucleo],$AJ$1,
  m.vb[variavel],AU$7,
  m.vb[mes],$A92
)</f>
        <v>0</v>
      </c>
      <c r="AV92" s="122">
        <f>COUNTIFS(
    tb_estq[empresa], AV$6,
    tb_estq[Data da venda / reserva], "&gt;=" &amp; $A92,
    tb_estq[Data da venda / reserva], "&lt;"  &amp; EOMONTH($A92,0) + 1
)</f>
        <v>0</v>
      </c>
      <c r="AW92" s="123">
        <f ca="1">SUMIFS(tb_rec_uni[2028-06-01],
INDIRECT("tb_rec_uni[natureza]"),"pro.soluto",
INDIRECT("tb_rec_uni[empresa]"),AW$6)</f>
        <v>0</v>
      </c>
      <c r="AX92" s="123">
        <f ca="1">SUMIFS(tb_rec_uni[2028-06-01],
INDIRECT("tb_rec_uni[natureza]"),"repasse.cef.obra",
INDIRECT("tb_rec_uni[empresa]"),AX$6)</f>
        <v>0</v>
      </c>
      <c r="AY92" s="126">
        <f ca="1">SUMIFS(tb_rec_uni[2028-06-01],
INDIRECT("tb_rec_uni[natureza]"),"repasse.cef.terreno",
INDIRECT("tb_rec_uni[empresa]"),AY$6)</f>
        <v>0</v>
      </c>
      <c r="AZ92" s="127"/>
      <c r="BA92" s="123">
        <f ca="1">SUMIFS(tb_rec_uni[2028-06-01],
INDIRECT("tb_rec_uni[natureza]"),"taxa.extra",
INDIRECT("tb_rec_uni[empresa]"),BA$6)</f>
        <v>0</v>
      </c>
      <c r="BB92" s="111"/>
      <c r="BC92" s="111">
        <f ca="1">SUMIFS(
  m.vb[valor],
  m.vb[nucleo],$AV$1,
  m.vb[variavel],BC$7,
  m.vb[mes],$A92
)</f>
        <v>0</v>
      </c>
      <c r="BD92" s="111">
        <f ca="1">SUMIFS(
  m.vb[valor],
  m.vb[nucleo],$AV$1,
  m.vb[variavel],BD$7,
  m.vb[mes],$A92
)</f>
        <v>0</v>
      </c>
      <c r="BE92" s="111">
        <f ca="1">SUMIFS(
  m.vb[valor],
  m.vb[nucleo],$AV$1,
  m.vb[variavel],BE$7,
  m.vb[mes],$A92
)</f>
        <v>0</v>
      </c>
      <c r="BF92" s="111">
        <f ca="1">SUMIFS(
  m.vb[valor],
  m.vb[nucleo],$AV$1,
  m.vb[variavel],BF$7,
  m.vb[mes],$A92
)</f>
        <v>0</v>
      </c>
      <c r="BG92" s="111">
        <f ca="1">SUMIFS(
  m.vb[valor],
  m.vb[nucleo],$AV$1,
  m.vb[variavel],BG$7,
  m.vb[mes],$A92
)</f>
        <v>0</v>
      </c>
      <c r="BH92" s="122">
        <f>COUNTIFS(
    tb_estq[empresa], BH$6,
    tb_estq[Data da venda / reserva], "&gt;=" &amp; $A92,
    tb_estq[Data da venda / reserva], "&lt;"  &amp; EOMONTH($A92,0) + 1
)</f>
        <v>0</v>
      </c>
      <c r="BI92" s="123">
        <f ca="1">SUMIFS(tb_rec_uni[2028-06-01],
INDIRECT("tb_rec_uni[natureza]"),"pro.soluto",
INDIRECT("tb_rec_uni[empresa]"),BI$6)</f>
        <v>0</v>
      </c>
      <c r="BJ92" s="127"/>
      <c r="BK92" s="123">
        <f ca="1">SUMIFS(tb_rec_uni[2028-06-01],
INDIRECT("tb_rec_uni[natureza]"),"taxa.extra",
INDIRECT("tb_rec_uni[empresa]"),BK$6)</f>
        <v>0</v>
      </c>
      <c r="BL92" s="111"/>
      <c r="BM92" s="111">
        <f ca="1">SUMIFS(
  m.vb[valor],
  m.vb[nucleo],$BH$1,
  m.vb[variavel],BM$7,
  m.vb[mes],$A92
)</f>
        <v>0</v>
      </c>
      <c r="BN92" s="111">
        <f ca="1">SUMIFS(
  m.vb[valor],
  m.vb[nucleo],$BH$1,
  m.vb[variavel],BN$7,
  m.vb[mes],$A92
)</f>
        <v>0</v>
      </c>
      <c r="BO92" s="111">
        <f ca="1">SUMIFS(
  m.vb[valor],
  m.vb[nucleo],$BH$1,
  m.vb[variavel],BO$7,
  m.vb[mes],$A92
)</f>
        <v>0</v>
      </c>
      <c r="BP92" s="111">
        <f ca="1">SUMIFS(
  m.vb[valor],
  m.vb[nucleo],$BH$1,
  m.vb[variavel],BP$7,
  m.vb[mes],$A92
)</f>
        <v>0</v>
      </c>
      <c r="BQ92" s="111">
        <f ca="1">SUMIFS(
  m.vb[valor],
  m.vb[nucleo],$BH$1,
  m.vb[variavel],BQ$7,
  m.vb[mes],$A92
)</f>
        <v>0</v>
      </c>
      <c r="BR92" s="122">
        <f>COUNTIFS(
    tb_estq[empresa], BR$6,
    tb_estq[Data da venda / reserva], "&gt;=" &amp; $A92,
    tb_estq[Data da venda / reserva], "&lt;"  &amp; EOMONTH($A92,0) + 1
)</f>
        <v>0</v>
      </c>
      <c r="BS92" s="123">
        <f ca="1">SUMIFS(tb_rec_uni[2028-06-01],
INDIRECT("tb_rec_uni[natureza]"),"pro.soluto",
INDIRECT("tb_rec_uni[empresa]"),BS$6)</f>
        <v>0</v>
      </c>
      <c r="BT92" s="127">
        <f ca="1">SUMIFS(tb_rec_uni[2028-06-01],
INDIRECT("tb_rec_uni[natureza]"),"parcela.fin.total.ik",
INDIRECT("tb_rec_uni[empresa]"),BT$6)</f>
        <v>0</v>
      </c>
      <c r="BU92" s="123">
        <f ca="1">SUMIFS(tb_rec_uni[2028-06-01],
INDIRECT("tb_rec_uni[natureza]"),"taxa.extra",
INDIRECT("tb_rec_uni[empresa]"),BU$6)</f>
        <v>0</v>
      </c>
      <c r="BV92" s="111"/>
      <c r="BW92" s="111">
        <f ca="1">SUMIFS(
  m.vb[valor],
  m.vb[nucleo],$BR$1,
  m.vb[variavel],BW$7,
  m.vb[mes],$A92
)</f>
        <v>0</v>
      </c>
      <c r="BX92" s="111">
        <f ca="1">SUMIFS(
  m.vb[valor],
  m.vb[nucleo],$BR$1,
  m.vb[variavel],BX$7,
  m.vb[mes],$A92
)</f>
        <v>0</v>
      </c>
      <c r="BY92" s="111">
        <f ca="1">SUMIFS(
  m.vb[valor],
  m.vb[nucleo],$BR$1,
  m.vb[variavel],BY$7,
  m.vb[mes],$A92
)</f>
        <v>0</v>
      </c>
      <c r="BZ92" s="111">
        <f ca="1">SUMIFS(
  m.vb[valor],
  m.vb[nucleo],$BR$1,
  m.vb[variavel],BZ$7,
  m.vb[mes],$A92
)</f>
        <v>0</v>
      </c>
      <c r="CA92" s="111">
        <f ca="1">SUMIFS(
  m.vb[valor],
  m.vb[nucleo],$BR$1,
  m.vb[variavel],CA$7,
  m.vb[mes],$A92
)</f>
        <v>0</v>
      </c>
      <c r="CB92" s="122">
        <f>COUNTIFS(
    tb_estq[empresa], CB$6,
    tb_estq[Data da venda / reserva], "&gt;=" &amp; $A92,
    tb_estq[Data da venda / reserva], "&lt;"  &amp; EOMONTH($A92,0) + 1
)</f>
        <v>0</v>
      </c>
      <c r="CC92" s="123">
        <f ca="1">SUMIFS(tb_rec_uni[2028-06-01],
INDIRECT("tb_rec_uni[natureza]"),"pro.soluto",
INDIRECT("tb_rec_uni[empresa]"),CC$6)</f>
        <v>0</v>
      </c>
      <c r="CD92" s="123">
        <f ca="1">SUMIFS(tb_rec_uni[2028-06-01],
INDIRECT("tb_rec_uni[natureza]"),"repasse.cef.obra",
INDIRECT("tb_rec_uni[empresa]"),CD$6)</f>
        <v>0</v>
      </c>
      <c r="CE92" s="126">
        <f ca="1">SUMIFS(tb_rec_uni[2028-06-01],
INDIRECT("tb_rec_uni[natureza]"),"repasse.cef.terreno",
INDIRECT("tb_rec_uni[empresa]"),CE$6)</f>
        <v>0</v>
      </c>
      <c r="CF92" s="127"/>
      <c r="CG92" s="123">
        <f ca="1">SUMIFS(tb_rec_uni[2028-06-01],
INDIRECT("tb_rec_uni[natureza]"),"taxa.extra",
INDIRECT("tb_rec_uni[empresa]"),CG$6)</f>
        <v>0</v>
      </c>
      <c r="CH92" s="111"/>
      <c r="CI92" s="111">
        <f ca="1">SUMIFS(
  m.vb[valor],
  m.vb[nucleo],$CB$1,
  m.vb[variavel],CI$7,
  m.vb[mes],$A92
)</f>
        <v>0</v>
      </c>
      <c r="CJ92" s="111">
        <f ca="1">SUMIFS(
  m.vb[valor],
  m.vb[nucleo],$CB$1,
  m.vb[variavel],CJ$7,
  m.vb[mes],$A92
)</f>
        <v>0</v>
      </c>
      <c r="CK92" s="111">
        <f ca="1">SUMIFS(
  m.vb[valor],
  m.vb[nucleo],$CB$1,
  m.vb[variavel],CK$7,
  m.vb[mes],$A92
)</f>
        <v>0</v>
      </c>
      <c r="CL92" s="111">
        <f ca="1">SUMIFS(
  m.vb[valor],
  m.vb[nucleo],$CB$1,
  m.vb[variavel],CL$7,
  m.vb[mes],$A92
)</f>
        <v>0</v>
      </c>
      <c r="CM92" s="111">
        <f ca="1">SUMIFS(
  m.vb[valor],
  m.vb[nucleo],$CB$1,
  m.vb[variavel],CM$7,
  m.vb[mes],$A92
)</f>
        <v>0</v>
      </c>
      <c r="CN92" s="122">
        <f>COUNTIFS(
    tb_estq[empresa], CN$6,
    tb_estq[Data da venda / reserva], "&gt;=" &amp; $A92,
    tb_estq[Data da venda / reserva], "&lt;"  &amp; EOMONTH($A92,0) + 1
)</f>
        <v>0</v>
      </c>
      <c r="CO92" s="123">
        <f ca="1">SUMIFS(tb_rec_uni[2028-06-01],
INDIRECT("tb_rec_uni[natureza]"),"pro.soluto",
INDIRECT("tb_rec_uni[empresa]"),CO$6)</f>
        <v>0</v>
      </c>
      <c r="CP92" s="123">
        <f ca="1">SUMIFS(tb_rec_uni[2028-06-01],
INDIRECT("tb_rec_uni[natureza]"),"repasse.cef.obra",
INDIRECT("tb_rec_uni[empresa]"),CP$6)</f>
        <v>0</v>
      </c>
      <c r="CQ92" s="126">
        <f ca="1">SUMIFS(tb_rec_uni[2028-06-01],
INDIRECT("tb_rec_uni[natureza]"),"repasse.cef.terreno",
INDIRECT("tb_rec_uni[empresa]"),CQ$6)</f>
        <v>0</v>
      </c>
      <c r="CR92" s="127"/>
      <c r="CS92" s="123">
        <f ca="1">SUMIFS(tb_rec_uni[2028-06-01],
INDIRECT("tb_rec_uni[natureza]"),"taxa.extra",
INDIRECT("tb_rec_uni[empresa]"),CS$6)</f>
        <v>0</v>
      </c>
      <c r="CT92" s="111"/>
      <c r="CU92" s="111">
        <f ca="1">SUMIFS(
  m.vb[valor],
  m.vb[nucleo],$CN$1,
  m.vb[variavel],CU$7,
  m.vb[mes],$A92
)</f>
        <v>0</v>
      </c>
      <c r="CV92" s="111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11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11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4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21">
        <v>46935</v>
      </c>
      <c r="B93" s="122">
        <f>COUNTIFS(
    tb_estq[empresa], B$6,
    tb_estq[Data da venda / reserva], "&gt;=" &amp; $A93,
    tb_estq[Data da venda / reserva], "&lt;"  &amp; EOMONTH($A93,0) + 1
)</f>
        <v>0</v>
      </c>
      <c r="C93" s="123">
        <f ca="1">SUMIFS(tb_rec_uni[2028-07-01],
INDIRECT("tb_rec_uni[natureza]"),"pro.soluto",
INDIRECT("tb_rec_uni[empresa]"),C$6)</f>
        <v>0</v>
      </c>
      <c r="D93" s="123">
        <f ca="1">SUMIFS(tb_rec_uni[2028-07-01],
INDIRECT("tb_rec_uni[natureza]"),"repasse.cef.obra",
INDIRECT("tb_rec_uni[empresa]"),D$6)</f>
        <v>0</v>
      </c>
      <c r="E93" s="123">
        <f ca="1">SUMIFS(tb_rec_uni[2028-07-01],
INDIRECT("tb_rec_uni[natureza]"),"repasse.cef.terreno",
INDIRECT("tb_rec_uni[empresa]"),E$6)</f>
        <v>0</v>
      </c>
      <c r="F93" s="127"/>
      <c r="G93" s="123">
        <f ca="1">SUMIFS(tb_rec_uni[2028-07-01],
INDIRECT("tb_rec_uni[natureza]"),"taxa.extra",
INDIRECT("tb_rec_uni[empresa]"),G$6)</f>
        <v>0</v>
      </c>
      <c r="H93" s="111"/>
      <c r="I93" s="111">
        <f ca="1">SUMIFS(
  m.vb[valor],
  m.vb[nucleo],$B$1,
  m.vb[variavel],I$7,
  m.vb[mes],$A93
)</f>
        <v>0</v>
      </c>
      <c r="J93" s="111">
        <f ca="1">SUMIFS(
  m.vb[valor],
  m.vb[nucleo],$B$1,
  m.vb[variavel],J$7,
  m.vb[mes],$A93
)</f>
        <v>0</v>
      </c>
      <c r="K93" s="111">
        <f ca="1">SUMIFS(
  m.vb[valor],
  m.vb[nucleo],$B$1,
  m.vb[variavel],K$7,
  m.vb[mes],$A93
)</f>
        <v>0</v>
      </c>
      <c r="L93" s="111">
        <f ca="1">SUMIFS(
  m.vb[valor],
  m.vb[nucleo],$B$1,
  m.vb[variavel],L$7,
  m.vb[mes],$A93
)</f>
        <v>0</v>
      </c>
      <c r="M93" s="111">
        <f ca="1">SUMIFS(
  m.vb[valor],
  m.vb[nucleo],$B$1,
  m.vb[variavel],M$7,
  m.vb[mes],$A93
)</f>
        <v>0</v>
      </c>
      <c r="N93" s="122">
        <f>COUNTIFS(
    tb_estq[empresa], N$6,
    tb_estq[Data da venda / reserva], "&gt;=" &amp; $A93,
    tb_estq[Data da venda / reserva], "&lt;"  &amp; EOMONTH($A93,0) + 1
)</f>
        <v>0</v>
      </c>
      <c r="O93" s="123">
        <f ca="1">SUMIFS(tb_rec_uni[2028-07-01],
INDIRECT("tb_rec_uni[natureza]"),"pro.soluto",
INDIRECT("tb_rec_uni[empresa]"),O$6)</f>
        <v>0</v>
      </c>
      <c r="P93" s="123">
        <f ca="1">SUMIFS(tb_rec_uni[2028-07-01],
INDIRECT("tb_rec_uni[natureza]"),"repasse.cef.obra",
INDIRECT("tb_rec_uni[empresa]"),P$6)</f>
        <v>0</v>
      </c>
      <c r="Q93" s="123">
        <f ca="1">SUMIFS(tb_rec_uni[2028-07-01],
INDIRECT("tb_rec_uni[natureza]"),"repasse.cef.terreno",
INDIRECT("tb_rec_uni[empresa]"),Q$6)</f>
        <v>0</v>
      </c>
      <c r="R93" s="127"/>
      <c r="S93" s="123">
        <f ca="1">SUMIFS(tb_rec_uni[2028-07-01],
INDIRECT("tb_rec_uni[natureza]"),"taxa.extra",
INDIRECT("tb_rec_uni[empresa]"),S$6)</f>
        <v>0</v>
      </c>
      <c r="T93" s="111"/>
      <c r="U93" s="111">
        <f ca="1">SUMIFS(
  m.vb[valor],
  m.vb[nucleo],$N$1,
  m.vb[variavel],U$7,
  m.vb[mes],$A93
)</f>
        <v>0</v>
      </c>
      <c r="V93" s="111">
        <f ca="1">SUMIFS(
  m.vb[valor],
  m.vb[nucleo],$N$1,
  m.vb[variavel],V$7,
  m.vb[mes],$A93
)</f>
        <v>0</v>
      </c>
      <c r="W93" s="111">
        <f ca="1">SUMIFS(
  m.vb[valor],
  m.vb[nucleo],$N$1,
  m.vb[variavel],W$7,
  m.vb[mes],$A93
)</f>
        <v>0</v>
      </c>
      <c r="X93" s="111">
        <f ca="1">SUMIFS(
  m.vb[valor],
  m.vb[nucleo],$N$1,
  m.vb[variavel],X$7,
  m.vb[mes],$A93
)</f>
        <v>0</v>
      </c>
      <c r="Y93" s="111">
        <f ca="1">SUMIFS(
  m.vb[valor],
  m.vb[nucleo],$N$1,
  m.vb[variavel],Y$7,
  m.vb[mes],$A93
)</f>
        <v>0</v>
      </c>
      <c r="Z93" s="122">
        <f>COUNTIFS(
    tb_estq[empresa], Z$6,
    tb_estq[Data da venda / reserva], "&gt;=" &amp; $A93,
    tb_estq[Data da venda / reserva], "&lt;"  &amp; EOMONTH($A93,0) + 1
)</f>
        <v>0</v>
      </c>
      <c r="AA93" s="123">
        <f ca="1">SUMIFS(tb_rec_uni[2028-07-01],
INDIRECT("tb_rec_uni[natureza]"),"pro.soluto",
INDIRECT("tb_rec_uni[empresa]"),AA$6)</f>
        <v>0</v>
      </c>
      <c r="AB93" s="127">
        <f ca="1">SUMIFS(tb_rec_uni[2028-07-01],
INDIRECT("tb_rec_uni[natureza]"),"parcela.fin.total.ik",
INDIRECT("tb_rec_uni[empresa]"),AB$6)</f>
        <v>0</v>
      </c>
      <c r="AC93" s="123">
        <f ca="1">SUMIFS(tb_rec_uni[2028-07-01],
INDIRECT("tb_rec_uni[natureza]"),"taxa.extra",
INDIRECT("tb_rec_uni[empresa]"),AC$6)</f>
        <v>0</v>
      </c>
      <c r="AD93" s="111"/>
      <c r="AE93" s="111">
        <f ca="1">SUMIFS(
  m.vb[valor],
  m.vb[nucleo],$Z$1,
  m.vb[variavel],AE$7,
  m.vb[mes],$A93
)</f>
        <v>0</v>
      </c>
      <c r="AF93" s="111">
        <f ca="1">SUMIFS(
  m.vb[valor],
  m.vb[nucleo],$Z$1,
  m.vb[variavel],AF$7,
  m.vb[mes],$A93
)</f>
        <v>0</v>
      </c>
      <c r="AG93" s="111">
        <f ca="1">SUMIFS(
  m.vb[valor],
  m.vb[nucleo],$Z$1,
  m.vb[variavel],AG$7,
  m.vb[mes],$A93
)</f>
        <v>0</v>
      </c>
      <c r="AH93" s="111">
        <f ca="1">SUMIFS(
  m.vb[valor],
  m.vb[nucleo],$Z$1,
  m.vb[variavel],AH$7,
  m.vb[mes],$A93
)</f>
        <v>0</v>
      </c>
      <c r="AI93" s="111">
        <f ca="1">SUMIFS(
  m.vb[valor],
  m.vb[nucleo],$Z$1,
  m.vb[variavel],AI$7,
  m.vb[mes],$A93
)</f>
        <v>0</v>
      </c>
      <c r="AJ93" s="122">
        <f>COUNTIFS(
    tb_estq[empresa], AJ$6,
    tb_estq[Data da venda / reserva], "&gt;=" &amp; $A93,
    tb_estq[Data da venda / reserva], "&lt;"  &amp; EOMONTH($A93,0) + 1
)</f>
        <v>0</v>
      </c>
      <c r="AK93" s="123">
        <f ca="1">SUMIFS(tb_rec_uni[2028-07-01],
INDIRECT("tb_rec_uni[natureza]"),"pro.soluto",
INDIRECT("tb_rec_uni[empresa]"),AK$6)</f>
        <v>0</v>
      </c>
      <c r="AL93" s="123">
        <f ca="1">SUMIFS(tb_rec_uni[2028-07-01],
INDIRECT("tb_rec_uni[natureza]"),"repasse.cef.obra",
INDIRECT("tb_rec_uni[empresa]"),AL$6)</f>
        <v>0</v>
      </c>
      <c r="AM93" s="126">
        <f ca="1">SUMIFS(tb_rec_uni[2028-07-01],
INDIRECT("tb_rec_uni[natureza]"),"repasse.cef.terreno",
INDIRECT("tb_rec_uni[empresa]"),AM$6)</f>
        <v>0</v>
      </c>
      <c r="AN93" s="127"/>
      <c r="AO93" s="123">
        <f ca="1">SUMIFS(tb_rec_uni[2028-07-01],
INDIRECT("tb_rec_uni[natureza]"),"taxa.extra",
INDIRECT("tb_rec_uni[empresa]"),AO$6)</f>
        <v>0</v>
      </c>
      <c r="AP93" s="111"/>
      <c r="AQ93" s="111">
        <f ca="1">SUMIFS(
  m.vb[valor],
  m.vb[nucleo],$AJ$1,
  m.vb[variavel],AQ$7,
  m.vb[mes],$A93
)</f>
        <v>0</v>
      </c>
      <c r="AR93" s="111">
        <f ca="1">SUMIFS(
  m.vb[valor],
  m.vb[nucleo],$AJ$1,
  m.vb[variavel],AR$7,
  m.vb[mes],$A93
)</f>
        <v>0</v>
      </c>
      <c r="AS93" s="111">
        <f ca="1">SUMIFS(
  m.vb[valor],
  m.vb[nucleo],$AJ$1,
  m.vb[variavel],AS$7,
  m.vb[mes],$A93
)</f>
        <v>0</v>
      </c>
      <c r="AT93" s="111">
        <f ca="1">SUMIFS(
  m.vb[valor],
  m.vb[nucleo],$AJ$1,
  m.vb[variavel],AT$7,
  m.vb[mes],$A93
)</f>
        <v>0</v>
      </c>
      <c r="AU93" s="111">
        <f ca="1">SUMIFS(
  m.vb[valor],
  m.vb[nucleo],$AJ$1,
  m.vb[variavel],AU$7,
  m.vb[mes],$A93
)</f>
        <v>0</v>
      </c>
      <c r="AV93" s="122">
        <f>COUNTIFS(
    tb_estq[empresa], AV$6,
    tb_estq[Data da venda / reserva], "&gt;=" &amp; $A93,
    tb_estq[Data da venda / reserva], "&lt;"  &amp; EOMONTH($A93,0) + 1
)</f>
        <v>0</v>
      </c>
      <c r="AW93" s="123">
        <f ca="1">SUMIFS(tb_rec_uni[2028-07-01],
INDIRECT("tb_rec_uni[natureza]"),"pro.soluto",
INDIRECT("tb_rec_uni[empresa]"),AW$6)</f>
        <v>0</v>
      </c>
      <c r="AX93" s="123">
        <f ca="1">SUMIFS(tb_rec_uni[2028-07-01],
INDIRECT("tb_rec_uni[natureza]"),"repasse.cef.obra",
INDIRECT("tb_rec_uni[empresa]"),AX$6)</f>
        <v>0</v>
      </c>
      <c r="AY93" s="126">
        <f ca="1">SUMIFS(tb_rec_uni[2028-07-01],
INDIRECT("tb_rec_uni[natureza]"),"repasse.cef.terreno",
INDIRECT("tb_rec_uni[empresa]"),AY$6)</f>
        <v>0</v>
      </c>
      <c r="AZ93" s="127"/>
      <c r="BA93" s="123">
        <f ca="1">SUMIFS(tb_rec_uni[2028-07-01],
INDIRECT("tb_rec_uni[natureza]"),"taxa.extra",
INDIRECT("tb_rec_uni[empresa]"),BA$6)</f>
        <v>0</v>
      </c>
      <c r="BB93" s="111"/>
      <c r="BC93" s="111">
        <f ca="1">SUMIFS(
  m.vb[valor],
  m.vb[nucleo],$AV$1,
  m.vb[variavel],BC$7,
  m.vb[mes],$A93
)</f>
        <v>0</v>
      </c>
      <c r="BD93" s="111">
        <f ca="1">SUMIFS(
  m.vb[valor],
  m.vb[nucleo],$AV$1,
  m.vb[variavel],BD$7,
  m.vb[mes],$A93
)</f>
        <v>0</v>
      </c>
      <c r="BE93" s="111">
        <f ca="1">SUMIFS(
  m.vb[valor],
  m.vb[nucleo],$AV$1,
  m.vb[variavel],BE$7,
  m.vb[mes],$A93
)</f>
        <v>0</v>
      </c>
      <c r="BF93" s="111">
        <f ca="1">SUMIFS(
  m.vb[valor],
  m.vb[nucleo],$AV$1,
  m.vb[variavel],BF$7,
  m.vb[mes],$A93
)</f>
        <v>0</v>
      </c>
      <c r="BG93" s="111">
        <f ca="1">SUMIFS(
  m.vb[valor],
  m.vb[nucleo],$AV$1,
  m.vb[variavel],BG$7,
  m.vb[mes],$A93
)</f>
        <v>0</v>
      </c>
      <c r="BH93" s="122">
        <f>COUNTIFS(
    tb_estq[empresa], BH$6,
    tb_estq[Data da venda / reserva], "&gt;=" &amp; $A93,
    tb_estq[Data da venda / reserva], "&lt;"  &amp; EOMONTH($A93,0) + 1
)</f>
        <v>0</v>
      </c>
      <c r="BI93" s="123">
        <f ca="1">SUMIFS(tb_rec_uni[2028-07-01],
INDIRECT("tb_rec_uni[natureza]"),"pro.soluto",
INDIRECT("tb_rec_uni[empresa]"),BI$6)</f>
        <v>0</v>
      </c>
      <c r="BJ93" s="127"/>
      <c r="BK93" s="123">
        <f ca="1">SUMIFS(tb_rec_uni[2028-07-01],
INDIRECT("tb_rec_uni[natureza]"),"taxa.extra",
INDIRECT("tb_rec_uni[empresa]"),BK$6)</f>
        <v>0</v>
      </c>
      <c r="BL93" s="111"/>
      <c r="BM93" s="111">
        <f ca="1">SUMIFS(
  m.vb[valor],
  m.vb[nucleo],$BH$1,
  m.vb[variavel],BM$7,
  m.vb[mes],$A93
)</f>
        <v>0</v>
      </c>
      <c r="BN93" s="111">
        <f ca="1">SUMIFS(
  m.vb[valor],
  m.vb[nucleo],$BH$1,
  m.vb[variavel],BN$7,
  m.vb[mes],$A93
)</f>
        <v>0</v>
      </c>
      <c r="BO93" s="111">
        <f ca="1">SUMIFS(
  m.vb[valor],
  m.vb[nucleo],$BH$1,
  m.vb[variavel],BO$7,
  m.vb[mes],$A93
)</f>
        <v>0</v>
      </c>
      <c r="BP93" s="111">
        <f ca="1">SUMIFS(
  m.vb[valor],
  m.vb[nucleo],$BH$1,
  m.vb[variavel],BP$7,
  m.vb[mes],$A93
)</f>
        <v>0</v>
      </c>
      <c r="BQ93" s="111">
        <f ca="1">SUMIFS(
  m.vb[valor],
  m.vb[nucleo],$BH$1,
  m.vb[variavel],BQ$7,
  m.vb[mes],$A93
)</f>
        <v>0</v>
      </c>
      <c r="BR93" s="122">
        <f>COUNTIFS(
    tb_estq[empresa], BR$6,
    tb_estq[Data da venda / reserva], "&gt;=" &amp; $A93,
    tb_estq[Data da venda / reserva], "&lt;"  &amp; EOMONTH($A93,0) + 1
)</f>
        <v>0</v>
      </c>
      <c r="BS93" s="123">
        <f ca="1">SUMIFS(tb_rec_uni[2028-07-01],
INDIRECT("tb_rec_uni[natureza]"),"pro.soluto",
INDIRECT("tb_rec_uni[empresa]"),BS$6)</f>
        <v>0</v>
      </c>
      <c r="BT93" s="127">
        <f ca="1">SUMIFS(tb_rec_uni[2028-07-01],
INDIRECT("tb_rec_uni[natureza]"),"parcela.fin.total.ik",
INDIRECT("tb_rec_uni[empresa]"),BT$6)</f>
        <v>0</v>
      </c>
      <c r="BU93" s="123">
        <f ca="1">SUMIFS(tb_rec_uni[2028-07-01],
INDIRECT("tb_rec_uni[natureza]"),"taxa.extra",
INDIRECT("tb_rec_uni[empresa]"),BU$6)</f>
        <v>0</v>
      </c>
      <c r="BV93" s="111"/>
      <c r="BW93" s="111">
        <f ca="1">SUMIFS(
  m.vb[valor],
  m.vb[nucleo],$BR$1,
  m.vb[variavel],BW$7,
  m.vb[mes],$A93
)</f>
        <v>0</v>
      </c>
      <c r="BX93" s="111">
        <f ca="1">SUMIFS(
  m.vb[valor],
  m.vb[nucleo],$BR$1,
  m.vb[variavel],BX$7,
  m.vb[mes],$A93
)</f>
        <v>0</v>
      </c>
      <c r="BY93" s="111">
        <f ca="1">SUMIFS(
  m.vb[valor],
  m.vb[nucleo],$BR$1,
  m.vb[variavel],BY$7,
  m.vb[mes],$A93
)</f>
        <v>0</v>
      </c>
      <c r="BZ93" s="111">
        <f ca="1">SUMIFS(
  m.vb[valor],
  m.vb[nucleo],$BR$1,
  m.vb[variavel],BZ$7,
  m.vb[mes],$A93
)</f>
        <v>0</v>
      </c>
      <c r="CA93" s="111">
        <f ca="1">SUMIFS(
  m.vb[valor],
  m.vb[nucleo],$BR$1,
  m.vb[variavel],CA$7,
  m.vb[mes],$A93
)</f>
        <v>0</v>
      </c>
      <c r="CB93" s="122">
        <f>COUNTIFS(
    tb_estq[empresa], CB$6,
    tb_estq[Data da venda / reserva], "&gt;=" &amp; $A93,
    tb_estq[Data da venda / reserva], "&lt;"  &amp; EOMONTH($A93,0) + 1
)</f>
        <v>0</v>
      </c>
      <c r="CC93" s="123">
        <f ca="1">SUMIFS(tb_rec_uni[2028-07-01],
INDIRECT("tb_rec_uni[natureza]"),"pro.soluto",
INDIRECT("tb_rec_uni[empresa]"),CC$6)</f>
        <v>0</v>
      </c>
      <c r="CD93" s="123">
        <f ca="1">SUMIFS(tb_rec_uni[2028-07-01],
INDIRECT("tb_rec_uni[natureza]"),"repasse.cef.obra",
INDIRECT("tb_rec_uni[empresa]"),CD$6)</f>
        <v>0</v>
      </c>
      <c r="CE93" s="126">
        <f ca="1">SUMIFS(tb_rec_uni[2028-07-01],
INDIRECT("tb_rec_uni[natureza]"),"repasse.cef.terreno",
INDIRECT("tb_rec_uni[empresa]"),CE$6)</f>
        <v>0</v>
      </c>
      <c r="CF93" s="127"/>
      <c r="CG93" s="123">
        <f ca="1">SUMIFS(tb_rec_uni[2028-07-01],
INDIRECT("tb_rec_uni[natureza]"),"taxa.extra",
INDIRECT("tb_rec_uni[empresa]"),CG$6)</f>
        <v>0</v>
      </c>
      <c r="CH93" s="111"/>
      <c r="CI93" s="111">
        <f ca="1">SUMIFS(
  m.vb[valor],
  m.vb[nucleo],$CB$1,
  m.vb[variavel],CI$7,
  m.vb[mes],$A93
)</f>
        <v>0</v>
      </c>
      <c r="CJ93" s="111">
        <f ca="1">SUMIFS(
  m.vb[valor],
  m.vb[nucleo],$CB$1,
  m.vb[variavel],CJ$7,
  m.vb[mes],$A93
)</f>
        <v>0</v>
      </c>
      <c r="CK93" s="111">
        <f ca="1">SUMIFS(
  m.vb[valor],
  m.vb[nucleo],$CB$1,
  m.vb[variavel],CK$7,
  m.vb[mes],$A93
)</f>
        <v>0</v>
      </c>
      <c r="CL93" s="111">
        <f ca="1">SUMIFS(
  m.vb[valor],
  m.vb[nucleo],$CB$1,
  m.vb[variavel],CL$7,
  m.vb[mes],$A93
)</f>
        <v>0</v>
      </c>
      <c r="CM93" s="111">
        <f ca="1">SUMIFS(
  m.vb[valor],
  m.vb[nucleo],$CB$1,
  m.vb[variavel],CM$7,
  m.vb[mes],$A93
)</f>
        <v>0</v>
      </c>
      <c r="CN93" s="122">
        <f>COUNTIFS(
    tb_estq[empresa], CN$6,
    tb_estq[Data da venda / reserva], "&gt;=" &amp; $A93,
    tb_estq[Data da venda / reserva], "&lt;"  &amp; EOMONTH($A93,0) + 1
)</f>
        <v>0</v>
      </c>
      <c r="CO93" s="123">
        <f ca="1">SUMIFS(tb_rec_uni[2028-07-01],
INDIRECT("tb_rec_uni[natureza]"),"pro.soluto",
INDIRECT("tb_rec_uni[empresa]"),CO$6)</f>
        <v>0</v>
      </c>
      <c r="CP93" s="123">
        <f ca="1">SUMIFS(tb_rec_uni[2028-07-01],
INDIRECT("tb_rec_uni[natureza]"),"repasse.cef.obra",
INDIRECT("tb_rec_uni[empresa]"),CP$6)</f>
        <v>0</v>
      </c>
      <c r="CQ93" s="126">
        <f ca="1">SUMIFS(tb_rec_uni[2028-07-01],
INDIRECT("tb_rec_uni[natureza]"),"repasse.cef.terreno",
INDIRECT("tb_rec_uni[empresa]"),CQ$6)</f>
        <v>0</v>
      </c>
      <c r="CR93" s="127"/>
      <c r="CS93" s="123">
        <f ca="1">SUMIFS(tb_rec_uni[2028-07-01],
INDIRECT("tb_rec_uni[natureza]"),"taxa.extra",
INDIRECT("tb_rec_uni[empresa]"),CS$6)</f>
        <v>0</v>
      </c>
      <c r="CT93" s="111"/>
      <c r="CU93" s="111">
        <f ca="1">SUMIFS(
  m.vb[valor],
  m.vb[nucleo],$CN$1,
  m.vb[variavel],CU$7,
  m.vb[mes],$A93
)</f>
        <v>0</v>
      </c>
      <c r="CV93" s="111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11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11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4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21">
        <v>46966</v>
      </c>
      <c r="B94" s="122">
        <f>COUNTIFS(
    tb_estq[empresa], B$6,
    tb_estq[Data da venda / reserva], "&gt;=" &amp; $A94,
    tb_estq[Data da venda / reserva], "&lt;"  &amp; EOMONTH($A94,0) + 1
)</f>
        <v>0</v>
      </c>
      <c r="C94" s="123">
        <f ca="1">SUMIFS(tb_rec_uni[2028-08-01],
INDIRECT("tb_rec_uni[natureza]"),"pro.soluto",
INDIRECT("tb_rec_uni[empresa]"),C$6)</f>
        <v>0</v>
      </c>
      <c r="D94" s="123">
        <f ca="1">SUMIFS(tb_rec_uni[2028-08-01],
INDIRECT("tb_rec_uni[natureza]"),"repasse.cef.obra",
INDIRECT("tb_rec_uni[empresa]"),D$6)</f>
        <v>0</v>
      </c>
      <c r="E94" s="123">
        <f ca="1">SUMIFS(tb_rec_uni[2028-08-01],
INDIRECT("tb_rec_uni[natureza]"),"repasse.cef.terreno",
INDIRECT("tb_rec_uni[empresa]"),E$6)</f>
        <v>0</v>
      </c>
      <c r="F94" s="127"/>
      <c r="G94" s="123">
        <f ca="1">SUMIFS(tb_rec_uni[2028-08-01],
INDIRECT("tb_rec_uni[natureza]"),"taxa.extra",
INDIRECT("tb_rec_uni[empresa]"),G$6)</f>
        <v>0</v>
      </c>
      <c r="H94" s="111"/>
      <c r="I94" s="111">
        <f ca="1">SUMIFS(
  m.vb[valor],
  m.vb[nucleo],$B$1,
  m.vb[variavel],I$7,
  m.vb[mes],$A94
)</f>
        <v>0</v>
      </c>
      <c r="J94" s="111">
        <f ca="1">SUMIFS(
  m.vb[valor],
  m.vb[nucleo],$B$1,
  m.vb[variavel],J$7,
  m.vb[mes],$A94
)</f>
        <v>0</v>
      </c>
      <c r="K94" s="111">
        <f ca="1">SUMIFS(
  m.vb[valor],
  m.vb[nucleo],$B$1,
  m.vb[variavel],K$7,
  m.vb[mes],$A94
)</f>
        <v>0</v>
      </c>
      <c r="L94" s="111">
        <f ca="1">SUMIFS(
  m.vb[valor],
  m.vb[nucleo],$B$1,
  m.vb[variavel],L$7,
  m.vb[mes],$A94
)</f>
        <v>0</v>
      </c>
      <c r="M94" s="111">
        <f ca="1">SUMIFS(
  m.vb[valor],
  m.vb[nucleo],$B$1,
  m.vb[variavel],M$7,
  m.vb[mes],$A94
)</f>
        <v>0</v>
      </c>
      <c r="N94" s="122">
        <f>COUNTIFS(
    tb_estq[empresa], N$6,
    tb_estq[Data da venda / reserva], "&gt;=" &amp; $A94,
    tb_estq[Data da venda / reserva], "&lt;"  &amp; EOMONTH($A94,0) + 1
)</f>
        <v>0</v>
      </c>
      <c r="O94" s="123">
        <f ca="1">SUMIFS(tb_rec_uni[2028-08-01],
INDIRECT("tb_rec_uni[natureza]"),"pro.soluto",
INDIRECT("tb_rec_uni[empresa]"),O$6)</f>
        <v>0</v>
      </c>
      <c r="P94" s="123">
        <f ca="1">SUMIFS(tb_rec_uni[2028-08-01],
INDIRECT("tb_rec_uni[natureza]"),"repasse.cef.obra",
INDIRECT("tb_rec_uni[empresa]"),P$6)</f>
        <v>0</v>
      </c>
      <c r="Q94" s="123">
        <f ca="1">SUMIFS(tb_rec_uni[2028-08-01],
INDIRECT("tb_rec_uni[natureza]"),"repasse.cef.terreno",
INDIRECT("tb_rec_uni[empresa]"),Q$6)</f>
        <v>0</v>
      </c>
      <c r="R94" s="127"/>
      <c r="S94" s="123">
        <f ca="1">SUMIFS(tb_rec_uni[2028-08-01],
INDIRECT("tb_rec_uni[natureza]"),"taxa.extra",
INDIRECT("tb_rec_uni[empresa]"),S$6)</f>
        <v>0</v>
      </c>
      <c r="T94" s="111"/>
      <c r="U94" s="111">
        <f ca="1">SUMIFS(
  m.vb[valor],
  m.vb[nucleo],$N$1,
  m.vb[variavel],U$7,
  m.vb[mes],$A94
)</f>
        <v>0</v>
      </c>
      <c r="V94" s="111">
        <f ca="1">SUMIFS(
  m.vb[valor],
  m.vb[nucleo],$N$1,
  m.vb[variavel],V$7,
  m.vb[mes],$A94
)</f>
        <v>0</v>
      </c>
      <c r="W94" s="111">
        <f ca="1">SUMIFS(
  m.vb[valor],
  m.vb[nucleo],$N$1,
  m.vb[variavel],W$7,
  m.vb[mes],$A94
)</f>
        <v>0</v>
      </c>
      <c r="X94" s="111">
        <f ca="1">SUMIFS(
  m.vb[valor],
  m.vb[nucleo],$N$1,
  m.vb[variavel],X$7,
  m.vb[mes],$A94
)</f>
        <v>0</v>
      </c>
      <c r="Y94" s="111">
        <f ca="1">SUMIFS(
  m.vb[valor],
  m.vb[nucleo],$N$1,
  m.vb[variavel],Y$7,
  m.vb[mes],$A94
)</f>
        <v>0</v>
      </c>
      <c r="Z94" s="122">
        <f>COUNTIFS(
    tb_estq[empresa], Z$6,
    tb_estq[Data da venda / reserva], "&gt;=" &amp; $A94,
    tb_estq[Data da venda / reserva], "&lt;"  &amp; EOMONTH($A94,0) + 1
)</f>
        <v>0</v>
      </c>
      <c r="AA94" s="123">
        <f ca="1">SUMIFS(tb_rec_uni[2028-08-01],
INDIRECT("tb_rec_uni[natureza]"),"pro.soluto",
INDIRECT("tb_rec_uni[empresa]"),AA$6)</f>
        <v>0</v>
      </c>
      <c r="AB94" s="127">
        <f ca="1">SUMIFS(tb_rec_uni[2028-08-01],
INDIRECT("tb_rec_uni[natureza]"),"parcela.fin.total.ik",
INDIRECT("tb_rec_uni[empresa]"),AB$6)</f>
        <v>0</v>
      </c>
      <c r="AC94" s="123">
        <f ca="1">SUMIFS(tb_rec_uni[2028-08-01],
INDIRECT("tb_rec_uni[natureza]"),"taxa.extra",
INDIRECT("tb_rec_uni[empresa]"),AC$6)</f>
        <v>0</v>
      </c>
      <c r="AD94" s="111"/>
      <c r="AE94" s="111">
        <f ca="1">SUMIFS(
  m.vb[valor],
  m.vb[nucleo],$Z$1,
  m.vb[variavel],AE$7,
  m.vb[mes],$A94
)</f>
        <v>0</v>
      </c>
      <c r="AF94" s="111">
        <f ca="1">SUMIFS(
  m.vb[valor],
  m.vb[nucleo],$Z$1,
  m.vb[variavel],AF$7,
  m.vb[mes],$A94
)</f>
        <v>0</v>
      </c>
      <c r="AG94" s="111">
        <f ca="1">SUMIFS(
  m.vb[valor],
  m.vb[nucleo],$Z$1,
  m.vb[variavel],AG$7,
  m.vb[mes],$A94
)</f>
        <v>0</v>
      </c>
      <c r="AH94" s="111">
        <f ca="1">SUMIFS(
  m.vb[valor],
  m.vb[nucleo],$Z$1,
  m.vb[variavel],AH$7,
  m.vb[mes],$A94
)</f>
        <v>0</v>
      </c>
      <c r="AI94" s="111">
        <f ca="1">SUMIFS(
  m.vb[valor],
  m.vb[nucleo],$Z$1,
  m.vb[variavel],AI$7,
  m.vb[mes],$A94
)</f>
        <v>0</v>
      </c>
      <c r="AJ94" s="122">
        <f>COUNTIFS(
    tb_estq[empresa], AJ$6,
    tb_estq[Data da venda / reserva], "&gt;=" &amp; $A94,
    tb_estq[Data da venda / reserva], "&lt;"  &amp; EOMONTH($A94,0) + 1
)</f>
        <v>0</v>
      </c>
      <c r="AK94" s="123">
        <f ca="1">SUMIFS(tb_rec_uni[2028-08-01],
INDIRECT("tb_rec_uni[natureza]"),"pro.soluto",
INDIRECT("tb_rec_uni[empresa]"),AK$6)</f>
        <v>0</v>
      </c>
      <c r="AL94" s="123">
        <f ca="1">SUMIFS(tb_rec_uni[2028-08-01],
INDIRECT("tb_rec_uni[natureza]"),"repasse.cef.obra",
INDIRECT("tb_rec_uni[empresa]"),AL$6)</f>
        <v>0</v>
      </c>
      <c r="AM94" s="126">
        <f ca="1">SUMIFS(tb_rec_uni[2028-08-01],
INDIRECT("tb_rec_uni[natureza]"),"repasse.cef.terreno",
INDIRECT("tb_rec_uni[empresa]"),AM$6)</f>
        <v>0</v>
      </c>
      <c r="AN94" s="127"/>
      <c r="AO94" s="123">
        <f ca="1">SUMIFS(tb_rec_uni[2028-08-01],
INDIRECT("tb_rec_uni[natureza]"),"taxa.extra",
INDIRECT("tb_rec_uni[empresa]"),AO$6)</f>
        <v>0</v>
      </c>
      <c r="AP94" s="111"/>
      <c r="AQ94" s="111">
        <f ca="1">SUMIFS(
  m.vb[valor],
  m.vb[nucleo],$AJ$1,
  m.vb[variavel],AQ$7,
  m.vb[mes],$A94
)</f>
        <v>0</v>
      </c>
      <c r="AR94" s="111">
        <f ca="1">SUMIFS(
  m.vb[valor],
  m.vb[nucleo],$AJ$1,
  m.vb[variavel],AR$7,
  m.vb[mes],$A94
)</f>
        <v>0</v>
      </c>
      <c r="AS94" s="111">
        <f ca="1">SUMIFS(
  m.vb[valor],
  m.vb[nucleo],$AJ$1,
  m.vb[variavel],AS$7,
  m.vb[mes],$A94
)</f>
        <v>0</v>
      </c>
      <c r="AT94" s="111">
        <f ca="1">SUMIFS(
  m.vb[valor],
  m.vb[nucleo],$AJ$1,
  m.vb[variavel],AT$7,
  m.vb[mes],$A94
)</f>
        <v>0</v>
      </c>
      <c r="AU94" s="111">
        <f ca="1">SUMIFS(
  m.vb[valor],
  m.vb[nucleo],$AJ$1,
  m.vb[variavel],AU$7,
  m.vb[mes],$A94
)</f>
        <v>0</v>
      </c>
      <c r="AV94" s="122">
        <f>COUNTIFS(
    tb_estq[empresa], AV$6,
    tb_estq[Data da venda / reserva], "&gt;=" &amp; $A94,
    tb_estq[Data da venda / reserva], "&lt;"  &amp; EOMONTH($A94,0) + 1
)</f>
        <v>0</v>
      </c>
      <c r="AW94" s="123">
        <f ca="1">SUMIFS(tb_rec_uni[2028-08-01],
INDIRECT("tb_rec_uni[natureza]"),"pro.soluto",
INDIRECT("tb_rec_uni[empresa]"),AW$6)</f>
        <v>0</v>
      </c>
      <c r="AX94" s="123">
        <f ca="1">SUMIFS(tb_rec_uni[2028-08-01],
INDIRECT("tb_rec_uni[natureza]"),"repasse.cef.obra",
INDIRECT("tb_rec_uni[empresa]"),AX$6)</f>
        <v>0</v>
      </c>
      <c r="AY94" s="126">
        <f ca="1">SUMIFS(tb_rec_uni[2028-08-01],
INDIRECT("tb_rec_uni[natureza]"),"repasse.cef.terreno",
INDIRECT("tb_rec_uni[empresa]"),AY$6)</f>
        <v>0</v>
      </c>
      <c r="AZ94" s="127"/>
      <c r="BA94" s="123">
        <f ca="1">SUMIFS(tb_rec_uni[2028-08-01],
INDIRECT("tb_rec_uni[natureza]"),"taxa.extra",
INDIRECT("tb_rec_uni[empresa]"),BA$6)</f>
        <v>0</v>
      </c>
      <c r="BB94" s="111"/>
      <c r="BC94" s="111">
        <f ca="1">SUMIFS(
  m.vb[valor],
  m.vb[nucleo],$AV$1,
  m.vb[variavel],BC$7,
  m.vb[mes],$A94
)</f>
        <v>0</v>
      </c>
      <c r="BD94" s="111">
        <f ca="1">SUMIFS(
  m.vb[valor],
  m.vb[nucleo],$AV$1,
  m.vb[variavel],BD$7,
  m.vb[mes],$A94
)</f>
        <v>0</v>
      </c>
      <c r="BE94" s="111">
        <f ca="1">SUMIFS(
  m.vb[valor],
  m.vb[nucleo],$AV$1,
  m.vb[variavel],BE$7,
  m.vb[mes],$A94
)</f>
        <v>0</v>
      </c>
      <c r="BF94" s="111">
        <f ca="1">SUMIFS(
  m.vb[valor],
  m.vb[nucleo],$AV$1,
  m.vb[variavel],BF$7,
  m.vb[mes],$A94
)</f>
        <v>0</v>
      </c>
      <c r="BG94" s="111">
        <f ca="1">SUMIFS(
  m.vb[valor],
  m.vb[nucleo],$AV$1,
  m.vb[variavel],BG$7,
  m.vb[mes],$A94
)</f>
        <v>0</v>
      </c>
      <c r="BH94" s="122">
        <f>COUNTIFS(
    tb_estq[empresa], BH$6,
    tb_estq[Data da venda / reserva], "&gt;=" &amp; $A94,
    tb_estq[Data da venda / reserva], "&lt;"  &amp; EOMONTH($A94,0) + 1
)</f>
        <v>0</v>
      </c>
      <c r="BI94" s="123">
        <f ca="1">SUMIFS(tb_rec_uni[2028-08-01],
INDIRECT("tb_rec_uni[natureza]"),"pro.soluto",
INDIRECT("tb_rec_uni[empresa]"),BI$6)</f>
        <v>0</v>
      </c>
      <c r="BJ94" s="127"/>
      <c r="BK94" s="123">
        <f ca="1">SUMIFS(tb_rec_uni[2028-08-01],
INDIRECT("tb_rec_uni[natureza]"),"taxa.extra",
INDIRECT("tb_rec_uni[empresa]"),BK$6)</f>
        <v>0</v>
      </c>
      <c r="BL94" s="111"/>
      <c r="BM94" s="111">
        <f ca="1">SUMIFS(
  m.vb[valor],
  m.vb[nucleo],$BH$1,
  m.vb[variavel],BM$7,
  m.vb[mes],$A94
)</f>
        <v>0</v>
      </c>
      <c r="BN94" s="111">
        <f ca="1">SUMIFS(
  m.vb[valor],
  m.vb[nucleo],$BH$1,
  m.vb[variavel],BN$7,
  m.vb[mes],$A94
)</f>
        <v>0</v>
      </c>
      <c r="BO94" s="111">
        <f ca="1">SUMIFS(
  m.vb[valor],
  m.vb[nucleo],$BH$1,
  m.vb[variavel],BO$7,
  m.vb[mes],$A94
)</f>
        <v>0</v>
      </c>
      <c r="BP94" s="111">
        <f ca="1">SUMIFS(
  m.vb[valor],
  m.vb[nucleo],$BH$1,
  m.vb[variavel],BP$7,
  m.vb[mes],$A94
)</f>
        <v>0</v>
      </c>
      <c r="BQ94" s="111">
        <f ca="1">SUMIFS(
  m.vb[valor],
  m.vb[nucleo],$BH$1,
  m.vb[variavel],BQ$7,
  m.vb[mes],$A94
)</f>
        <v>0</v>
      </c>
      <c r="BR94" s="122">
        <f>COUNTIFS(
    tb_estq[empresa], BR$6,
    tb_estq[Data da venda / reserva], "&gt;=" &amp; $A94,
    tb_estq[Data da venda / reserva], "&lt;"  &amp; EOMONTH($A94,0) + 1
)</f>
        <v>0</v>
      </c>
      <c r="BS94" s="123">
        <f ca="1">SUMIFS(tb_rec_uni[2028-08-01],
INDIRECT("tb_rec_uni[natureza]"),"pro.soluto",
INDIRECT("tb_rec_uni[empresa]"),BS$6)</f>
        <v>0</v>
      </c>
      <c r="BT94" s="127">
        <f ca="1">SUMIFS(tb_rec_uni[2028-08-01],
INDIRECT("tb_rec_uni[natureza]"),"parcela.fin.total.ik",
INDIRECT("tb_rec_uni[empresa]"),BT$6)</f>
        <v>0</v>
      </c>
      <c r="BU94" s="123">
        <f ca="1">SUMIFS(tb_rec_uni[2028-08-01],
INDIRECT("tb_rec_uni[natureza]"),"taxa.extra",
INDIRECT("tb_rec_uni[empresa]"),BU$6)</f>
        <v>0</v>
      </c>
      <c r="BV94" s="111"/>
      <c r="BW94" s="111">
        <f ca="1">SUMIFS(
  m.vb[valor],
  m.vb[nucleo],$BR$1,
  m.vb[variavel],BW$7,
  m.vb[mes],$A94
)</f>
        <v>0</v>
      </c>
      <c r="BX94" s="111">
        <f ca="1">SUMIFS(
  m.vb[valor],
  m.vb[nucleo],$BR$1,
  m.vb[variavel],BX$7,
  m.vb[mes],$A94
)</f>
        <v>0</v>
      </c>
      <c r="BY94" s="111">
        <f ca="1">SUMIFS(
  m.vb[valor],
  m.vb[nucleo],$BR$1,
  m.vb[variavel],BY$7,
  m.vb[mes],$A94
)</f>
        <v>0</v>
      </c>
      <c r="BZ94" s="111">
        <f ca="1">SUMIFS(
  m.vb[valor],
  m.vb[nucleo],$BR$1,
  m.vb[variavel],BZ$7,
  m.vb[mes],$A94
)</f>
        <v>0</v>
      </c>
      <c r="CA94" s="111">
        <f ca="1">SUMIFS(
  m.vb[valor],
  m.vb[nucleo],$BR$1,
  m.vb[variavel],CA$7,
  m.vb[mes],$A94
)</f>
        <v>0</v>
      </c>
      <c r="CB94" s="122">
        <f>COUNTIFS(
    tb_estq[empresa], CB$6,
    tb_estq[Data da venda / reserva], "&gt;=" &amp; $A94,
    tb_estq[Data da venda / reserva], "&lt;"  &amp; EOMONTH($A94,0) + 1
)</f>
        <v>0</v>
      </c>
      <c r="CC94" s="123">
        <f ca="1">SUMIFS(tb_rec_uni[2028-08-01],
INDIRECT("tb_rec_uni[natureza]"),"pro.soluto",
INDIRECT("tb_rec_uni[empresa]"),CC$6)</f>
        <v>0</v>
      </c>
      <c r="CD94" s="123">
        <f ca="1">SUMIFS(tb_rec_uni[2028-08-01],
INDIRECT("tb_rec_uni[natureza]"),"repasse.cef.obra",
INDIRECT("tb_rec_uni[empresa]"),CD$6)</f>
        <v>0</v>
      </c>
      <c r="CE94" s="126">
        <f ca="1">SUMIFS(tb_rec_uni[2028-08-01],
INDIRECT("tb_rec_uni[natureza]"),"repasse.cef.terreno",
INDIRECT("tb_rec_uni[empresa]"),CE$6)</f>
        <v>0</v>
      </c>
      <c r="CF94" s="127"/>
      <c r="CG94" s="123">
        <f ca="1">SUMIFS(tb_rec_uni[2028-08-01],
INDIRECT("tb_rec_uni[natureza]"),"taxa.extra",
INDIRECT("tb_rec_uni[empresa]"),CG$6)</f>
        <v>0</v>
      </c>
      <c r="CH94" s="111"/>
      <c r="CI94" s="111">
        <f ca="1">SUMIFS(
  m.vb[valor],
  m.vb[nucleo],$CB$1,
  m.vb[variavel],CI$7,
  m.vb[mes],$A94
)</f>
        <v>0</v>
      </c>
      <c r="CJ94" s="111">
        <f ca="1">SUMIFS(
  m.vb[valor],
  m.vb[nucleo],$CB$1,
  m.vb[variavel],CJ$7,
  m.vb[mes],$A94
)</f>
        <v>0</v>
      </c>
      <c r="CK94" s="111">
        <f ca="1">SUMIFS(
  m.vb[valor],
  m.vb[nucleo],$CB$1,
  m.vb[variavel],CK$7,
  m.vb[mes],$A94
)</f>
        <v>0</v>
      </c>
      <c r="CL94" s="111">
        <f ca="1">SUMIFS(
  m.vb[valor],
  m.vb[nucleo],$CB$1,
  m.vb[variavel],CL$7,
  m.vb[mes],$A94
)</f>
        <v>0</v>
      </c>
      <c r="CM94" s="111">
        <f ca="1">SUMIFS(
  m.vb[valor],
  m.vb[nucleo],$CB$1,
  m.vb[variavel],CM$7,
  m.vb[mes],$A94
)</f>
        <v>0</v>
      </c>
      <c r="CN94" s="122">
        <f>COUNTIFS(
    tb_estq[empresa], CN$6,
    tb_estq[Data da venda / reserva], "&gt;=" &amp; $A94,
    tb_estq[Data da venda / reserva], "&lt;"  &amp; EOMONTH($A94,0) + 1
)</f>
        <v>0</v>
      </c>
      <c r="CO94" s="123">
        <f ca="1">SUMIFS(tb_rec_uni[2028-08-01],
INDIRECT("tb_rec_uni[natureza]"),"pro.soluto",
INDIRECT("tb_rec_uni[empresa]"),CO$6)</f>
        <v>0</v>
      </c>
      <c r="CP94" s="123">
        <f ca="1">SUMIFS(tb_rec_uni[2028-08-01],
INDIRECT("tb_rec_uni[natureza]"),"repasse.cef.obra",
INDIRECT("tb_rec_uni[empresa]"),CP$6)</f>
        <v>0</v>
      </c>
      <c r="CQ94" s="126">
        <f ca="1">SUMIFS(tb_rec_uni[2028-08-01],
INDIRECT("tb_rec_uni[natureza]"),"repasse.cef.terreno",
INDIRECT("tb_rec_uni[empresa]"),CQ$6)</f>
        <v>0</v>
      </c>
      <c r="CR94" s="127"/>
      <c r="CS94" s="123">
        <f ca="1">SUMIFS(tb_rec_uni[2028-08-01],
INDIRECT("tb_rec_uni[natureza]"),"taxa.extra",
INDIRECT("tb_rec_uni[empresa]"),CS$6)</f>
        <v>0</v>
      </c>
      <c r="CT94" s="111"/>
      <c r="CU94" s="111">
        <f ca="1">SUMIFS(
  m.vb[valor],
  m.vb[nucleo],$CN$1,
  m.vb[variavel],CU$7,
  m.vb[mes],$A94
)</f>
        <v>0</v>
      </c>
      <c r="CV94" s="111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11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11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4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21">
        <v>46997</v>
      </c>
      <c r="B95" s="122">
        <f>COUNTIFS(
    tb_estq[empresa], B$6,
    tb_estq[Data da venda / reserva], "&gt;=" &amp; $A95,
    tb_estq[Data da venda / reserva], "&lt;"  &amp; EOMONTH($A95,0) + 1
)</f>
        <v>0</v>
      </c>
      <c r="C95" s="123">
        <f ca="1">SUMIFS(tb_rec_uni[2028-09-01],
INDIRECT("tb_rec_uni[natureza]"),"pro.soluto",
INDIRECT("tb_rec_uni[empresa]"),C$6)</f>
        <v>0</v>
      </c>
      <c r="D95" s="123">
        <f ca="1">SUMIFS(tb_rec_uni[2028-09-01],
INDIRECT("tb_rec_uni[natureza]"),"repasse.cef.obra",
INDIRECT("tb_rec_uni[empresa]"),D$6)</f>
        <v>0</v>
      </c>
      <c r="E95" s="123">
        <f ca="1">SUMIFS(tb_rec_uni[2028-09-01],
INDIRECT("tb_rec_uni[natureza]"),"repasse.cef.terreno",
INDIRECT("tb_rec_uni[empresa]"),E$6)</f>
        <v>0</v>
      </c>
      <c r="F95" s="127"/>
      <c r="G95" s="123">
        <f ca="1">SUMIFS(tb_rec_uni[2028-09-01],
INDIRECT("tb_rec_uni[natureza]"),"taxa.extra",
INDIRECT("tb_rec_uni[empresa]"),G$6)</f>
        <v>0</v>
      </c>
      <c r="H95" s="111"/>
      <c r="I95" s="111">
        <f ca="1">SUMIFS(
  m.vb[valor],
  m.vb[nucleo],$B$1,
  m.vb[variavel],I$7,
  m.vb[mes],$A95
)</f>
        <v>0</v>
      </c>
      <c r="J95" s="111">
        <f ca="1">SUMIFS(
  m.vb[valor],
  m.vb[nucleo],$B$1,
  m.vb[variavel],J$7,
  m.vb[mes],$A95
)</f>
        <v>0</v>
      </c>
      <c r="K95" s="111">
        <f ca="1">SUMIFS(
  m.vb[valor],
  m.vb[nucleo],$B$1,
  m.vb[variavel],K$7,
  m.vb[mes],$A95
)</f>
        <v>0</v>
      </c>
      <c r="L95" s="111">
        <f ca="1">SUMIFS(
  m.vb[valor],
  m.vb[nucleo],$B$1,
  m.vb[variavel],L$7,
  m.vb[mes],$A95
)</f>
        <v>0</v>
      </c>
      <c r="M95" s="111">
        <f ca="1">SUMIFS(
  m.vb[valor],
  m.vb[nucleo],$B$1,
  m.vb[variavel],M$7,
  m.vb[mes],$A95
)</f>
        <v>0</v>
      </c>
      <c r="N95" s="122">
        <f>COUNTIFS(
    tb_estq[empresa], N$6,
    tb_estq[Data da venda / reserva], "&gt;=" &amp; $A95,
    tb_estq[Data da venda / reserva], "&lt;"  &amp; EOMONTH($A95,0) + 1
)</f>
        <v>0</v>
      </c>
      <c r="O95" s="123">
        <f ca="1">SUMIFS(tb_rec_uni[2028-09-01],
INDIRECT("tb_rec_uni[natureza]"),"pro.soluto",
INDIRECT("tb_rec_uni[empresa]"),O$6)</f>
        <v>0</v>
      </c>
      <c r="P95" s="123">
        <f ca="1">SUMIFS(tb_rec_uni[2028-09-01],
INDIRECT("tb_rec_uni[natureza]"),"repasse.cef.obra",
INDIRECT("tb_rec_uni[empresa]"),P$6)</f>
        <v>0</v>
      </c>
      <c r="Q95" s="123">
        <f ca="1">SUMIFS(tb_rec_uni[2028-09-01],
INDIRECT("tb_rec_uni[natureza]"),"repasse.cef.terreno",
INDIRECT("tb_rec_uni[empresa]"),Q$6)</f>
        <v>0</v>
      </c>
      <c r="R95" s="127"/>
      <c r="S95" s="123">
        <f ca="1">SUMIFS(tb_rec_uni[2028-09-01],
INDIRECT("tb_rec_uni[natureza]"),"taxa.extra",
INDIRECT("tb_rec_uni[empresa]"),S$6)</f>
        <v>0</v>
      </c>
      <c r="T95" s="111"/>
      <c r="U95" s="111">
        <f ca="1">SUMIFS(
  m.vb[valor],
  m.vb[nucleo],$N$1,
  m.vb[variavel],U$7,
  m.vb[mes],$A95
)</f>
        <v>0</v>
      </c>
      <c r="V95" s="111">
        <f ca="1">SUMIFS(
  m.vb[valor],
  m.vb[nucleo],$N$1,
  m.vb[variavel],V$7,
  m.vb[mes],$A95
)</f>
        <v>0</v>
      </c>
      <c r="W95" s="111">
        <f ca="1">SUMIFS(
  m.vb[valor],
  m.vb[nucleo],$N$1,
  m.vb[variavel],W$7,
  m.vb[mes],$A95
)</f>
        <v>0</v>
      </c>
      <c r="X95" s="111">
        <f ca="1">SUMIFS(
  m.vb[valor],
  m.vb[nucleo],$N$1,
  m.vb[variavel],X$7,
  m.vb[mes],$A95
)</f>
        <v>0</v>
      </c>
      <c r="Y95" s="111">
        <f ca="1">SUMIFS(
  m.vb[valor],
  m.vb[nucleo],$N$1,
  m.vb[variavel],Y$7,
  m.vb[mes],$A95
)</f>
        <v>0</v>
      </c>
      <c r="Z95" s="122">
        <f>COUNTIFS(
    tb_estq[empresa], Z$6,
    tb_estq[Data da venda / reserva], "&gt;=" &amp; $A95,
    tb_estq[Data da venda / reserva], "&lt;"  &amp; EOMONTH($A95,0) + 1
)</f>
        <v>0</v>
      </c>
      <c r="AA95" s="123">
        <f ca="1">SUMIFS(tb_rec_uni[2028-09-01],
INDIRECT("tb_rec_uni[natureza]"),"pro.soluto",
INDIRECT("tb_rec_uni[empresa]"),AA$6)</f>
        <v>0</v>
      </c>
      <c r="AB95" s="127">
        <f ca="1">SUMIFS(tb_rec_uni[2028-09-01],
INDIRECT("tb_rec_uni[natureza]"),"parcela.fin.total.ik",
INDIRECT("tb_rec_uni[empresa]"),AB$6)</f>
        <v>0</v>
      </c>
      <c r="AC95" s="123">
        <f ca="1">SUMIFS(tb_rec_uni[2028-09-01],
INDIRECT("tb_rec_uni[natureza]"),"taxa.extra",
INDIRECT("tb_rec_uni[empresa]"),AC$6)</f>
        <v>0</v>
      </c>
      <c r="AD95" s="111"/>
      <c r="AE95" s="111">
        <f ca="1">SUMIFS(
  m.vb[valor],
  m.vb[nucleo],$Z$1,
  m.vb[variavel],AE$7,
  m.vb[mes],$A95
)</f>
        <v>0</v>
      </c>
      <c r="AF95" s="111">
        <f ca="1">SUMIFS(
  m.vb[valor],
  m.vb[nucleo],$Z$1,
  m.vb[variavel],AF$7,
  m.vb[mes],$A95
)</f>
        <v>0</v>
      </c>
      <c r="AG95" s="111">
        <f ca="1">SUMIFS(
  m.vb[valor],
  m.vb[nucleo],$Z$1,
  m.vb[variavel],AG$7,
  m.vb[mes],$A95
)</f>
        <v>0</v>
      </c>
      <c r="AH95" s="111">
        <f ca="1">SUMIFS(
  m.vb[valor],
  m.vb[nucleo],$Z$1,
  m.vb[variavel],AH$7,
  m.vb[mes],$A95
)</f>
        <v>0</v>
      </c>
      <c r="AI95" s="111">
        <f ca="1">SUMIFS(
  m.vb[valor],
  m.vb[nucleo],$Z$1,
  m.vb[variavel],AI$7,
  m.vb[mes],$A95
)</f>
        <v>0</v>
      </c>
      <c r="AJ95" s="122">
        <f>COUNTIFS(
    tb_estq[empresa], AJ$6,
    tb_estq[Data da venda / reserva], "&gt;=" &amp; $A95,
    tb_estq[Data da venda / reserva], "&lt;"  &amp; EOMONTH($A95,0) + 1
)</f>
        <v>0</v>
      </c>
      <c r="AK95" s="123">
        <f ca="1">SUMIFS(tb_rec_uni[2028-09-01],
INDIRECT("tb_rec_uni[natureza]"),"pro.soluto",
INDIRECT("tb_rec_uni[empresa]"),AK$6)</f>
        <v>0</v>
      </c>
      <c r="AL95" s="123">
        <f ca="1">SUMIFS(tb_rec_uni[2028-09-01],
INDIRECT("tb_rec_uni[natureza]"),"repasse.cef.obra",
INDIRECT("tb_rec_uni[empresa]"),AL$6)</f>
        <v>0</v>
      </c>
      <c r="AM95" s="126">
        <f ca="1">SUMIFS(tb_rec_uni[2028-09-01],
INDIRECT("tb_rec_uni[natureza]"),"repasse.cef.terreno",
INDIRECT("tb_rec_uni[empresa]"),AM$6)</f>
        <v>0</v>
      </c>
      <c r="AN95" s="127"/>
      <c r="AO95" s="123">
        <f ca="1">SUMIFS(tb_rec_uni[2028-09-01],
INDIRECT("tb_rec_uni[natureza]"),"taxa.extra",
INDIRECT("tb_rec_uni[empresa]"),AO$6)</f>
        <v>0</v>
      </c>
      <c r="AP95" s="111"/>
      <c r="AQ95" s="111">
        <f ca="1">SUMIFS(
  m.vb[valor],
  m.vb[nucleo],$AJ$1,
  m.vb[variavel],AQ$7,
  m.vb[mes],$A95
)</f>
        <v>0</v>
      </c>
      <c r="AR95" s="111">
        <f ca="1">SUMIFS(
  m.vb[valor],
  m.vb[nucleo],$AJ$1,
  m.vb[variavel],AR$7,
  m.vb[mes],$A95
)</f>
        <v>0</v>
      </c>
      <c r="AS95" s="111">
        <f ca="1">SUMIFS(
  m.vb[valor],
  m.vb[nucleo],$AJ$1,
  m.vb[variavel],AS$7,
  m.vb[mes],$A95
)</f>
        <v>0</v>
      </c>
      <c r="AT95" s="111">
        <f ca="1">SUMIFS(
  m.vb[valor],
  m.vb[nucleo],$AJ$1,
  m.vb[variavel],AT$7,
  m.vb[mes],$A95
)</f>
        <v>0</v>
      </c>
      <c r="AU95" s="111">
        <f ca="1">SUMIFS(
  m.vb[valor],
  m.vb[nucleo],$AJ$1,
  m.vb[variavel],AU$7,
  m.vb[mes],$A95
)</f>
        <v>0</v>
      </c>
      <c r="AV95" s="122">
        <f>COUNTIFS(
    tb_estq[empresa], AV$6,
    tb_estq[Data da venda / reserva], "&gt;=" &amp; $A95,
    tb_estq[Data da venda / reserva], "&lt;"  &amp; EOMONTH($A95,0) + 1
)</f>
        <v>0</v>
      </c>
      <c r="AW95" s="123">
        <f ca="1">SUMIFS(tb_rec_uni[2028-09-01],
INDIRECT("tb_rec_uni[natureza]"),"pro.soluto",
INDIRECT("tb_rec_uni[empresa]"),AW$6)</f>
        <v>0</v>
      </c>
      <c r="AX95" s="123">
        <f ca="1">SUMIFS(tb_rec_uni[2028-09-01],
INDIRECT("tb_rec_uni[natureza]"),"repasse.cef.obra",
INDIRECT("tb_rec_uni[empresa]"),AX$6)</f>
        <v>0</v>
      </c>
      <c r="AY95" s="126">
        <f ca="1">SUMIFS(tb_rec_uni[2028-09-01],
INDIRECT("tb_rec_uni[natureza]"),"repasse.cef.terreno",
INDIRECT("tb_rec_uni[empresa]"),AY$6)</f>
        <v>0</v>
      </c>
      <c r="AZ95" s="127"/>
      <c r="BA95" s="123">
        <f ca="1">SUMIFS(tb_rec_uni[2028-09-01],
INDIRECT("tb_rec_uni[natureza]"),"taxa.extra",
INDIRECT("tb_rec_uni[empresa]"),BA$6)</f>
        <v>0</v>
      </c>
      <c r="BB95" s="111"/>
      <c r="BC95" s="111">
        <f ca="1">SUMIFS(
  m.vb[valor],
  m.vb[nucleo],$AV$1,
  m.vb[variavel],BC$7,
  m.vb[mes],$A95
)</f>
        <v>0</v>
      </c>
      <c r="BD95" s="111">
        <f ca="1">SUMIFS(
  m.vb[valor],
  m.vb[nucleo],$AV$1,
  m.vb[variavel],BD$7,
  m.vb[mes],$A95
)</f>
        <v>0</v>
      </c>
      <c r="BE95" s="111">
        <f ca="1">SUMIFS(
  m.vb[valor],
  m.vb[nucleo],$AV$1,
  m.vb[variavel],BE$7,
  m.vb[mes],$A95
)</f>
        <v>0</v>
      </c>
      <c r="BF95" s="111">
        <f ca="1">SUMIFS(
  m.vb[valor],
  m.vb[nucleo],$AV$1,
  m.vb[variavel],BF$7,
  m.vb[mes],$A95
)</f>
        <v>0</v>
      </c>
      <c r="BG95" s="111">
        <f ca="1">SUMIFS(
  m.vb[valor],
  m.vb[nucleo],$AV$1,
  m.vb[variavel],BG$7,
  m.vb[mes],$A95
)</f>
        <v>0</v>
      </c>
      <c r="BH95" s="122">
        <f>COUNTIFS(
    tb_estq[empresa], BH$6,
    tb_estq[Data da venda / reserva], "&gt;=" &amp; $A95,
    tb_estq[Data da venda / reserva], "&lt;"  &amp; EOMONTH($A95,0) + 1
)</f>
        <v>0</v>
      </c>
      <c r="BI95" s="123">
        <f ca="1">SUMIFS(tb_rec_uni[2028-09-01],
INDIRECT("tb_rec_uni[natureza]"),"pro.soluto",
INDIRECT("tb_rec_uni[empresa]"),BI$6)</f>
        <v>0</v>
      </c>
      <c r="BJ95" s="127"/>
      <c r="BK95" s="123">
        <f ca="1">SUMIFS(tb_rec_uni[2028-09-01],
INDIRECT("tb_rec_uni[natureza]"),"taxa.extra",
INDIRECT("tb_rec_uni[empresa]"),BK$6)</f>
        <v>0</v>
      </c>
      <c r="BL95" s="111"/>
      <c r="BM95" s="111">
        <f ca="1">SUMIFS(
  m.vb[valor],
  m.vb[nucleo],$BH$1,
  m.vb[variavel],BM$7,
  m.vb[mes],$A95
)</f>
        <v>0</v>
      </c>
      <c r="BN95" s="111">
        <f ca="1">SUMIFS(
  m.vb[valor],
  m.vb[nucleo],$BH$1,
  m.vb[variavel],BN$7,
  m.vb[mes],$A95
)</f>
        <v>0</v>
      </c>
      <c r="BO95" s="111">
        <f ca="1">SUMIFS(
  m.vb[valor],
  m.vb[nucleo],$BH$1,
  m.vb[variavel],BO$7,
  m.vb[mes],$A95
)</f>
        <v>0</v>
      </c>
      <c r="BP95" s="111">
        <f ca="1">SUMIFS(
  m.vb[valor],
  m.vb[nucleo],$BH$1,
  m.vb[variavel],BP$7,
  m.vb[mes],$A95
)</f>
        <v>0</v>
      </c>
      <c r="BQ95" s="111">
        <f ca="1">SUMIFS(
  m.vb[valor],
  m.vb[nucleo],$BH$1,
  m.vb[variavel],BQ$7,
  m.vb[mes],$A95
)</f>
        <v>0</v>
      </c>
      <c r="BR95" s="122">
        <f>COUNTIFS(
    tb_estq[empresa], BR$6,
    tb_estq[Data da venda / reserva], "&gt;=" &amp; $A95,
    tb_estq[Data da venda / reserva], "&lt;"  &amp; EOMONTH($A95,0) + 1
)</f>
        <v>0</v>
      </c>
      <c r="BS95" s="123">
        <f ca="1">SUMIFS(tb_rec_uni[2028-09-01],
INDIRECT("tb_rec_uni[natureza]"),"pro.soluto",
INDIRECT("tb_rec_uni[empresa]"),BS$6)</f>
        <v>0</v>
      </c>
      <c r="BT95" s="127">
        <f ca="1">SUMIFS(tb_rec_uni[2028-09-01],
INDIRECT("tb_rec_uni[natureza]"),"parcela.fin.total.ik",
INDIRECT("tb_rec_uni[empresa]"),BT$6)</f>
        <v>0</v>
      </c>
      <c r="BU95" s="123">
        <f ca="1">SUMIFS(tb_rec_uni[2028-09-01],
INDIRECT("tb_rec_uni[natureza]"),"taxa.extra",
INDIRECT("tb_rec_uni[empresa]"),BU$6)</f>
        <v>0</v>
      </c>
      <c r="BV95" s="111"/>
      <c r="BW95" s="111">
        <f ca="1">SUMIFS(
  m.vb[valor],
  m.vb[nucleo],$BR$1,
  m.vb[variavel],BW$7,
  m.vb[mes],$A95
)</f>
        <v>0</v>
      </c>
      <c r="BX95" s="111">
        <f ca="1">SUMIFS(
  m.vb[valor],
  m.vb[nucleo],$BR$1,
  m.vb[variavel],BX$7,
  m.vb[mes],$A95
)</f>
        <v>0</v>
      </c>
      <c r="BY95" s="111">
        <f ca="1">SUMIFS(
  m.vb[valor],
  m.vb[nucleo],$BR$1,
  m.vb[variavel],BY$7,
  m.vb[mes],$A95
)</f>
        <v>0</v>
      </c>
      <c r="BZ95" s="111">
        <f ca="1">SUMIFS(
  m.vb[valor],
  m.vb[nucleo],$BR$1,
  m.vb[variavel],BZ$7,
  m.vb[mes],$A95
)</f>
        <v>0</v>
      </c>
      <c r="CA95" s="111">
        <f ca="1">SUMIFS(
  m.vb[valor],
  m.vb[nucleo],$BR$1,
  m.vb[variavel],CA$7,
  m.vb[mes],$A95
)</f>
        <v>0</v>
      </c>
      <c r="CB95" s="122">
        <f>COUNTIFS(
    tb_estq[empresa], CB$6,
    tb_estq[Data da venda / reserva], "&gt;=" &amp; $A95,
    tb_estq[Data da venda / reserva], "&lt;"  &amp; EOMONTH($A95,0) + 1
)</f>
        <v>0</v>
      </c>
      <c r="CC95" s="123">
        <f ca="1">SUMIFS(tb_rec_uni[2028-09-01],
INDIRECT("tb_rec_uni[natureza]"),"pro.soluto",
INDIRECT("tb_rec_uni[empresa]"),CC$6)</f>
        <v>0</v>
      </c>
      <c r="CD95" s="123">
        <f ca="1">SUMIFS(tb_rec_uni[2028-09-01],
INDIRECT("tb_rec_uni[natureza]"),"repasse.cef.obra",
INDIRECT("tb_rec_uni[empresa]"),CD$6)</f>
        <v>0</v>
      </c>
      <c r="CE95" s="126">
        <f ca="1">SUMIFS(tb_rec_uni[2028-09-01],
INDIRECT("tb_rec_uni[natureza]"),"repasse.cef.terreno",
INDIRECT("tb_rec_uni[empresa]"),CE$6)</f>
        <v>0</v>
      </c>
      <c r="CF95" s="127"/>
      <c r="CG95" s="123">
        <f ca="1">SUMIFS(tb_rec_uni[2028-09-01],
INDIRECT("tb_rec_uni[natureza]"),"taxa.extra",
INDIRECT("tb_rec_uni[empresa]"),CG$6)</f>
        <v>0</v>
      </c>
      <c r="CH95" s="111"/>
      <c r="CI95" s="111">
        <f ca="1">SUMIFS(
  m.vb[valor],
  m.vb[nucleo],$CB$1,
  m.vb[variavel],CI$7,
  m.vb[mes],$A95
)</f>
        <v>0</v>
      </c>
      <c r="CJ95" s="111">
        <f ca="1">SUMIFS(
  m.vb[valor],
  m.vb[nucleo],$CB$1,
  m.vb[variavel],CJ$7,
  m.vb[mes],$A95
)</f>
        <v>0</v>
      </c>
      <c r="CK95" s="111">
        <f ca="1">SUMIFS(
  m.vb[valor],
  m.vb[nucleo],$CB$1,
  m.vb[variavel],CK$7,
  m.vb[mes],$A95
)</f>
        <v>0</v>
      </c>
      <c r="CL95" s="111">
        <f ca="1">SUMIFS(
  m.vb[valor],
  m.vb[nucleo],$CB$1,
  m.vb[variavel],CL$7,
  m.vb[mes],$A95
)</f>
        <v>0</v>
      </c>
      <c r="CM95" s="111">
        <f ca="1">SUMIFS(
  m.vb[valor],
  m.vb[nucleo],$CB$1,
  m.vb[variavel],CM$7,
  m.vb[mes],$A95
)</f>
        <v>0</v>
      </c>
      <c r="CN95" s="122">
        <f>COUNTIFS(
    tb_estq[empresa], CN$6,
    tb_estq[Data da venda / reserva], "&gt;=" &amp; $A95,
    tb_estq[Data da venda / reserva], "&lt;"  &amp; EOMONTH($A95,0) + 1
)</f>
        <v>0</v>
      </c>
      <c r="CO95" s="123">
        <f ca="1">SUMIFS(tb_rec_uni[2028-09-01],
INDIRECT("tb_rec_uni[natureza]"),"pro.soluto",
INDIRECT("tb_rec_uni[empresa]"),CO$6)</f>
        <v>0</v>
      </c>
      <c r="CP95" s="123">
        <f ca="1">SUMIFS(tb_rec_uni[2028-09-01],
INDIRECT("tb_rec_uni[natureza]"),"repasse.cef.obra",
INDIRECT("tb_rec_uni[empresa]"),CP$6)</f>
        <v>0</v>
      </c>
      <c r="CQ95" s="126">
        <f ca="1">SUMIFS(tb_rec_uni[2028-09-01],
INDIRECT("tb_rec_uni[natureza]"),"repasse.cef.terreno",
INDIRECT("tb_rec_uni[empresa]"),CQ$6)</f>
        <v>0</v>
      </c>
      <c r="CR95" s="127"/>
      <c r="CS95" s="123">
        <f ca="1">SUMIFS(tb_rec_uni[2028-09-01],
INDIRECT("tb_rec_uni[natureza]"),"taxa.extra",
INDIRECT("tb_rec_uni[empresa]"),CS$6)</f>
        <v>0</v>
      </c>
      <c r="CT95" s="111"/>
      <c r="CU95" s="111">
        <f ca="1">SUMIFS(
  m.vb[valor],
  m.vb[nucleo],$CN$1,
  m.vb[variavel],CU$7,
  m.vb[mes],$A95
)</f>
        <v>0</v>
      </c>
      <c r="CV95" s="111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11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11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4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21">
        <v>47027</v>
      </c>
      <c r="B96" s="122">
        <f>COUNTIFS(
    tb_estq[empresa], B$6,
    tb_estq[Data da venda / reserva], "&gt;=" &amp; $A96,
    tb_estq[Data da venda / reserva], "&lt;"  &amp; EOMONTH($A96,0) + 1
)</f>
        <v>0</v>
      </c>
      <c r="C96" s="123">
        <f ca="1">SUMIFS(tb_rec_uni[2028-10-01],
INDIRECT("tb_rec_uni[natureza]"),"pro.soluto",
INDIRECT("tb_rec_uni[empresa]"),C$6)</f>
        <v>0</v>
      </c>
      <c r="D96" s="123">
        <f ca="1">SUMIFS(tb_rec_uni[2028-10-01],
INDIRECT("tb_rec_uni[natureza]"),"repasse.cef.obra",
INDIRECT("tb_rec_uni[empresa]"),D$6)</f>
        <v>0</v>
      </c>
      <c r="E96" s="123">
        <f ca="1">SUMIFS(tb_rec_uni[2028-10-01],
INDIRECT("tb_rec_uni[natureza]"),"repasse.cef.terreno",
INDIRECT("tb_rec_uni[empresa]"),E$6)</f>
        <v>0</v>
      </c>
      <c r="F96" s="127"/>
      <c r="G96" s="123">
        <f ca="1">SUMIFS(tb_rec_uni[2028-10-01],
INDIRECT("tb_rec_uni[natureza]"),"taxa.extra",
INDIRECT("tb_rec_uni[empresa]"),G$6)</f>
        <v>0</v>
      </c>
      <c r="H96" s="111"/>
      <c r="I96" s="111">
        <f ca="1">SUMIFS(
  m.vb[valor],
  m.vb[nucleo],$B$1,
  m.vb[variavel],I$7,
  m.vb[mes],$A96
)</f>
        <v>0</v>
      </c>
      <c r="J96" s="111">
        <f ca="1">SUMIFS(
  m.vb[valor],
  m.vb[nucleo],$B$1,
  m.vb[variavel],J$7,
  m.vb[mes],$A96
)</f>
        <v>0</v>
      </c>
      <c r="K96" s="111">
        <f ca="1">SUMIFS(
  m.vb[valor],
  m.vb[nucleo],$B$1,
  m.vb[variavel],K$7,
  m.vb[mes],$A96
)</f>
        <v>0</v>
      </c>
      <c r="L96" s="111">
        <f ca="1">SUMIFS(
  m.vb[valor],
  m.vb[nucleo],$B$1,
  m.vb[variavel],L$7,
  m.vb[mes],$A96
)</f>
        <v>0</v>
      </c>
      <c r="M96" s="111">
        <f ca="1">SUMIFS(
  m.vb[valor],
  m.vb[nucleo],$B$1,
  m.vb[variavel],M$7,
  m.vb[mes],$A96
)</f>
        <v>0</v>
      </c>
      <c r="N96" s="122">
        <f>COUNTIFS(
    tb_estq[empresa], N$6,
    tb_estq[Data da venda / reserva], "&gt;=" &amp; $A96,
    tb_estq[Data da venda / reserva], "&lt;"  &amp; EOMONTH($A96,0) + 1
)</f>
        <v>0</v>
      </c>
      <c r="O96" s="123">
        <f ca="1">SUMIFS(tb_rec_uni[2028-10-01],
INDIRECT("tb_rec_uni[natureza]"),"pro.soluto",
INDIRECT("tb_rec_uni[empresa]"),O$6)</f>
        <v>0</v>
      </c>
      <c r="P96" s="123">
        <f ca="1">SUMIFS(tb_rec_uni[2028-10-01],
INDIRECT("tb_rec_uni[natureza]"),"repasse.cef.obra",
INDIRECT("tb_rec_uni[empresa]"),P$6)</f>
        <v>0</v>
      </c>
      <c r="Q96" s="123">
        <f ca="1">SUMIFS(tb_rec_uni[2028-10-01],
INDIRECT("tb_rec_uni[natureza]"),"repasse.cef.terreno",
INDIRECT("tb_rec_uni[empresa]"),Q$6)</f>
        <v>0</v>
      </c>
      <c r="R96" s="127"/>
      <c r="S96" s="123">
        <f ca="1">SUMIFS(tb_rec_uni[2028-10-01],
INDIRECT("tb_rec_uni[natureza]"),"taxa.extra",
INDIRECT("tb_rec_uni[empresa]"),S$6)</f>
        <v>0</v>
      </c>
      <c r="T96" s="111"/>
      <c r="U96" s="111">
        <f ca="1">SUMIFS(
  m.vb[valor],
  m.vb[nucleo],$N$1,
  m.vb[variavel],U$7,
  m.vb[mes],$A96
)</f>
        <v>0</v>
      </c>
      <c r="V96" s="111">
        <f ca="1">SUMIFS(
  m.vb[valor],
  m.vb[nucleo],$N$1,
  m.vb[variavel],V$7,
  m.vb[mes],$A96
)</f>
        <v>0</v>
      </c>
      <c r="W96" s="111">
        <f ca="1">SUMIFS(
  m.vb[valor],
  m.vb[nucleo],$N$1,
  m.vb[variavel],W$7,
  m.vb[mes],$A96
)</f>
        <v>0</v>
      </c>
      <c r="X96" s="111">
        <f ca="1">SUMIFS(
  m.vb[valor],
  m.vb[nucleo],$N$1,
  m.vb[variavel],X$7,
  m.vb[mes],$A96
)</f>
        <v>0</v>
      </c>
      <c r="Y96" s="111">
        <f ca="1">SUMIFS(
  m.vb[valor],
  m.vb[nucleo],$N$1,
  m.vb[variavel],Y$7,
  m.vb[mes],$A96
)</f>
        <v>0</v>
      </c>
      <c r="Z96" s="122">
        <f>COUNTIFS(
    tb_estq[empresa], Z$6,
    tb_estq[Data da venda / reserva], "&gt;=" &amp; $A96,
    tb_estq[Data da venda / reserva], "&lt;"  &amp; EOMONTH($A96,0) + 1
)</f>
        <v>0</v>
      </c>
      <c r="AA96" s="123">
        <f ca="1">SUMIFS(tb_rec_uni[2028-10-01],
INDIRECT("tb_rec_uni[natureza]"),"pro.soluto",
INDIRECT("tb_rec_uni[empresa]"),AA$6)</f>
        <v>0</v>
      </c>
      <c r="AB96" s="127">
        <f ca="1">SUMIFS(tb_rec_uni[2028-10-01],
INDIRECT("tb_rec_uni[natureza]"),"parcela.fin.total.ik",
INDIRECT("tb_rec_uni[empresa]"),AB$6)</f>
        <v>0</v>
      </c>
      <c r="AC96" s="123">
        <f ca="1">SUMIFS(tb_rec_uni[2028-10-01],
INDIRECT("tb_rec_uni[natureza]"),"taxa.extra",
INDIRECT("tb_rec_uni[empresa]"),AC$6)</f>
        <v>0</v>
      </c>
      <c r="AD96" s="111"/>
      <c r="AE96" s="111">
        <f ca="1">SUMIFS(
  m.vb[valor],
  m.vb[nucleo],$Z$1,
  m.vb[variavel],AE$7,
  m.vb[mes],$A96
)</f>
        <v>0</v>
      </c>
      <c r="AF96" s="111">
        <f ca="1">SUMIFS(
  m.vb[valor],
  m.vb[nucleo],$Z$1,
  m.vb[variavel],AF$7,
  m.vb[mes],$A96
)</f>
        <v>0</v>
      </c>
      <c r="AG96" s="111">
        <f ca="1">SUMIFS(
  m.vb[valor],
  m.vb[nucleo],$Z$1,
  m.vb[variavel],AG$7,
  m.vb[mes],$A96
)</f>
        <v>0</v>
      </c>
      <c r="AH96" s="111">
        <f ca="1">SUMIFS(
  m.vb[valor],
  m.vb[nucleo],$Z$1,
  m.vb[variavel],AH$7,
  m.vb[mes],$A96
)</f>
        <v>0</v>
      </c>
      <c r="AI96" s="111">
        <f ca="1">SUMIFS(
  m.vb[valor],
  m.vb[nucleo],$Z$1,
  m.vb[variavel],AI$7,
  m.vb[mes],$A96
)</f>
        <v>0</v>
      </c>
      <c r="AJ96" s="122">
        <f>COUNTIFS(
    tb_estq[empresa], AJ$6,
    tb_estq[Data da venda / reserva], "&gt;=" &amp; $A96,
    tb_estq[Data da venda / reserva], "&lt;"  &amp; EOMONTH($A96,0) + 1
)</f>
        <v>0</v>
      </c>
      <c r="AK96" s="123">
        <f ca="1">SUMIFS(tb_rec_uni[2028-10-01],
INDIRECT("tb_rec_uni[natureza]"),"pro.soluto",
INDIRECT("tb_rec_uni[empresa]"),AK$6)</f>
        <v>0</v>
      </c>
      <c r="AL96" s="123">
        <f ca="1">SUMIFS(tb_rec_uni[2028-10-01],
INDIRECT("tb_rec_uni[natureza]"),"repasse.cef.obra",
INDIRECT("tb_rec_uni[empresa]"),AL$6)</f>
        <v>0</v>
      </c>
      <c r="AM96" s="126">
        <f ca="1">SUMIFS(tb_rec_uni[2028-10-01],
INDIRECT("tb_rec_uni[natureza]"),"repasse.cef.terreno",
INDIRECT("tb_rec_uni[empresa]"),AM$6)</f>
        <v>0</v>
      </c>
      <c r="AN96" s="127"/>
      <c r="AO96" s="123">
        <f ca="1">SUMIFS(tb_rec_uni[2028-10-01],
INDIRECT("tb_rec_uni[natureza]"),"taxa.extra",
INDIRECT("tb_rec_uni[empresa]"),AO$6)</f>
        <v>0</v>
      </c>
      <c r="AP96" s="111"/>
      <c r="AQ96" s="111">
        <f ca="1">SUMIFS(
  m.vb[valor],
  m.vb[nucleo],$AJ$1,
  m.vb[variavel],AQ$7,
  m.vb[mes],$A96
)</f>
        <v>0</v>
      </c>
      <c r="AR96" s="111">
        <f ca="1">SUMIFS(
  m.vb[valor],
  m.vb[nucleo],$AJ$1,
  m.vb[variavel],AR$7,
  m.vb[mes],$A96
)</f>
        <v>0</v>
      </c>
      <c r="AS96" s="111">
        <f ca="1">SUMIFS(
  m.vb[valor],
  m.vb[nucleo],$AJ$1,
  m.vb[variavel],AS$7,
  m.vb[mes],$A96
)</f>
        <v>0</v>
      </c>
      <c r="AT96" s="111">
        <f ca="1">SUMIFS(
  m.vb[valor],
  m.vb[nucleo],$AJ$1,
  m.vb[variavel],AT$7,
  m.vb[mes],$A96
)</f>
        <v>0</v>
      </c>
      <c r="AU96" s="111">
        <f ca="1">SUMIFS(
  m.vb[valor],
  m.vb[nucleo],$AJ$1,
  m.vb[variavel],AU$7,
  m.vb[mes],$A96
)</f>
        <v>0</v>
      </c>
      <c r="AV96" s="122">
        <f>COUNTIFS(
    tb_estq[empresa], AV$6,
    tb_estq[Data da venda / reserva], "&gt;=" &amp; $A96,
    tb_estq[Data da venda / reserva], "&lt;"  &amp; EOMONTH($A96,0) + 1
)</f>
        <v>0</v>
      </c>
      <c r="AW96" s="123">
        <f ca="1">SUMIFS(tb_rec_uni[2028-10-01],
INDIRECT("tb_rec_uni[natureza]"),"pro.soluto",
INDIRECT("tb_rec_uni[empresa]"),AW$6)</f>
        <v>0</v>
      </c>
      <c r="AX96" s="123">
        <f ca="1">SUMIFS(tb_rec_uni[2028-10-01],
INDIRECT("tb_rec_uni[natureza]"),"repasse.cef.obra",
INDIRECT("tb_rec_uni[empresa]"),AX$6)</f>
        <v>0</v>
      </c>
      <c r="AY96" s="126">
        <f ca="1">SUMIFS(tb_rec_uni[2028-10-01],
INDIRECT("tb_rec_uni[natureza]"),"repasse.cef.terreno",
INDIRECT("tb_rec_uni[empresa]"),AY$6)</f>
        <v>0</v>
      </c>
      <c r="AZ96" s="127"/>
      <c r="BA96" s="123">
        <f ca="1">SUMIFS(tb_rec_uni[2028-10-01],
INDIRECT("tb_rec_uni[natureza]"),"taxa.extra",
INDIRECT("tb_rec_uni[empresa]"),BA$6)</f>
        <v>0</v>
      </c>
      <c r="BB96" s="111"/>
      <c r="BC96" s="111">
        <f ca="1">SUMIFS(
  m.vb[valor],
  m.vb[nucleo],$AV$1,
  m.vb[variavel],BC$7,
  m.vb[mes],$A96
)</f>
        <v>0</v>
      </c>
      <c r="BD96" s="111">
        <f ca="1">SUMIFS(
  m.vb[valor],
  m.vb[nucleo],$AV$1,
  m.vb[variavel],BD$7,
  m.vb[mes],$A96
)</f>
        <v>0</v>
      </c>
      <c r="BE96" s="111">
        <f ca="1">SUMIFS(
  m.vb[valor],
  m.vb[nucleo],$AV$1,
  m.vb[variavel],BE$7,
  m.vb[mes],$A96
)</f>
        <v>0</v>
      </c>
      <c r="BF96" s="111">
        <f ca="1">SUMIFS(
  m.vb[valor],
  m.vb[nucleo],$AV$1,
  m.vb[variavel],BF$7,
  m.vb[mes],$A96
)</f>
        <v>0</v>
      </c>
      <c r="BG96" s="111">
        <f ca="1">SUMIFS(
  m.vb[valor],
  m.vb[nucleo],$AV$1,
  m.vb[variavel],BG$7,
  m.vb[mes],$A96
)</f>
        <v>0</v>
      </c>
      <c r="BH96" s="122">
        <f>COUNTIFS(
    tb_estq[empresa], BH$6,
    tb_estq[Data da venda / reserva], "&gt;=" &amp; $A96,
    tb_estq[Data da venda / reserva], "&lt;"  &amp; EOMONTH($A96,0) + 1
)</f>
        <v>0</v>
      </c>
      <c r="BI96" s="123">
        <f ca="1">SUMIFS(tb_rec_uni[2028-10-01],
INDIRECT("tb_rec_uni[natureza]"),"pro.soluto",
INDIRECT("tb_rec_uni[empresa]"),BI$6)</f>
        <v>0</v>
      </c>
      <c r="BJ96" s="127"/>
      <c r="BK96" s="123">
        <f ca="1">SUMIFS(tb_rec_uni[2028-10-01],
INDIRECT("tb_rec_uni[natureza]"),"taxa.extra",
INDIRECT("tb_rec_uni[empresa]"),BK$6)</f>
        <v>0</v>
      </c>
      <c r="BL96" s="111"/>
      <c r="BM96" s="111">
        <f ca="1">SUMIFS(
  m.vb[valor],
  m.vb[nucleo],$BH$1,
  m.vb[variavel],BM$7,
  m.vb[mes],$A96
)</f>
        <v>0</v>
      </c>
      <c r="BN96" s="111">
        <f ca="1">SUMIFS(
  m.vb[valor],
  m.vb[nucleo],$BH$1,
  m.vb[variavel],BN$7,
  m.vb[mes],$A96
)</f>
        <v>0</v>
      </c>
      <c r="BO96" s="111">
        <f ca="1">SUMIFS(
  m.vb[valor],
  m.vb[nucleo],$BH$1,
  m.vb[variavel],BO$7,
  m.vb[mes],$A96
)</f>
        <v>0</v>
      </c>
      <c r="BP96" s="111">
        <f ca="1">SUMIFS(
  m.vb[valor],
  m.vb[nucleo],$BH$1,
  m.vb[variavel],BP$7,
  m.vb[mes],$A96
)</f>
        <v>0</v>
      </c>
      <c r="BQ96" s="111">
        <f ca="1">SUMIFS(
  m.vb[valor],
  m.vb[nucleo],$BH$1,
  m.vb[variavel],BQ$7,
  m.vb[mes],$A96
)</f>
        <v>0</v>
      </c>
      <c r="BR96" s="122">
        <f>COUNTIFS(
    tb_estq[empresa], BR$6,
    tb_estq[Data da venda / reserva], "&gt;=" &amp; $A96,
    tb_estq[Data da venda / reserva], "&lt;"  &amp; EOMONTH($A96,0) + 1
)</f>
        <v>0</v>
      </c>
      <c r="BS96" s="123">
        <f ca="1">SUMIFS(tb_rec_uni[2028-10-01],
INDIRECT("tb_rec_uni[natureza]"),"pro.soluto",
INDIRECT("tb_rec_uni[empresa]"),BS$6)</f>
        <v>0</v>
      </c>
      <c r="BT96" s="127">
        <f ca="1">SUMIFS(tb_rec_uni[2028-10-01],
INDIRECT("tb_rec_uni[natureza]"),"parcela.fin.total.ik",
INDIRECT("tb_rec_uni[empresa]"),BT$6)</f>
        <v>0</v>
      </c>
      <c r="BU96" s="123">
        <f ca="1">SUMIFS(tb_rec_uni[2028-10-01],
INDIRECT("tb_rec_uni[natureza]"),"taxa.extra",
INDIRECT("tb_rec_uni[empresa]"),BU$6)</f>
        <v>0</v>
      </c>
      <c r="BV96" s="111"/>
      <c r="BW96" s="111">
        <f ca="1">SUMIFS(
  m.vb[valor],
  m.vb[nucleo],$BR$1,
  m.vb[variavel],BW$7,
  m.vb[mes],$A96
)</f>
        <v>0</v>
      </c>
      <c r="BX96" s="111">
        <f ca="1">SUMIFS(
  m.vb[valor],
  m.vb[nucleo],$BR$1,
  m.vb[variavel],BX$7,
  m.vb[mes],$A96
)</f>
        <v>0</v>
      </c>
      <c r="BY96" s="111">
        <f ca="1">SUMIFS(
  m.vb[valor],
  m.vb[nucleo],$BR$1,
  m.vb[variavel],BY$7,
  m.vb[mes],$A96
)</f>
        <v>0</v>
      </c>
      <c r="BZ96" s="111">
        <f ca="1">SUMIFS(
  m.vb[valor],
  m.vb[nucleo],$BR$1,
  m.vb[variavel],BZ$7,
  m.vb[mes],$A96
)</f>
        <v>0</v>
      </c>
      <c r="CA96" s="111">
        <f ca="1">SUMIFS(
  m.vb[valor],
  m.vb[nucleo],$BR$1,
  m.vb[variavel],CA$7,
  m.vb[mes],$A96
)</f>
        <v>0</v>
      </c>
      <c r="CB96" s="122">
        <f>COUNTIFS(
    tb_estq[empresa], CB$6,
    tb_estq[Data da venda / reserva], "&gt;=" &amp; $A96,
    tb_estq[Data da venda / reserva], "&lt;"  &amp; EOMONTH($A96,0) + 1
)</f>
        <v>0</v>
      </c>
      <c r="CC96" s="123">
        <f ca="1">SUMIFS(tb_rec_uni[2028-10-01],
INDIRECT("tb_rec_uni[natureza]"),"pro.soluto",
INDIRECT("tb_rec_uni[empresa]"),CC$6)</f>
        <v>0</v>
      </c>
      <c r="CD96" s="123">
        <f ca="1">SUMIFS(tb_rec_uni[2028-10-01],
INDIRECT("tb_rec_uni[natureza]"),"repasse.cef.obra",
INDIRECT("tb_rec_uni[empresa]"),CD$6)</f>
        <v>0</v>
      </c>
      <c r="CE96" s="126">
        <f ca="1">SUMIFS(tb_rec_uni[2028-10-01],
INDIRECT("tb_rec_uni[natureza]"),"repasse.cef.terreno",
INDIRECT("tb_rec_uni[empresa]"),CE$6)</f>
        <v>0</v>
      </c>
      <c r="CF96" s="127"/>
      <c r="CG96" s="123">
        <f ca="1">SUMIFS(tb_rec_uni[2028-10-01],
INDIRECT("tb_rec_uni[natureza]"),"taxa.extra",
INDIRECT("tb_rec_uni[empresa]"),CG$6)</f>
        <v>0</v>
      </c>
      <c r="CH96" s="111"/>
      <c r="CI96" s="111">
        <f ca="1">SUMIFS(
  m.vb[valor],
  m.vb[nucleo],$CB$1,
  m.vb[variavel],CI$7,
  m.vb[mes],$A96
)</f>
        <v>0</v>
      </c>
      <c r="CJ96" s="111">
        <f ca="1">SUMIFS(
  m.vb[valor],
  m.vb[nucleo],$CB$1,
  m.vb[variavel],CJ$7,
  m.vb[mes],$A96
)</f>
        <v>0</v>
      </c>
      <c r="CK96" s="111">
        <f ca="1">SUMIFS(
  m.vb[valor],
  m.vb[nucleo],$CB$1,
  m.vb[variavel],CK$7,
  m.vb[mes],$A96
)</f>
        <v>0</v>
      </c>
      <c r="CL96" s="111">
        <f ca="1">SUMIFS(
  m.vb[valor],
  m.vb[nucleo],$CB$1,
  m.vb[variavel],CL$7,
  m.vb[mes],$A96
)</f>
        <v>0</v>
      </c>
      <c r="CM96" s="111">
        <f ca="1">SUMIFS(
  m.vb[valor],
  m.vb[nucleo],$CB$1,
  m.vb[variavel],CM$7,
  m.vb[mes],$A96
)</f>
        <v>0</v>
      </c>
      <c r="CN96" s="122">
        <f>COUNTIFS(
    tb_estq[empresa], CN$6,
    tb_estq[Data da venda / reserva], "&gt;=" &amp; $A96,
    tb_estq[Data da venda / reserva], "&lt;"  &amp; EOMONTH($A96,0) + 1
)</f>
        <v>0</v>
      </c>
      <c r="CO96" s="123">
        <f ca="1">SUMIFS(tb_rec_uni[2028-10-01],
INDIRECT("tb_rec_uni[natureza]"),"pro.soluto",
INDIRECT("tb_rec_uni[empresa]"),CO$6)</f>
        <v>0</v>
      </c>
      <c r="CP96" s="123">
        <f ca="1">SUMIFS(tb_rec_uni[2028-10-01],
INDIRECT("tb_rec_uni[natureza]"),"repasse.cef.obra",
INDIRECT("tb_rec_uni[empresa]"),CP$6)</f>
        <v>0</v>
      </c>
      <c r="CQ96" s="126">
        <f ca="1">SUMIFS(tb_rec_uni[2028-10-01],
INDIRECT("tb_rec_uni[natureza]"),"repasse.cef.terreno",
INDIRECT("tb_rec_uni[empresa]"),CQ$6)</f>
        <v>0</v>
      </c>
      <c r="CR96" s="127"/>
      <c r="CS96" s="123">
        <f ca="1">SUMIFS(tb_rec_uni[2028-10-01],
INDIRECT("tb_rec_uni[natureza]"),"taxa.extra",
INDIRECT("tb_rec_uni[empresa]"),CS$6)</f>
        <v>0</v>
      </c>
      <c r="CT96" s="111"/>
      <c r="CU96" s="111">
        <f ca="1">SUMIFS(
  m.vb[valor],
  m.vb[nucleo],$CN$1,
  m.vb[variavel],CU$7,
  m.vb[mes],$A96
)</f>
        <v>0</v>
      </c>
      <c r="CV96" s="111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11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11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4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21">
        <v>47058</v>
      </c>
      <c r="B97" s="122">
        <f>COUNTIFS(
    tb_estq[empresa], B$6,
    tb_estq[Data da venda / reserva], "&gt;=" &amp; $A97,
    tb_estq[Data da venda / reserva], "&lt;"  &amp; EOMONTH($A97,0) + 1
)</f>
        <v>0</v>
      </c>
      <c r="C97" s="123">
        <f ca="1">SUMIFS(tb_rec_uni[2028-11-01],
INDIRECT("tb_rec_uni[natureza]"),"pro.soluto",
INDIRECT("tb_rec_uni[empresa]"),C$6)</f>
        <v>0</v>
      </c>
      <c r="D97" s="123">
        <f ca="1">SUMIFS(tb_rec_uni[2028-11-01],
INDIRECT("tb_rec_uni[natureza]"),"repasse.cef.obra",
INDIRECT("tb_rec_uni[empresa]"),D$6)</f>
        <v>0</v>
      </c>
      <c r="E97" s="123">
        <f ca="1">SUMIFS(tb_rec_uni[2028-11-01],
INDIRECT("tb_rec_uni[natureza]"),"repasse.cef.terreno",
INDIRECT("tb_rec_uni[empresa]"),E$6)</f>
        <v>0</v>
      </c>
      <c r="F97" s="127"/>
      <c r="G97" s="123">
        <f ca="1">SUMIFS(tb_rec_uni[2028-11-01],
INDIRECT("tb_rec_uni[natureza]"),"taxa.extra",
INDIRECT("tb_rec_uni[empresa]"),G$6)</f>
        <v>0</v>
      </c>
      <c r="H97" s="111"/>
      <c r="I97" s="111">
        <f ca="1">SUMIFS(
  m.vb[valor],
  m.vb[nucleo],$B$1,
  m.vb[variavel],I$7,
  m.vb[mes],$A97
)</f>
        <v>0</v>
      </c>
      <c r="J97" s="111">
        <f ca="1">SUMIFS(
  m.vb[valor],
  m.vb[nucleo],$B$1,
  m.vb[variavel],J$7,
  m.vb[mes],$A97
)</f>
        <v>0</v>
      </c>
      <c r="K97" s="111">
        <f ca="1">SUMIFS(
  m.vb[valor],
  m.vb[nucleo],$B$1,
  m.vb[variavel],K$7,
  m.vb[mes],$A97
)</f>
        <v>0</v>
      </c>
      <c r="L97" s="111">
        <f ca="1">SUMIFS(
  m.vb[valor],
  m.vb[nucleo],$B$1,
  m.vb[variavel],L$7,
  m.vb[mes],$A97
)</f>
        <v>0</v>
      </c>
      <c r="M97" s="111">
        <f ca="1">SUMIFS(
  m.vb[valor],
  m.vb[nucleo],$B$1,
  m.vb[variavel],M$7,
  m.vb[mes],$A97
)</f>
        <v>0</v>
      </c>
      <c r="N97" s="122">
        <f>COUNTIFS(
    tb_estq[empresa], N$6,
    tb_estq[Data da venda / reserva], "&gt;=" &amp; $A97,
    tb_estq[Data da venda / reserva], "&lt;"  &amp; EOMONTH($A97,0) + 1
)</f>
        <v>0</v>
      </c>
      <c r="O97" s="123">
        <f ca="1">SUMIFS(tb_rec_uni[2028-11-01],
INDIRECT("tb_rec_uni[natureza]"),"pro.soluto",
INDIRECT("tb_rec_uni[empresa]"),O$6)</f>
        <v>0</v>
      </c>
      <c r="P97" s="123">
        <f ca="1">SUMIFS(tb_rec_uni[2028-11-01],
INDIRECT("tb_rec_uni[natureza]"),"repasse.cef.obra",
INDIRECT("tb_rec_uni[empresa]"),P$6)</f>
        <v>0</v>
      </c>
      <c r="Q97" s="123">
        <f ca="1">SUMIFS(tb_rec_uni[2028-11-01],
INDIRECT("tb_rec_uni[natureza]"),"repasse.cef.terreno",
INDIRECT("tb_rec_uni[empresa]"),Q$6)</f>
        <v>0</v>
      </c>
      <c r="R97" s="127"/>
      <c r="S97" s="123">
        <f ca="1">SUMIFS(tb_rec_uni[2028-11-01],
INDIRECT("tb_rec_uni[natureza]"),"taxa.extra",
INDIRECT("tb_rec_uni[empresa]"),S$6)</f>
        <v>0</v>
      </c>
      <c r="T97" s="111"/>
      <c r="U97" s="111">
        <f ca="1">SUMIFS(
  m.vb[valor],
  m.vb[nucleo],$N$1,
  m.vb[variavel],U$7,
  m.vb[mes],$A97
)</f>
        <v>0</v>
      </c>
      <c r="V97" s="111">
        <f ca="1">SUMIFS(
  m.vb[valor],
  m.vb[nucleo],$N$1,
  m.vb[variavel],V$7,
  m.vb[mes],$A97
)</f>
        <v>0</v>
      </c>
      <c r="W97" s="111">
        <f ca="1">SUMIFS(
  m.vb[valor],
  m.vb[nucleo],$N$1,
  m.vb[variavel],W$7,
  m.vb[mes],$A97
)</f>
        <v>0</v>
      </c>
      <c r="X97" s="111">
        <f ca="1">SUMIFS(
  m.vb[valor],
  m.vb[nucleo],$N$1,
  m.vb[variavel],X$7,
  m.vb[mes],$A97
)</f>
        <v>0</v>
      </c>
      <c r="Y97" s="111">
        <f ca="1">SUMIFS(
  m.vb[valor],
  m.vb[nucleo],$N$1,
  m.vb[variavel],Y$7,
  m.vb[mes],$A97
)</f>
        <v>0</v>
      </c>
      <c r="Z97" s="122">
        <f>COUNTIFS(
    tb_estq[empresa], Z$6,
    tb_estq[Data da venda / reserva], "&gt;=" &amp; $A97,
    tb_estq[Data da venda / reserva], "&lt;"  &amp; EOMONTH($A97,0) + 1
)</f>
        <v>0</v>
      </c>
      <c r="AA97" s="123">
        <f ca="1">SUMIFS(tb_rec_uni[2028-11-01],
INDIRECT("tb_rec_uni[natureza]"),"pro.soluto",
INDIRECT("tb_rec_uni[empresa]"),AA$6)</f>
        <v>0</v>
      </c>
      <c r="AB97" s="127">
        <f ca="1">SUMIFS(tb_rec_uni[2028-11-01],
INDIRECT("tb_rec_uni[natureza]"),"parcela.fin.total.ik",
INDIRECT("tb_rec_uni[empresa]"),AB$6)</f>
        <v>0</v>
      </c>
      <c r="AC97" s="123">
        <f ca="1">SUMIFS(tb_rec_uni[2028-11-01],
INDIRECT("tb_rec_uni[natureza]"),"taxa.extra",
INDIRECT("tb_rec_uni[empresa]"),AC$6)</f>
        <v>0</v>
      </c>
      <c r="AD97" s="111"/>
      <c r="AE97" s="111">
        <f ca="1">SUMIFS(
  m.vb[valor],
  m.vb[nucleo],$Z$1,
  m.vb[variavel],AE$7,
  m.vb[mes],$A97
)</f>
        <v>0</v>
      </c>
      <c r="AF97" s="111">
        <f ca="1">SUMIFS(
  m.vb[valor],
  m.vb[nucleo],$Z$1,
  m.vb[variavel],AF$7,
  m.vb[mes],$A97
)</f>
        <v>0</v>
      </c>
      <c r="AG97" s="111">
        <f ca="1">SUMIFS(
  m.vb[valor],
  m.vb[nucleo],$Z$1,
  m.vb[variavel],AG$7,
  m.vb[mes],$A97
)</f>
        <v>0</v>
      </c>
      <c r="AH97" s="111">
        <f ca="1">SUMIFS(
  m.vb[valor],
  m.vb[nucleo],$Z$1,
  m.vb[variavel],AH$7,
  m.vb[mes],$A97
)</f>
        <v>0</v>
      </c>
      <c r="AI97" s="111">
        <f ca="1">SUMIFS(
  m.vb[valor],
  m.vb[nucleo],$Z$1,
  m.vb[variavel],AI$7,
  m.vb[mes],$A97
)</f>
        <v>0</v>
      </c>
      <c r="AJ97" s="122">
        <f>COUNTIFS(
    tb_estq[empresa], AJ$6,
    tb_estq[Data da venda / reserva], "&gt;=" &amp; $A97,
    tb_estq[Data da venda / reserva], "&lt;"  &amp; EOMONTH($A97,0) + 1
)</f>
        <v>0</v>
      </c>
      <c r="AK97" s="123">
        <f ca="1">SUMIFS(tb_rec_uni[2028-11-01],
INDIRECT("tb_rec_uni[natureza]"),"pro.soluto",
INDIRECT("tb_rec_uni[empresa]"),AK$6)</f>
        <v>0</v>
      </c>
      <c r="AL97" s="123">
        <f ca="1">SUMIFS(tb_rec_uni[2028-11-01],
INDIRECT("tb_rec_uni[natureza]"),"repasse.cef.obra",
INDIRECT("tb_rec_uni[empresa]"),AL$6)</f>
        <v>0</v>
      </c>
      <c r="AM97" s="126">
        <f ca="1">SUMIFS(tb_rec_uni[2028-11-01],
INDIRECT("tb_rec_uni[natureza]"),"repasse.cef.terreno",
INDIRECT("tb_rec_uni[empresa]"),AM$6)</f>
        <v>0</v>
      </c>
      <c r="AN97" s="127"/>
      <c r="AO97" s="123">
        <f ca="1">SUMIFS(tb_rec_uni[2028-11-01],
INDIRECT("tb_rec_uni[natureza]"),"taxa.extra",
INDIRECT("tb_rec_uni[empresa]"),AO$6)</f>
        <v>0</v>
      </c>
      <c r="AP97" s="111"/>
      <c r="AQ97" s="111">
        <f ca="1">SUMIFS(
  m.vb[valor],
  m.vb[nucleo],$AJ$1,
  m.vb[variavel],AQ$7,
  m.vb[mes],$A97
)</f>
        <v>0</v>
      </c>
      <c r="AR97" s="111">
        <f ca="1">SUMIFS(
  m.vb[valor],
  m.vb[nucleo],$AJ$1,
  m.vb[variavel],AR$7,
  m.vb[mes],$A97
)</f>
        <v>0</v>
      </c>
      <c r="AS97" s="111">
        <f ca="1">SUMIFS(
  m.vb[valor],
  m.vb[nucleo],$AJ$1,
  m.vb[variavel],AS$7,
  m.vb[mes],$A97
)</f>
        <v>0</v>
      </c>
      <c r="AT97" s="111">
        <f ca="1">SUMIFS(
  m.vb[valor],
  m.vb[nucleo],$AJ$1,
  m.vb[variavel],AT$7,
  m.vb[mes],$A97
)</f>
        <v>0</v>
      </c>
      <c r="AU97" s="111">
        <f ca="1">SUMIFS(
  m.vb[valor],
  m.vb[nucleo],$AJ$1,
  m.vb[variavel],AU$7,
  m.vb[mes],$A97
)</f>
        <v>0</v>
      </c>
      <c r="AV97" s="122">
        <f>COUNTIFS(
    tb_estq[empresa], AV$6,
    tb_estq[Data da venda / reserva], "&gt;=" &amp; $A97,
    tb_estq[Data da venda / reserva], "&lt;"  &amp; EOMONTH($A97,0) + 1
)</f>
        <v>0</v>
      </c>
      <c r="AW97" s="123">
        <f ca="1">SUMIFS(tb_rec_uni[2028-11-01],
INDIRECT("tb_rec_uni[natureza]"),"pro.soluto",
INDIRECT("tb_rec_uni[empresa]"),AW$6)</f>
        <v>0</v>
      </c>
      <c r="AX97" s="123">
        <f ca="1">SUMIFS(tb_rec_uni[2028-11-01],
INDIRECT("tb_rec_uni[natureza]"),"repasse.cef.obra",
INDIRECT("tb_rec_uni[empresa]"),AX$6)</f>
        <v>0</v>
      </c>
      <c r="AY97" s="126">
        <f ca="1">SUMIFS(tb_rec_uni[2028-11-01],
INDIRECT("tb_rec_uni[natureza]"),"repasse.cef.terreno",
INDIRECT("tb_rec_uni[empresa]"),AY$6)</f>
        <v>0</v>
      </c>
      <c r="AZ97" s="127"/>
      <c r="BA97" s="123">
        <f ca="1">SUMIFS(tb_rec_uni[2028-11-01],
INDIRECT("tb_rec_uni[natureza]"),"taxa.extra",
INDIRECT("tb_rec_uni[empresa]"),BA$6)</f>
        <v>0</v>
      </c>
      <c r="BB97" s="111"/>
      <c r="BC97" s="111">
        <f ca="1">SUMIFS(
  m.vb[valor],
  m.vb[nucleo],$AV$1,
  m.vb[variavel],BC$7,
  m.vb[mes],$A97
)</f>
        <v>0</v>
      </c>
      <c r="BD97" s="111">
        <f ca="1">SUMIFS(
  m.vb[valor],
  m.vb[nucleo],$AV$1,
  m.vb[variavel],BD$7,
  m.vb[mes],$A97
)</f>
        <v>0</v>
      </c>
      <c r="BE97" s="111">
        <f ca="1">SUMIFS(
  m.vb[valor],
  m.vb[nucleo],$AV$1,
  m.vb[variavel],BE$7,
  m.vb[mes],$A97
)</f>
        <v>0</v>
      </c>
      <c r="BF97" s="111">
        <f ca="1">SUMIFS(
  m.vb[valor],
  m.vb[nucleo],$AV$1,
  m.vb[variavel],BF$7,
  m.vb[mes],$A97
)</f>
        <v>0</v>
      </c>
      <c r="BG97" s="111">
        <f ca="1">SUMIFS(
  m.vb[valor],
  m.vb[nucleo],$AV$1,
  m.vb[variavel],BG$7,
  m.vb[mes],$A97
)</f>
        <v>0</v>
      </c>
      <c r="BH97" s="122">
        <f>COUNTIFS(
    tb_estq[empresa], BH$6,
    tb_estq[Data da venda / reserva], "&gt;=" &amp; $A97,
    tb_estq[Data da venda / reserva], "&lt;"  &amp; EOMONTH($A97,0) + 1
)</f>
        <v>0</v>
      </c>
      <c r="BI97" s="123">
        <f ca="1">SUMIFS(tb_rec_uni[2028-11-01],
INDIRECT("tb_rec_uni[natureza]"),"pro.soluto",
INDIRECT("tb_rec_uni[empresa]"),BI$6)</f>
        <v>0</v>
      </c>
      <c r="BJ97" s="127"/>
      <c r="BK97" s="123">
        <f ca="1">SUMIFS(tb_rec_uni[2028-11-01],
INDIRECT("tb_rec_uni[natureza]"),"taxa.extra",
INDIRECT("tb_rec_uni[empresa]"),BK$6)</f>
        <v>0</v>
      </c>
      <c r="BL97" s="111"/>
      <c r="BM97" s="111">
        <f ca="1">SUMIFS(
  m.vb[valor],
  m.vb[nucleo],$BH$1,
  m.vb[variavel],BM$7,
  m.vb[mes],$A97
)</f>
        <v>0</v>
      </c>
      <c r="BN97" s="111">
        <f ca="1">SUMIFS(
  m.vb[valor],
  m.vb[nucleo],$BH$1,
  m.vb[variavel],BN$7,
  m.vb[mes],$A97
)</f>
        <v>0</v>
      </c>
      <c r="BO97" s="111">
        <f ca="1">SUMIFS(
  m.vb[valor],
  m.vb[nucleo],$BH$1,
  m.vb[variavel],BO$7,
  m.vb[mes],$A97
)</f>
        <v>0</v>
      </c>
      <c r="BP97" s="111">
        <f ca="1">SUMIFS(
  m.vb[valor],
  m.vb[nucleo],$BH$1,
  m.vb[variavel],BP$7,
  m.vb[mes],$A97
)</f>
        <v>0</v>
      </c>
      <c r="BQ97" s="111">
        <f ca="1">SUMIFS(
  m.vb[valor],
  m.vb[nucleo],$BH$1,
  m.vb[variavel],BQ$7,
  m.vb[mes],$A97
)</f>
        <v>0</v>
      </c>
      <c r="BR97" s="122">
        <f>COUNTIFS(
    tb_estq[empresa], BR$6,
    tb_estq[Data da venda / reserva], "&gt;=" &amp; $A97,
    tb_estq[Data da venda / reserva], "&lt;"  &amp; EOMONTH($A97,0) + 1
)</f>
        <v>0</v>
      </c>
      <c r="BS97" s="123">
        <f ca="1">SUMIFS(tb_rec_uni[2028-11-01],
INDIRECT("tb_rec_uni[natureza]"),"pro.soluto",
INDIRECT("tb_rec_uni[empresa]"),BS$6)</f>
        <v>0</v>
      </c>
      <c r="BT97" s="127">
        <f ca="1">SUMIFS(tb_rec_uni[2028-11-01],
INDIRECT("tb_rec_uni[natureza]"),"parcela.fin.total.ik",
INDIRECT("tb_rec_uni[empresa]"),BT$6)</f>
        <v>0</v>
      </c>
      <c r="BU97" s="123">
        <f ca="1">SUMIFS(tb_rec_uni[2028-11-01],
INDIRECT("tb_rec_uni[natureza]"),"taxa.extra",
INDIRECT("tb_rec_uni[empresa]"),BU$6)</f>
        <v>0</v>
      </c>
      <c r="BV97" s="111"/>
      <c r="BW97" s="111">
        <f ca="1">SUMIFS(
  m.vb[valor],
  m.vb[nucleo],$BR$1,
  m.vb[variavel],BW$7,
  m.vb[mes],$A97
)</f>
        <v>0</v>
      </c>
      <c r="BX97" s="111">
        <f ca="1">SUMIFS(
  m.vb[valor],
  m.vb[nucleo],$BR$1,
  m.vb[variavel],BX$7,
  m.vb[mes],$A97
)</f>
        <v>0</v>
      </c>
      <c r="BY97" s="111">
        <f ca="1">SUMIFS(
  m.vb[valor],
  m.vb[nucleo],$BR$1,
  m.vb[variavel],BY$7,
  m.vb[mes],$A97
)</f>
        <v>0</v>
      </c>
      <c r="BZ97" s="111">
        <f ca="1">SUMIFS(
  m.vb[valor],
  m.vb[nucleo],$BR$1,
  m.vb[variavel],BZ$7,
  m.vb[mes],$A97
)</f>
        <v>0</v>
      </c>
      <c r="CA97" s="111">
        <f ca="1">SUMIFS(
  m.vb[valor],
  m.vb[nucleo],$BR$1,
  m.vb[variavel],CA$7,
  m.vb[mes],$A97
)</f>
        <v>0</v>
      </c>
      <c r="CB97" s="122">
        <f>COUNTIFS(
    tb_estq[empresa], CB$6,
    tb_estq[Data da venda / reserva], "&gt;=" &amp; $A97,
    tb_estq[Data da venda / reserva], "&lt;"  &amp; EOMONTH($A97,0) + 1
)</f>
        <v>0</v>
      </c>
      <c r="CC97" s="123">
        <f ca="1">SUMIFS(tb_rec_uni[2028-11-01],
INDIRECT("tb_rec_uni[natureza]"),"pro.soluto",
INDIRECT("tb_rec_uni[empresa]"),CC$6)</f>
        <v>0</v>
      </c>
      <c r="CD97" s="123">
        <f ca="1">SUMIFS(tb_rec_uni[2028-11-01],
INDIRECT("tb_rec_uni[natureza]"),"repasse.cef.obra",
INDIRECT("tb_rec_uni[empresa]"),CD$6)</f>
        <v>0</v>
      </c>
      <c r="CE97" s="126">
        <f ca="1">SUMIFS(tb_rec_uni[2028-11-01],
INDIRECT("tb_rec_uni[natureza]"),"repasse.cef.terreno",
INDIRECT("tb_rec_uni[empresa]"),CE$6)</f>
        <v>0</v>
      </c>
      <c r="CF97" s="127"/>
      <c r="CG97" s="123">
        <f ca="1">SUMIFS(tb_rec_uni[2028-11-01],
INDIRECT("tb_rec_uni[natureza]"),"taxa.extra",
INDIRECT("tb_rec_uni[empresa]"),CG$6)</f>
        <v>0</v>
      </c>
      <c r="CH97" s="111"/>
      <c r="CI97" s="111">
        <f ca="1">SUMIFS(
  m.vb[valor],
  m.vb[nucleo],$CB$1,
  m.vb[variavel],CI$7,
  m.vb[mes],$A97
)</f>
        <v>0</v>
      </c>
      <c r="CJ97" s="111">
        <f ca="1">SUMIFS(
  m.vb[valor],
  m.vb[nucleo],$CB$1,
  m.vb[variavel],CJ$7,
  m.vb[mes],$A97
)</f>
        <v>0</v>
      </c>
      <c r="CK97" s="111">
        <f ca="1">SUMIFS(
  m.vb[valor],
  m.vb[nucleo],$CB$1,
  m.vb[variavel],CK$7,
  m.vb[mes],$A97
)</f>
        <v>0</v>
      </c>
      <c r="CL97" s="111">
        <f ca="1">SUMIFS(
  m.vb[valor],
  m.vb[nucleo],$CB$1,
  m.vb[variavel],CL$7,
  m.vb[mes],$A97
)</f>
        <v>0</v>
      </c>
      <c r="CM97" s="111">
        <f ca="1">SUMIFS(
  m.vb[valor],
  m.vb[nucleo],$CB$1,
  m.vb[variavel],CM$7,
  m.vb[mes],$A97
)</f>
        <v>0</v>
      </c>
      <c r="CN97" s="122">
        <f>COUNTIFS(
    tb_estq[empresa], CN$6,
    tb_estq[Data da venda / reserva], "&gt;=" &amp; $A97,
    tb_estq[Data da venda / reserva], "&lt;"  &amp; EOMONTH($A97,0) + 1
)</f>
        <v>0</v>
      </c>
      <c r="CO97" s="123">
        <f ca="1">SUMIFS(tb_rec_uni[2028-11-01],
INDIRECT("tb_rec_uni[natureza]"),"pro.soluto",
INDIRECT("tb_rec_uni[empresa]"),CO$6)</f>
        <v>0</v>
      </c>
      <c r="CP97" s="123">
        <f ca="1">SUMIFS(tb_rec_uni[2028-11-01],
INDIRECT("tb_rec_uni[natureza]"),"repasse.cef.obra",
INDIRECT("tb_rec_uni[empresa]"),CP$6)</f>
        <v>0</v>
      </c>
      <c r="CQ97" s="126">
        <f ca="1">SUMIFS(tb_rec_uni[2028-11-01],
INDIRECT("tb_rec_uni[natureza]"),"repasse.cef.terreno",
INDIRECT("tb_rec_uni[empresa]"),CQ$6)</f>
        <v>0</v>
      </c>
      <c r="CR97" s="127"/>
      <c r="CS97" s="123">
        <f ca="1">SUMIFS(tb_rec_uni[2028-11-01],
INDIRECT("tb_rec_uni[natureza]"),"taxa.extra",
INDIRECT("tb_rec_uni[empresa]"),CS$6)</f>
        <v>0</v>
      </c>
      <c r="CT97" s="111"/>
      <c r="CU97" s="111">
        <f ca="1">SUMIFS(
  m.vb[valor],
  m.vb[nucleo],$CN$1,
  m.vb[variavel],CU$7,
  m.vb[mes],$A97
)</f>
        <v>0</v>
      </c>
      <c r="CV97" s="111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11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11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4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21">
        <v>47088</v>
      </c>
      <c r="B98" s="122">
        <f>COUNTIFS(
    tb_estq[empresa], B$6,
    tb_estq[Data da venda / reserva], "&gt;=" &amp; $A98,
    tb_estq[Data da venda / reserva], "&lt;"  &amp; EOMONTH($A98,0) + 1
)</f>
        <v>0</v>
      </c>
      <c r="C98" s="123">
        <f ca="1">SUMIFS(tb_rec_uni[2028-12-01],
INDIRECT("tb_rec_uni[natureza]"),"pro.soluto",
INDIRECT("tb_rec_uni[empresa]"),C$6)</f>
        <v>0</v>
      </c>
      <c r="D98" s="123">
        <f ca="1">SUMIFS(tb_rec_uni[2028-12-01],
INDIRECT("tb_rec_uni[natureza]"),"repasse.cef.obra",
INDIRECT("tb_rec_uni[empresa]"),D$6)</f>
        <v>0</v>
      </c>
      <c r="E98" s="123">
        <f ca="1">SUMIFS(tb_rec_uni[2028-12-01],
INDIRECT("tb_rec_uni[natureza]"),"repasse.cef.terreno",
INDIRECT("tb_rec_uni[empresa]"),E$6)</f>
        <v>0</v>
      </c>
      <c r="F98" s="127"/>
      <c r="G98" s="123">
        <f ca="1">SUMIFS(tb_rec_uni[2028-12-01],
INDIRECT("tb_rec_uni[natureza]"),"taxa.extra",
INDIRECT("tb_rec_uni[empresa]"),G$6)</f>
        <v>0</v>
      </c>
      <c r="H98" s="111"/>
      <c r="I98" s="111">
        <f ca="1">SUMIFS(
  m.vb[valor],
  m.vb[nucleo],$B$1,
  m.vb[variavel],I$7,
  m.vb[mes],$A98
)</f>
        <v>0</v>
      </c>
      <c r="J98" s="111">
        <f ca="1">SUMIFS(
  m.vb[valor],
  m.vb[nucleo],$B$1,
  m.vb[variavel],J$7,
  m.vb[mes],$A98
)</f>
        <v>0</v>
      </c>
      <c r="K98" s="111">
        <f ca="1">SUMIFS(
  m.vb[valor],
  m.vb[nucleo],$B$1,
  m.vb[variavel],K$7,
  m.vb[mes],$A98
)</f>
        <v>0</v>
      </c>
      <c r="L98" s="111">
        <f ca="1">SUMIFS(
  m.vb[valor],
  m.vb[nucleo],$B$1,
  m.vb[variavel],L$7,
  m.vb[mes],$A98
)</f>
        <v>0</v>
      </c>
      <c r="M98" s="111">
        <f ca="1">SUMIFS(
  m.vb[valor],
  m.vb[nucleo],$B$1,
  m.vb[variavel],M$7,
  m.vb[mes],$A98
)</f>
        <v>0</v>
      </c>
      <c r="N98" s="122">
        <f>COUNTIFS(
    tb_estq[empresa], N$6,
    tb_estq[Data da venda / reserva], "&gt;=" &amp; $A98,
    tb_estq[Data da venda / reserva], "&lt;"  &amp; EOMONTH($A98,0) + 1
)</f>
        <v>0</v>
      </c>
      <c r="O98" s="123">
        <f ca="1">SUMIFS(tb_rec_uni[2028-12-01],
INDIRECT("tb_rec_uni[natureza]"),"pro.soluto",
INDIRECT("tb_rec_uni[empresa]"),O$6)</f>
        <v>0</v>
      </c>
      <c r="P98" s="123">
        <f ca="1">SUMIFS(tb_rec_uni[2028-12-01],
INDIRECT("tb_rec_uni[natureza]"),"repasse.cef.obra",
INDIRECT("tb_rec_uni[empresa]"),P$6)</f>
        <v>0</v>
      </c>
      <c r="Q98" s="123">
        <f ca="1">SUMIFS(tb_rec_uni[2028-12-01],
INDIRECT("tb_rec_uni[natureza]"),"repasse.cef.terreno",
INDIRECT("tb_rec_uni[empresa]"),Q$6)</f>
        <v>0</v>
      </c>
      <c r="R98" s="127"/>
      <c r="S98" s="123">
        <f ca="1">SUMIFS(tb_rec_uni[2028-12-01],
INDIRECT("tb_rec_uni[natureza]"),"taxa.extra",
INDIRECT("tb_rec_uni[empresa]"),S$6)</f>
        <v>0</v>
      </c>
      <c r="T98" s="111"/>
      <c r="U98" s="111">
        <f ca="1">SUMIFS(
  m.vb[valor],
  m.vb[nucleo],$N$1,
  m.vb[variavel],U$7,
  m.vb[mes],$A98
)</f>
        <v>0</v>
      </c>
      <c r="V98" s="111">
        <f ca="1">SUMIFS(
  m.vb[valor],
  m.vb[nucleo],$N$1,
  m.vb[variavel],V$7,
  m.vb[mes],$A98
)</f>
        <v>0</v>
      </c>
      <c r="W98" s="111">
        <f ca="1">SUMIFS(
  m.vb[valor],
  m.vb[nucleo],$N$1,
  m.vb[variavel],W$7,
  m.vb[mes],$A98
)</f>
        <v>0</v>
      </c>
      <c r="X98" s="111">
        <f ca="1">SUMIFS(
  m.vb[valor],
  m.vb[nucleo],$N$1,
  m.vb[variavel],X$7,
  m.vb[mes],$A98
)</f>
        <v>0</v>
      </c>
      <c r="Y98" s="111">
        <f ca="1">SUMIFS(
  m.vb[valor],
  m.vb[nucleo],$N$1,
  m.vb[variavel],Y$7,
  m.vb[mes],$A98
)</f>
        <v>0</v>
      </c>
      <c r="Z98" s="122">
        <f>COUNTIFS(
    tb_estq[empresa], Z$6,
    tb_estq[Data da venda / reserva], "&gt;=" &amp; $A98,
    tb_estq[Data da venda / reserva], "&lt;"  &amp; EOMONTH($A98,0) + 1
)</f>
        <v>0</v>
      </c>
      <c r="AA98" s="123">
        <f ca="1">SUMIFS(tb_rec_uni[2028-12-01],
INDIRECT("tb_rec_uni[natureza]"),"pro.soluto",
INDIRECT("tb_rec_uni[empresa]"),AA$6)</f>
        <v>0</v>
      </c>
      <c r="AB98" s="127">
        <f ca="1">SUMIFS(tb_rec_uni[2028-12-01],
INDIRECT("tb_rec_uni[natureza]"),"parcela.fin.total.ik",
INDIRECT("tb_rec_uni[empresa]"),AB$6)</f>
        <v>0</v>
      </c>
      <c r="AC98" s="123">
        <f ca="1">SUMIFS(tb_rec_uni[2028-12-01],
INDIRECT("tb_rec_uni[natureza]"),"taxa.extra",
INDIRECT("tb_rec_uni[empresa]"),AC$6)</f>
        <v>0</v>
      </c>
      <c r="AD98" s="111"/>
      <c r="AE98" s="111">
        <f ca="1">SUMIFS(
  m.vb[valor],
  m.vb[nucleo],$Z$1,
  m.vb[variavel],AE$7,
  m.vb[mes],$A98
)</f>
        <v>0</v>
      </c>
      <c r="AF98" s="111">
        <f ca="1">SUMIFS(
  m.vb[valor],
  m.vb[nucleo],$Z$1,
  m.vb[variavel],AF$7,
  m.vb[mes],$A98
)</f>
        <v>0</v>
      </c>
      <c r="AG98" s="111">
        <f ca="1">SUMIFS(
  m.vb[valor],
  m.vb[nucleo],$Z$1,
  m.vb[variavel],AG$7,
  m.vb[mes],$A98
)</f>
        <v>0</v>
      </c>
      <c r="AH98" s="111">
        <f ca="1">SUMIFS(
  m.vb[valor],
  m.vb[nucleo],$Z$1,
  m.vb[variavel],AH$7,
  m.vb[mes],$A98
)</f>
        <v>0</v>
      </c>
      <c r="AI98" s="111">
        <f ca="1">SUMIFS(
  m.vb[valor],
  m.vb[nucleo],$Z$1,
  m.vb[variavel],AI$7,
  m.vb[mes],$A98
)</f>
        <v>0</v>
      </c>
      <c r="AJ98" s="122">
        <f>COUNTIFS(
    tb_estq[empresa], AJ$6,
    tb_estq[Data da venda / reserva], "&gt;=" &amp; $A98,
    tb_estq[Data da venda / reserva], "&lt;"  &amp; EOMONTH($A98,0) + 1
)</f>
        <v>0</v>
      </c>
      <c r="AK98" s="123">
        <f ca="1">SUMIFS(tb_rec_uni[2028-12-01],
INDIRECT("tb_rec_uni[natureza]"),"pro.soluto",
INDIRECT("tb_rec_uni[empresa]"),AK$6)</f>
        <v>0</v>
      </c>
      <c r="AL98" s="123">
        <f ca="1">SUMIFS(tb_rec_uni[2028-12-01],
INDIRECT("tb_rec_uni[natureza]"),"repasse.cef.obra",
INDIRECT("tb_rec_uni[empresa]"),AL$6)</f>
        <v>0</v>
      </c>
      <c r="AM98" s="126">
        <f ca="1">SUMIFS(tb_rec_uni[2028-12-01],
INDIRECT("tb_rec_uni[natureza]"),"repasse.cef.terreno",
INDIRECT("tb_rec_uni[empresa]"),AM$6)</f>
        <v>0</v>
      </c>
      <c r="AN98" s="127"/>
      <c r="AO98" s="123">
        <f ca="1">SUMIFS(tb_rec_uni[2028-12-01],
INDIRECT("tb_rec_uni[natureza]"),"taxa.extra",
INDIRECT("tb_rec_uni[empresa]"),AO$6)</f>
        <v>0</v>
      </c>
      <c r="AP98" s="111"/>
      <c r="AQ98" s="111">
        <f ca="1">SUMIFS(
  m.vb[valor],
  m.vb[nucleo],$AJ$1,
  m.vb[variavel],AQ$7,
  m.vb[mes],$A98
)</f>
        <v>0</v>
      </c>
      <c r="AR98" s="111">
        <f ca="1">SUMIFS(
  m.vb[valor],
  m.vb[nucleo],$AJ$1,
  m.vb[variavel],AR$7,
  m.vb[mes],$A98
)</f>
        <v>0</v>
      </c>
      <c r="AS98" s="111">
        <f ca="1">SUMIFS(
  m.vb[valor],
  m.vb[nucleo],$AJ$1,
  m.vb[variavel],AS$7,
  m.vb[mes],$A98
)</f>
        <v>0</v>
      </c>
      <c r="AT98" s="111">
        <f ca="1">SUMIFS(
  m.vb[valor],
  m.vb[nucleo],$AJ$1,
  m.vb[variavel],AT$7,
  m.vb[mes],$A98
)</f>
        <v>0</v>
      </c>
      <c r="AU98" s="111">
        <f ca="1">SUMIFS(
  m.vb[valor],
  m.vb[nucleo],$AJ$1,
  m.vb[variavel],AU$7,
  m.vb[mes],$A98
)</f>
        <v>0</v>
      </c>
      <c r="AV98" s="122">
        <f>COUNTIFS(
    tb_estq[empresa], AV$6,
    tb_estq[Data da venda / reserva], "&gt;=" &amp; $A98,
    tb_estq[Data da venda / reserva], "&lt;"  &amp; EOMONTH($A98,0) + 1
)</f>
        <v>0</v>
      </c>
      <c r="AW98" s="123">
        <f ca="1">SUMIFS(tb_rec_uni[2028-12-01],
INDIRECT("tb_rec_uni[natureza]"),"pro.soluto",
INDIRECT("tb_rec_uni[empresa]"),AW$6)</f>
        <v>0</v>
      </c>
      <c r="AX98" s="123">
        <f ca="1">SUMIFS(tb_rec_uni[2028-12-01],
INDIRECT("tb_rec_uni[natureza]"),"repasse.cef.obra",
INDIRECT("tb_rec_uni[empresa]"),AX$6)</f>
        <v>0</v>
      </c>
      <c r="AY98" s="126">
        <f ca="1">SUMIFS(tb_rec_uni[2028-12-01],
INDIRECT("tb_rec_uni[natureza]"),"repasse.cef.terreno",
INDIRECT("tb_rec_uni[empresa]"),AY$6)</f>
        <v>0</v>
      </c>
      <c r="AZ98" s="127"/>
      <c r="BA98" s="123">
        <f ca="1">SUMIFS(tb_rec_uni[2028-12-01],
INDIRECT("tb_rec_uni[natureza]"),"taxa.extra",
INDIRECT("tb_rec_uni[empresa]"),BA$6)</f>
        <v>0</v>
      </c>
      <c r="BB98" s="111"/>
      <c r="BC98" s="111">
        <f ca="1">SUMIFS(
  m.vb[valor],
  m.vb[nucleo],$AV$1,
  m.vb[variavel],BC$7,
  m.vb[mes],$A98
)</f>
        <v>0</v>
      </c>
      <c r="BD98" s="111">
        <f ca="1">SUMIFS(
  m.vb[valor],
  m.vb[nucleo],$AV$1,
  m.vb[variavel],BD$7,
  m.vb[mes],$A98
)</f>
        <v>0</v>
      </c>
      <c r="BE98" s="111">
        <f ca="1">SUMIFS(
  m.vb[valor],
  m.vb[nucleo],$AV$1,
  m.vb[variavel],BE$7,
  m.vb[mes],$A98
)</f>
        <v>0</v>
      </c>
      <c r="BF98" s="111">
        <f ca="1">SUMIFS(
  m.vb[valor],
  m.vb[nucleo],$AV$1,
  m.vb[variavel],BF$7,
  m.vb[mes],$A98
)</f>
        <v>0</v>
      </c>
      <c r="BG98" s="111">
        <f ca="1">SUMIFS(
  m.vb[valor],
  m.vb[nucleo],$AV$1,
  m.vb[variavel],BG$7,
  m.vb[mes],$A98
)</f>
        <v>0</v>
      </c>
      <c r="BH98" s="122">
        <f>COUNTIFS(
    tb_estq[empresa], BH$6,
    tb_estq[Data da venda / reserva], "&gt;=" &amp; $A98,
    tb_estq[Data da venda / reserva], "&lt;"  &amp; EOMONTH($A98,0) + 1
)</f>
        <v>0</v>
      </c>
      <c r="BI98" s="123">
        <f ca="1">SUMIFS(tb_rec_uni[2028-12-01],
INDIRECT("tb_rec_uni[natureza]"),"pro.soluto",
INDIRECT("tb_rec_uni[empresa]"),BI$6)</f>
        <v>0</v>
      </c>
      <c r="BJ98" s="127"/>
      <c r="BK98" s="123">
        <f ca="1">SUMIFS(tb_rec_uni[2028-12-01],
INDIRECT("tb_rec_uni[natureza]"),"taxa.extra",
INDIRECT("tb_rec_uni[empresa]"),BK$6)</f>
        <v>0</v>
      </c>
      <c r="BL98" s="111"/>
      <c r="BM98" s="111">
        <f ca="1">SUMIFS(
  m.vb[valor],
  m.vb[nucleo],$BH$1,
  m.vb[variavel],BM$7,
  m.vb[mes],$A98
)</f>
        <v>0</v>
      </c>
      <c r="BN98" s="111">
        <f ca="1">SUMIFS(
  m.vb[valor],
  m.vb[nucleo],$BH$1,
  m.vb[variavel],BN$7,
  m.vb[mes],$A98
)</f>
        <v>0</v>
      </c>
      <c r="BO98" s="111">
        <f ca="1">SUMIFS(
  m.vb[valor],
  m.vb[nucleo],$BH$1,
  m.vb[variavel],BO$7,
  m.vb[mes],$A98
)</f>
        <v>0</v>
      </c>
      <c r="BP98" s="111">
        <f ca="1">SUMIFS(
  m.vb[valor],
  m.vb[nucleo],$BH$1,
  m.vb[variavel],BP$7,
  m.vb[mes],$A98
)</f>
        <v>0</v>
      </c>
      <c r="BQ98" s="111">
        <f ca="1">SUMIFS(
  m.vb[valor],
  m.vb[nucleo],$BH$1,
  m.vb[variavel],BQ$7,
  m.vb[mes],$A98
)</f>
        <v>0</v>
      </c>
      <c r="BR98" s="122">
        <f>COUNTIFS(
    tb_estq[empresa], BR$6,
    tb_estq[Data da venda / reserva], "&gt;=" &amp; $A98,
    tb_estq[Data da venda / reserva], "&lt;"  &amp; EOMONTH($A98,0) + 1
)</f>
        <v>0</v>
      </c>
      <c r="BS98" s="123">
        <f ca="1">SUMIFS(tb_rec_uni[2028-12-01],
INDIRECT("tb_rec_uni[natureza]"),"pro.soluto",
INDIRECT("tb_rec_uni[empresa]"),BS$6)</f>
        <v>0</v>
      </c>
      <c r="BT98" s="127">
        <f ca="1">SUMIFS(tb_rec_uni[2028-12-01],
INDIRECT("tb_rec_uni[natureza]"),"parcela.fin.total.ik",
INDIRECT("tb_rec_uni[empresa]"),BT$6)</f>
        <v>0</v>
      </c>
      <c r="BU98" s="123">
        <f ca="1">SUMIFS(tb_rec_uni[2028-12-01],
INDIRECT("tb_rec_uni[natureza]"),"taxa.extra",
INDIRECT("tb_rec_uni[empresa]"),BU$6)</f>
        <v>0</v>
      </c>
      <c r="BV98" s="111"/>
      <c r="BW98" s="111">
        <f ca="1">SUMIFS(
  m.vb[valor],
  m.vb[nucleo],$BR$1,
  m.vb[variavel],BW$7,
  m.vb[mes],$A98
)</f>
        <v>0</v>
      </c>
      <c r="BX98" s="111">
        <f ca="1">SUMIFS(
  m.vb[valor],
  m.vb[nucleo],$BR$1,
  m.vb[variavel],BX$7,
  m.vb[mes],$A98
)</f>
        <v>0</v>
      </c>
      <c r="BY98" s="111">
        <f ca="1">SUMIFS(
  m.vb[valor],
  m.vb[nucleo],$BR$1,
  m.vb[variavel],BY$7,
  m.vb[mes],$A98
)</f>
        <v>0</v>
      </c>
      <c r="BZ98" s="111">
        <f ca="1">SUMIFS(
  m.vb[valor],
  m.vb[nucleo],$BR$1,
  m.vb[variavel],BZ$7,
  m.vb[mes],$A98
)</f>
        <v>0</v>
      </c>
      <c r="CA98" s="111">
        <f ca="1">SUMIFS(
  m.vb[valor],
  m.vb[nucleo],$BR$1,
  m.vb[variavel],CA$7,
  m.vb[mes],$A98
)</f>
        <v>0</v>
      </c>
      <c r="CB98" s="122">
        <f>COUNTIFS(
    tb_estq[empresa], CB$6,
    tb_estq[Data da venda / reserva], "&gt;=" &amp; $A98,
    tb_estq[Data da venda / reserva], "&lt;"  &amp; EOMONTH($A98,0) + 1
)</f>
        <v>0</v>
      </c>
      <c r="CC98" s="123">
        <f ca="1">SUMIFS(tb_rec_uni[2028-12-01],
INDIRECT("tb_rec_uni[natureza]"),"pro.soluto",
INDIRECT("tb_rec_uni[empresa]"),CC$6)</f>
        <v>0</v>
      </c>
      <c r="CD98" s="123">
        <f ca="1">SUMIFS(tb_rec_uni[2028-12-01],
INDIRECT("tb_rec_uni[natureza]"),"repasse.cef.obra",
INDIRECT("tb_rec_uni[empresa]"),CD$6)</f>
        <v>0</v>
      </c>
      <c r="CE98" s="126">
        <f ca="1">SUMIFS(tb_rec_uni[2028-12-01],
INDIRECT("tb_rec_uni[natureza]"),"repasse.cef.terreno",
INDIRECT("tb_rec_uni[empresa]"),CE$6)</f>
        <v>0</v>
      </c>
      <c r="CF98" s="127"/>
      <c r="CG98" s="123">
        <f ca="1">SUMIFS(tb_rec_uni[2028-12-01],
INDIRECT("tb_rec_uni[natureza]"),"taxa.extra",
INDIRECT("tb_rec_uni[empresa]"),CG$6)</f>
        <v>0</v>
      </c>
      <c r="CH98" s="111"/>
      <c r="CI98" s="111">
        <f ca="1">SUMIFS(
  m.vb[valor],
  m.vb[nucleo],$CB$1,
  m.vb[variavel],CI$7,
  m.vb[mes],$A98
)</f>
        <v>0</v>
      </c>
      <c r="CJ98" s="111">
        <f ca="1">SUMIFS(
  m.vb[valor],
  m.vb[nucleo],$CB$1,
  m.vb[variavel],CJ$7,
  m.vb[mes],$A98
)</f>
        <v>0</v>
      </c>
      <c r="CK98" s="111">
        <f ca="1">SUMIFS(
  m.vb[valor],
  m.vb[nucleo],$CB$1,
  m.vb[variavel],CK$7,
  m.vb[mes],$A98
)</f>
        <v>0</v>
      </c>
      <c r="CL98" s="111">
        <f ca="1">SUMIFS(
  m.vb[valor],
  m.vb[nucleo],$CB$1,
  m.vb[variavel],CL$7,
  m.vb[mes],$A98
)</f>
        <v>0</v>
      </c>
      <c r="CM98" s="111">
        <f ca="1">SUMIFS(
  m.vb[valor],
  m.vb[nucleo],$CB$1,
  m.vb[variavel],CM$7,
  m.vb[mes],$A98
)</f>
        <v>0</v>
      </c>
      <c r="CN98" s="122">
        <f>COUNTIFS(
    tb_estq[empresa], CN$6,
    tb_estq[Data da venda / reserva], "&gt;=" &amp; $A98,
    tb_estq[Data da venda / reserva], "&lt;"  &amp; EOMONTH($A98,0) + 1
)</f>
        <v>0</v>
      </c>
      <c r="CO98" s="123">
        <f ca="1">SUMIFS(tb_rec_uni[2028-12-01],
INDIRECT("tb_rec_uni[natureza]"),"pro.soluto",
INDIRECT("tb_rec_uni[empresa]"),CO$6)</f>
        <v>0</v>
      </c>
      <c r="CP98" s="123">
        <f ca="1">SUMIFS(tb_rec_uni[2028-12-01],
INDIRECT("tb_rec_uni[natureza]"),"repasse.cef.obra",
INDIRECT("tb_rec_uni[empresa]"),CP$6)</f>
        <v>0</v>
      </c>
      <c r="CQ98" s="126">
        <f ca="1">SUMIFS(tb_rec_uni[2028-12-01],
INDIRECT("tb_rec_uni[natureza]"),"repasse.cef.terreno",
INDIRECT("tb_rec_uni[empresa]"),CQ$6)</f>
        <v>0</v>
      </c>
      <c r="CR98" s="127"/>
      <c r="CS98" s="123">
        <f ca="1">SUMIFS(tb_rec_uni[2028-12-01],
INDIRECT("tb_rec_uni[natureza]"),"taxa.extra",
INDIRECT("tb_rec_uni[empresa]"),CS$6)</f>
        <v>0</v>
      </c>
      <c r="CT98" s="111"/>
      <c r="CU98" s="111">
        <f ca="1">SUMIFS(
  m.vb[valor],
  m.vb[nucleo],$CN$1,
  m.vb[variavel],CU$7,
  m.vb[mes],$A98
)</f>
        <v>0</v>
      </c>
      <c r="CV98" s="111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11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11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4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21">
        <v>47119</v>
      </c>
      <c r="B99" s="122">
        <f>COUNTIFS(
    tb_estq[empresa], B$6,
    tb_estq[Data da venda / reserva], "&gt;=" &amp; $A99,
    tb_estq[Data da venda / reserva], "&lt;"  &amp; EOMONTH($A99,0) + 1
)</f>
        <v>0</v>
      </c>
      <c r="C99" s="123">
        <f ca="1">SUMIFS(tb_rec_uni[2029-01-01],
INDIRECT("tb_rec_uni[natureza]"),"pro.soluto",
INDIRECT("tb_rec_uni[empresa]"),C$6)</f>
        <v>0</v>
      </c>
      <c r="D99" s="123">
        <f ca="1">SUMIFS(tb_rec_uni[2029-01-01],
INDIRECT("tb_rec_uni[natureza]"),"repasse.cef.obra",
INDIRECT("tb_rec_uni[empresa]"),D$6)</f>
        <v>0</v>
      </c>
      <c r="E99" s="123">
        <f ca="1">SUMIFS(tb_rec_uni[2029-01-01],
INDIRECT("tb_rec_uni[natureza]"),"repasse.cef.terreno",
INDIRECT("tb_rec_uni[empresa]"),E$6)</f>
        <v>0</v>
      </c>
      <c r="F99" s="127"/>
      <c r="G99" s="123">
        <f ca="1">SUMIFS(tb_rec_uni[2029-01-01],
INDIRECT("tb_rec_uni[natureza]"),"taxa.extra",
INDIRECT("tb_rec_uni[empresa]"),G$6)</f>
        <v>0</v>
      </c>
      <c r="H99" s="111"/>
      <c r="I99" s="111">
        <f ca="1">SUMIFS(
  m.vb[valor],
  m.vb[nucleo],$B$1,
  m.vb[variavel],I$7,
  m.vb[mes],$A99
)</f>
        <v>0</v>
      </c>
      <c r="J99" s="111">
        <f ca="1">SUMIFS(
  m.vb[valor],
  m.vb[nucleo],$B$1,
  m.vb[variavel],J$7,
  m.vb[mes],$A99
)</f>
        <v>0</v>
      </c>
      <c r="K99" s="111">
        <f ca="1">SUMIFS(
  m.vb[valor],
  m.vb[nucleo],$B$1,
  m.vb[variavel],K$7,
  m.vb[mes],$A99
)</f>
        <v>0</v>
      </c>
      <c r="L99" s="111">
        <f ca="1">SUMIFS(
  m.vb[valor],
  m.vb[nucleo],$B$1,
  m.vb[variavel],L$7,
  m.vb[mes],$A99
)</f>
        <v>0</v>
      </c>
      <c r="M99" s="111">
        <f ca="1">SUMIFS(
  m.vb[valor],
  m.vb[nucleo],$B$1,
  m.vb[variavel],M$7,
  m.vb[mes],$A99
)</f>
        <v>0</v>
      </c>
      <c r="N99" s="122">
        <f>COUNTIFS(
    tb_estq[empresa], N$6,
    tb_estq[Data da venda / reserva], "&gt;=" &amp; $A99,
    tb_estq[Data da venda / reserva], "&lt;"  &amp; EOMONTH($A99,0) + 1
)</f>
        <v>0</v>
      </c>
      <c r="O99" s="123">
        <f ca="1">SUMIFS(tb_rec_uni[2029-01-01],
INDIRECT("tb_rec_uni[natureza]"),"pro.soluto",
INDIRECT("tb_rec_uni[empresa]"),O$6)</f>
        <v>0</v>
      </c>
      <c r="P99" s="123">
        <f ca="1">SUMIFS(tb_rec_uni[2029-01-01],
INDIRECT("tb_rec_uni[natureza]"),"repasse.cef.obra",
INDIRECT("tb_rec_uni[empresa]"),P$6)</f>
        <v>0</v>
      </c>
      <c r="Q99" s="123">
        <f ca="1">SUMIFS(tb_rec_uni[2029-01-01],
INDIRECT("tb_rec_uni[natureza]"),"repasse.cef.terreno",
INDIRECT("tb_rec_uni[empresa]"),Q$6)</f>
        <v>0</v>
      </c>
      <c r="R99" s="127"/>
      <c r="S99" s="123">
        <f ca="1">SUMIFS(tb_rec_uni[2029-01-01],
INDIRECT("tb_rec_uni[natureza]"),"taxa.extra",
INDIRECT("tb_rec_uni[empresa]"),S$6)</f>
        <v>0</v>
      </c>
      <c r="T99" s="111"/>
      <c r="U99" s="111">
        <f ca="1">SUMIFS(
  m.vb[valor],
  m.vb[nucleo],$N$1,
  m.vb[variavel],U$7,
  m.vb[mes],$A99
)</f>
        <v>0</v>
      </c>
      <c r="V99" s="111">
        <f ca="1">SUMIFS(
  m.vb[valor],
  m.vb[nucleo],$N$1,
  m.vb[variavel],V$7,
  m.vb[mes],$A99
)</f>
        <v>0</v>
      </c>
      <c r="W99" s="111">
        <f ca="1">SUMIFS(
  m.vb[valor],
  m.vb[nucleo],$N$1,
  m.vb[variavel],W$7,
  m.vb[mes],$A99
)</f>
        <v>0</v>
      </c>
      <c r="X99" s="111">
        <f ca="1">SUMIFS(
  m.vb[valor],
  m.vb[nucleo],$N$1,
  m.vb[variavel],X$7,
  m.vb[mes],$A99
)</f>
        <v>0</v>
      </c>
      <c r="Y99" s="111">
        <f ca="1">SUMIFS(
  m.vb[valor],
  m.vb[nucleo],$N$1,
  m.vb[variavel],Y$7,
  m.vb[mes],$A99
)</f>
        <v>0</v>
      </c>
      <c r="Z99" s="122">
        <f>COUNTIFS(
    tb_estq[empresa], Z$6,
    tb_estq[Data da venda / reserva], "&gt;=" &amp; $A99,
    tb_estq[Data da venda / reserva], "&lt;"  &amp; EOMONTH($A99,0) + 1
)</f>
        <v>0</v>
      </c>
      <c r="AA99" s="123">
        <f ca="1">SUMIFS(tb_rec_uni[2029-01-01],
INDIRECT("tb_rec_uni[natureza]"),"pro.soluto",
INDIRECT("tb_rec_uni[empresa]"),AA$6)</f>
        <v>0</v>
      </c>
      <c r="AB99" s="127">
        <f ca="1">SUMIFS(tb_rec_uni[2029-01-01],
INDIRECT("tb_rec_uni[natureza]"),"parcela.fin.total.ik",
INDIRECT("tb_rec_uni[empresa]"),AB$6)</f>
        <v>0</v>
      </c>
      <c r="AC99" s="123">
        <f ca="1">SUMIFS(tb_rec_uni[2029-01-01],
INDIRECT("tb_rec_uni[natureza]"),"taxa.extra",
INDIRECT("tb_rec_uni[empresa]"),AC$6)</f>
        <v>0</v>
      </c>
      <c r="AD99" s="111"/>
      <c r="AE99" s="111">
        <f ca="1">SUMIFS(
  m.vb[valor],
  m.vb[nucleo],$Z$1,
  m.vb[variavel],AE$7,
  m.vb[mes],$A99
)</f>
        <v>0</v>
      </c>
      <c r="AF99" s="111">
        <f ca="1">SUMIFS(
  m.vb[valor],
  m.vb[nucleo],$Z$1,
  m.vb[variavel],AF$7,
  m.vb[mes],$A99
)</f>
        <v>0</v>
      </c>
      <c r="AG99" s="111">
        <f ca="1">SUMIFS(
  m.vb[valor],
  m.vb[nucleo],$Z$1,
  m.vb[variavel],AG$7,
  m.vb[mes],$A99
)</f>
        <v>0</v>
      </c>
      <c r="AH99" s="111">
        <f ca="1">SUMIFS(
  m.vb[valor],
  m.vb[nucleo],$Z$1,
  m.vb[variavel],AH$7,
  m.vb[mes],$A99
)</f>
        <v>0</v>
      </c>
      <c r="AI99" s="111">
        <f ca="1">SUMIFS(
  m.vb[valor],
  m.vb[nucleo],$Z$1,
  m.vb[variavel],AI$7,
  m.vb[mes],$A99
)</f>
        <v>0</v>
      </c>
      <c r="AJ99" s="122">
        <f>COUNTIFS(
    tb_estq[empresa], AJ$6,
    tb_estq[Data da venda / reserva], "&gt;=" &amp; $A99,
    tb_estq[Data da venda / reserva], "&lt;"  &amp; EOMONTH($A99,0) + 1
)</f>
        <v>0</v>
      </c>
      <c r="AK99" s="123">
        <f ca="1">SUMIFS(tb_rec_uni[2029-01-01],
INDIRECT("tb_rec_uni[natureza]"),"pro.soluto",
INDIRECT("tb_rec_uni[empresa]"),AK$6)</f>
        <v>0</v>
      </c>
      <c r="AL99" s="123">
        <f ca="1">SUMIFS(tb_rec_uni[2029-01-01],
INDIRECT("tb_rec_uni[natureza]"),"repasse.cef.obra",
INDIRECT("tb_rec_uni[empresa]"),AL$6)</f>
        <v>0</v>
      </c>
      <c r="AM99" s="126">
        <f ca="1">SUMIFS(tb_rec_uni[2029-01-01],
INDIRECT("tb_rec_uni[natureza]"),"repasse.cef.terreno",
INDIRECT("tb_rec_uni[empresa]"),AM$6)</f>
        <v>0</v>
      </c>
      <c r="AN99" s="127"/>
      <c r="AO99" s="123">
        <f ca="1">SUMIFS(tb_rec_uni[2029-01-01],
INDIRECT("tb_rec_uni[natureza]"),"taxa.extra",
INDIRECT("tb_rec_uni[empresa]"),AO$6)</f>
        <v>0</v>
      </c>
      <c r="AP99" s="111"/>
      <c r="AQ99" s="111">
        <f ca="1">SUMIFS(
  m.vb[valor],
  m.vb[nucleo],$AJ$1,
  m.vb[variavel],AQ$7,
  m.vb[mes],$A99
)</f>
        <v>0</v>
      </c>
      <c r="AR99" s="111">
        <f ca="1">SUMIFS(
  m.vb[valor],
  m.vb[nucleo],$AJ$1,
  m.vb[variavel],AR$7,
  m.vb[mes],$A99
)</f>
        <v>0</v>
      </c>
      <c r="AS99" s="111">
        <f ca="1">SUMIFS(
  m.vb[valor],
  m.vb[nucleo],$AJ$1,
  m.vb[variavel],AS$7,
  m.vb[mes],$A99
)</f>
        <v>0</v>
      </c>
      <c r="AT99" s="111">
        <f ca="1">SUMIFS(
  m.vb[valor],
  m.vb[nucleo],$AJ$1,
  m.vb[variavel],AT$7,
  m.vb[mes],$A99
)</f>
        <v>0</v>
      </c>
      <c r="AU99" s="111">
        <f ca="1">SUMIFS(
  m.vb[valor],
  m.vb[nucleo],$AJ$1,
  m.vb[variavel],AU$7,
  m.vb[mes],$A99
)</f>
        <v>0</v>
      </c>
      <c r="AV99" s="122">
        <f>COUNTIFS(
    tb_estq[empresa], AV$6,
    tb_estq[Data da venda / reserva], "&gt;=" &amp; $A99,
    tb_estq[Data da venda / reserva], "&lt;"  &amp; EOMONTH($A99,0) + 1
)</f>
        <v>0</v>
      </c>
      <c r="AW99" s="123">
        <f ca="1">SUMIFS(tb_rec_uni[2029-01-01],
INDIRECT("tb_rec_uni[natureza]"),"pro.soluto",
INDIRECT("tb_rec_uni[empresa]"),AW$6)</f>
        <v>0</v>
      </c>
      <c r="AX99" s="123">
        <f ca="1">SUMIFS(tb_rec_uni[2029-01-01],
INDIRECT("tb_rec_uni[natureza]"),"repasse.cef.obra",
INDIRECT("tb_rec_uni[empresa]"),AX$6)</f>
        <v>0</v>
      </c>
      <c r="AY99" s="126">
        <f ca="1">SUMIFS(tb_rec_uni[2029-01-01],
INDIRECT("tb_rec_uni[natureza]"),"repasse.cef.terreno",
INDIRECT("tb_rec_uni[empresa]"),AY$6)</f>
        <v>0</v>
      </c>
      <c r="AZ99" s="127"/>
      <c r="BA99" s="123">
        <f ca="1">SUMIFS(tb_rec_uni[2029-01-01],
INDIRECT("tb_rec_uni[natureza]"),"taxa.extra",
INDIRECT("tb_rec_uni[empresa]"),BA$6)</f>
        <v>0</v>
      </c>
      <c r="BB99" s="111"/>
      <c r="BC99" s="111">
        <f ca="1">SUMIFS(
  m.vb[valor],
  m.vb[nucleo],$AV$1,
  m.vb[variavel],BC$7,
  m.vb[mes],$A99
)</f>
        <v>0</v>
      </c>
      <c r="BD99" s="111">
        <f ca="1">SUMIFS(
  m.vb[valor],
  m.vb[nucleo],$AV$1,
  m.vb[variavel],BD$7,
  m.vb[mes],$A99
)</f>
        <v>0</v>
      </c>
      <c r="BE99" s="111">
        <f ca="1">SUMIFS(
  m.vb[valor],
  m.vb[nucleo],$AV$1,
  m.vb[variavel],BE$7,
  m.vb[mes],$A99
)</f>
        <v>0</v>
      </c>
      <c r="BF99" s="111">
        <f ca="1">SUMIFS(
  m.vb[valor],
  m.vb[nucleo],$AV$1,
  m.vb[variavel],BF$7,
  m.vb[mes],$A99
)</f>
        <v>0</v>
      </c>
      <c r="BG99" s="111">
        <f ca="1">SUMIFS(
  m.vb[valor],
  m.vb[nucleo],$AV$1,
  m.vb[variavel],BG$7,
  m.vb[mes],$A99
)</f>
        <v>0</v>
      </c>
      <c r="BH99" s="122">
        <f>COUNTIFS(
    tb_estq[empresa], BH$6,
    tb_estq[Data da venda / reserva], "&gt;=" &amp; $A99,
    tb_estq[Data da venda / reserva], "&lt;"  &amp; EOMONTH($A99,0) + 1
)</f>
        <v>0</v>
      </c>
      <c r="BI99" s="123">
        <f ca="1">SUMIFS(tb_rec_uni[2029-01-01],
INDIRECT("tb_rec_uni[natureza]"),"pro.soluto",
INDIRECT("tb_rec_uni[empresa]"),BI$6)</f>
        <v>0</v>
      </c>
      <c r="BJ99" s="127"/>
      <c r="BK99" s="123">
        <f ca="1">SUMIFS(tb_rec_uni[2029-01-01],
INDIRECT("tb_rec_uni[natureza]"),"taxa.extra",
INDIRECT("tb_rec_uni[empresa]"),BK$6)</f>
        <v>0</v>
      </c>
      <c r="BL99" s="111"/>
      <c r="BM99" s="111">
        <f ca="1">SUMIFS(
  m.vb[valor],
  m.vb[nucleo],$BH$1,
  m.vb[variavel],BM$7,
  m.vb[mes],$A99
)</f>
        <v>0</v>
      </c>
      <c r="BN99" s="111">
        <f ca="1">SUMIFS(
  m.vb[valor],
  m.vb[nucleo],$BH$1,
  m.vb[variavel],BN$7,
  m.vb[mes],$A99
)</f>
        <v>0</v>
      </c>
      <c r="BO99" s="111">
        <f ca="1">SUMIFS(
  m.vb[valor],
  m.vb[nucleo],$BH$1,
  m.vb[variavel],BO$7,
  m.vb[mes],$A99
)</f>
        <v>0</v>
      </c>
      <c r="BP99" s="111">
        <f ca="1">SUMIFS(
  m.vb[valor],
  m.vb[nucleo],$BH$1,
  m.vb[variavel],BP$7,
  m.vb[mes],$A99
)</f>
        <v>0</v>
      </c>
      <c r="BQ99" s="111">
        <f ca="1">SUMIFS(
  m.vb[valor],
  m.vb[nucleo],$BH$1,
  m.vb[variavel],BQ$7,
  m.vb[mes],$A99
)</f>
        <v>0</v>
      </c>
      <c r="BR99" s="122">
        <f>COUNTIFS(
    tb_estq[empresa], BR$6,
    tb_estq[Data da venda / reserva], "&gt;=" &amp; $A99,
    tb_estq[Data da venda / reserva], "&lt;"  &amp; EOMONTH($A99,0) + 1
)</f>
        <v>0</v>
      </c>
      <c r="BS99" s="123">
        <f ca="1">SUMIFS(tb_rec_uni[2029-01-01],
INDIRECT("tb_rec_uni[natureza]"),"pro.soluto",
INDIRECT("tb_rec_uni[empresa]"),BS$6)</f>
        <v>0</v>
      </c>
      <c r="BT99" s="127">
        <f ca="1">SUMIFS(tb_rec_uni[2029-01-01],
INDIRECT("tb_rec_uni[natureza]"),"parcela.fin.total.ik",
INDIRECT("tb_rec_uni[empresa]"),BT$6)</f>
        <v>0</v>
      </c>
      <c r="BU99" s="123">
        <f ca="1">SUMIFS(tb_rec_uni[2029-01-01],
INDIRECT("tb_rec_uni[natureza]"),"taxa.extra",
INDIRECT("tb_rec_uni[empresa]"),BU$6)</f>
        <v>0</v>
      </c>
      <c r="BV99" s="111"/>
      <c r="BW99" s="111">
        <f ca="1">SUMIFS(
  m.vb[valor],
  m.vb[nucleo],$BR$1,
  m.vb[variavel],BW$7,
  m.vb[mes],$A99
)</f>
        <v>0</v>
      </c>
      <c r="BX99" s="111">
        <f ca="1">SUMIFS(
  m.vb[valor],
  m.vb[nucleo],$BR$1,
  m.vb[variavel],BX$7,
  m.vb[mes],$A99
)</f>
        <v>0</v>
      </c>
      <c r="BY99" s="111">
        <f ca="1">SUMIFS(
  m.vb[valor],
  m.vb[nucleo],$BR$1,
  m.vb[variavel],BY$7,
  m.vb[mes],$A99
)</f>
        <v>0</v>
      </c>
      <c r="BZ99" s="111">
        <f ca="1">SUMIFS(
  m.vb[valor],
  m.vb[nucleo],$BR$1,
  m.vb[variavel],BZ$7,
  m.vb[mes],$A99
)</f>
        <v>0</v>
      </c>
      <c r="CA99" s="111">
        <f ca="1">SUMIFS(
  m.vb[valor],
  m.vb[nucleo],$BR$1,
  m.vb[variavel],CA$7,
  m.vb[mes],$A99
)</f>
        <v>0</v>
      </c>
      <c r="CB99" s="122">
        <f>COUNTIFS(
    tb_estq[empresa], CB$6,
    tb_estq[Data da venda / reserva], "&gt;=" &amp; $A99,
    tb_estq[Data da venda / reserva], "&lt;"  &amp; EOMONTH($A99,0) + 1
)</f>
        <v>0</v>
      </c>
      <c r="CC99" s="123">
        <f ca="1">SUMIFS(tb_rec_uni[2029-01-01],
INDIRECT("tb_rec_uni[natureza]"),"pro.soluto",
INDIRECT("tb_rec_uni[empresa]"),CC$6)</f>
        <v>0</v>
      </c>
      <c r="CD99" s="123">
        <f ca="1">SUMIFS(tb_rec_uni[2029-01-01],
INDIRECT("tb_rec_uni[natureza]"),"repasse.cef.obra",
INDIRECT("tb_rec_uni[empresa]"),CD$6)</f>
        <v>0</v>
      </c>
      <c r="CE99" s="126">
        <f ca="1">SUMIFS(tb_rec_uni[2029-01-01],
INDIRECT("tb_rec_uni[natureza]"),"repasse.cef.terreno",
INDIRECT("tb_rec_uni[empresa]"),CE$6)</f>
        <v>0</v>
      </c>
      <c r="CF99" s="127"/>
      <c r="CG99" s="123">
        <f ca="1">SUMIFS(tb_rec_uni[2029-01-01],
INDIRECT("tb_rec_uni[natureza]"),"taxa.extra",
INDIRECT("tb_rec_uni[empresa]"),CG$6)</f>
        <v>0</v>
      </c>
      <c r="CH99" s="111"/>
      <c r="CI99" s="111">
        <f ca="1">SUMIFS(
  m.vb[valor],
  m.vb[nucleo],$CB$1,
  m.vb[variavel],CI$7,
  m.vb[mes],$A99
)</f>
        <v>0</v>
      </c>
      <c r="CJ99" s="111">
        <f ca="1">SUMIFS(
  m.vb[valor],
  m.vb[nucleo],$CB$1,
  m.vb[variavel],CJ$7,
  m.vb[mes],$A99
)</f>
        <v>0</v>
      </c>
      <c r="CK99" s="111">
        <f ca="1">SUMIFS(
  m.vb[valor],
  m.vb[nucleo],$CB$1,
  m.vb[variavel],CK$7,
  m.vb[mes],$A99
)</f>
        <v>0</v>
      </c>
      <c r="CL99" s="111">
        <f ca="1">SUMIFS(
  m.vb[valor],
  m.vb[nucleo],$CB$1,
  m.vb[variavel],CL$7,
  m.vb[mes],$A99
)</f>
        <v>0</v>
      </c>
      <c r="CM99" s="111">
        <f ca="1">SUMIFS(
  m.vb[valor],
  m.vb[nucleo],$CB$1,
  m.vb[variavel],CM$7,
  m.vb[mes],$A99
)</f>
        <v>0</v>
      </c>
      <c r="CN99" s="122">
        <f>COUNTIFS(
    tb_estq[empresa], CN$6,
    tb_estq[Data da venda / reserva], "&gt;=" &amp; $A99,
    tb_estq[Data da venda / reserva], "&lt;"  &amp; EOMONTH($A99,0) + 1
)</f>
        <v>0</v>
      </c>
      <c r="CO99" s="123">
        <f ca="1">SUMIFS(tb_rec_uni[2029-01-01],
INDIRECT("tb_rec_uni[natureza]"),"pro.soluto",
INDIRECT("tb_rec_uni[empresa]"),CO$6)</f>
        <v>0</v>
      </c>
      <c r="CP99" s="123">
        <f ca="1">SUMIFS(tb_rec_uni[2029-01-01],
INDIRECT("tb_rec_uni[natureza]"),"repasse.cef.obra",
INDIRECT("tb_rec_uni[empresa]"),CP$6)</f>
        <v>0</v>
      </c>
      <c r="CQ99" s="126">
        <f ca="1">SUMIFS(tb_rec_uni[2029-01-01],
INDIRECT("tb_rec_uni[natureza]"),"repasse.cef.terreno",
INDIRECT("tb_rec_uni[empresa]"),CQ$6)</f>
        <v>0</v>
      </c>
      <c r="CR99" s="127"/>
      <c r="CS99" s="123">
        <f ca="1">SUMIFS(tb_rec_uni[2029-01-01],
INDIRECT("tb_rec_uni[natureza]"),"taxa.extra",
INDIRECT("tb_rec_uni[empresa]"),CS$6)</f>
        <v>0</v>
      </c>
      <c r="CT99" s="111"/>
      <c r="CU99" s="111">
        <f ca="1">SUMIFS(
  m.vb[valor],
  m.vb[nucleo],$CN$1,
  m.vb[variavel],CU$7,
  m.vb[mes],$A99
)</f>
        <v>0</v>
      </c>
      <c r="CV99" s="111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11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11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4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21">
        <v>47150</v>
      </c>
      <c r="B100" s="122">
        <f>COUNTIFS(
    tb_estq[empresa], B$6,
    tb_estq[Data da venda / reserva], "&gt;=" &amp; $A100,
    tb_estq[Data da venda / reserva], "&lt;"  &amp; EOMONTH($A100,0) + 1
)</f>
        <v>0</v>
      </c>
      <c r="C100" s="123">
        <f ca="1">SUMIFS(tb_rec_uni[2029-02-01],
INDIRECT("tb_rec_uni[natureza]"),"pro.soluto",
INDIRECT("tb_rec_uni[empresa]"),C$6)</f>
        <v>0</v>
      </c>
      <c r="D100" s="123">
        <f ca="1">SUMIFS(tb_rec_uni[2029-02-01],
INDIRECT("tb_rec_uni[natureza]"),"repasse.cef.obra",
INDIRECT("tb_rec_uni[empresa]"),D$6)</f>
        <v>0</v>
      </c>
      <c r="E100" s="123">
        <f ca="1">SUMIFS(tb_rec_uni[2029-02-01],
INDIRECT("tb_rec_uni[natureza]"),"repasse.cef.terreno",
INDIRECT("tb_rec_uni[empresa]"),E$6)</f>
        <v>0</v>
      </c>
      <c r="F100" s="127"/>
      <c r="G100" s="123">
        <f ca="1">SUMIFS(tb_rec_uni[2029-02-01],
INDIRECT("tb_rec_uni[natureza]"),"taxa.extra",
INDIRECT("tb_rec_uni[empresa]"),G$6)</f>
        <v>0</v>
      </c>
      <c r="H100" s="111"/>
      <c r="I100" s="111">
        <f ca="1">SUMIFS(
  m.vb[valor],
  m.vb[nucleo],$B$1,
  m.vb[variavel],I$7,
  m.vb[mes],$A100
)</f>
        <v>0</v>
      </c>
      <c r="J100" s="111">
        <f ca="1">SUMIFS(
  m.vb[valor],
  m.vb[nucleo],$B$1,
  m.vb[variavel],J$7,
  m.vb[mes],$A100
)</f>
        <v>0</v>
      </c>
      <c r="K100" s="111">
        <f ca="1">SUMIFS(
  m.vb[valor],
  m.vb[nucleo],$B$1,
  m.vb[variavel],K$7,
  m.vb[mes],$A100
)</f>
        <v>0</v>
      </c>
      <c r="L100" s="111">
        <f ca="1">SUMIFS(
  m.vb[valor],
  m.vb[nucleo],$B$1,
  m.vb[variavel],L$7,
  m.vb[mes],$A100
)</f>
        <v>0</v>
      </c>
      <c r="M100" s="111">
        <f ca="1">SUMIFS(
  m.vb[valor],
  m.vb[nucleo],$B$1,
  m.vb[variavel],M$7,
  m.vb[mes],$A100
)</f>
        <v>0</v>
      </c>
      <c r="N100" s="122">
        <f>COUNTIFS(
    tb_estq[empresa], N$6,
    tb_estq[Data da venda / reserva], "&gt;=" &amp; $A100,
    tb_estq[Data da venda / reserva], "&lt;"  &amp; EOMONTH($A100,0) + 1
)</f>
        <v>0</v>
      </c>
      <c r="O100" s="123">
        <f ca="1">SUMIFS(tb_rec_uni[2029-02-01],
INDIRECT("tb_rec_uni[natureza]"),"pro.soluto",
INDIRECT("tb_rec_uni[empresa]"),O$6)</f>
        <v>0</v>
      </c>
      <c r="P100" s="123">
        <f ca="1">SUMIFS(tb_rec_uni[2029-02-01],
INDIRECT("tb_rec_uni[natureza]"),"repasse.cef.obra",
INDIRECT("tb_rec_uni[empresa]"),P$6)</f>
        <v>0</v>
      </c>
      <c r="Q100" s="123">
        <f ca="1">SUMIFS(tb_rec_uni[2029-02-01],
INDIRECT("tb_rec_uni[natureza]"),"repasse.cef.terreno",
INDIRECT("tb_rec_uni[empresa]"),Q$6)</f>
        <v>0</v>
      </c>
      <c r="R100" s="127"/>
      <c r="S100" s="123">
        <f ca="1">SUMIFS(tb_rec_uni[2029-02-01],
INDIRECT("tb_rec_uni[natureza]"),"taxa.extra",
INDIRECT("tb_rec_uni[empresa]"),S$6)</f>
        <v>0</v>
      </c>
      <c r="T100" s="111"/>
      <c r="U100" s="111">
        <f ca="1">SUMIFS(
  m.vb[valor],
  m.vb[nucleo],$N$1,
  m.vb[variavel],U$7,
  m.vb[mes],$A100
)</f>
        <v>0</v>
      </c>
      <c r="V100" s="111">
        <f ca="1">SUMIFS(
  m.vb[valor],
  m.vb[nucleo],$N$1,
  m.vb[variavel],V$7,
  m.vb[mes],$A100
)</f>
        <v>0</v>
      </c>
      <c r="W100" s="111">
        <f ca="1">SUMIFS(
  m.vb[valor],
  m.vb[nucleo],$N$1,
  m.vb[variavel],W$7,
  m.vb[mes],$A100
)</f>
        <v>0</v>
      </c>
      <c r="X100" s="111">
        <f ca="1">SUMIFS(
  m.vb[valor],
  m.vb[nucleo],$N$1,
  m.vb[variavel],X$7,
  m.vb[mes],$A100
)</f>
        <v>0</v>
      </c>
      <c r="Y100" s="111">
        <f ca="1">SUMIFS(
  m.vb[valor],
  m.vb[nucleo],$N$1,
  m.vb[variavel],Y$7,
  m.vb[mes],$A100
)</f>
        <v>0</v>
      </c>
      <c r="Z100" s="122">
        <f>COUNTIFS(
    tb_estq[empresa], Z$6,
    tb_estq[Data da venda / reserva], "&gt;=" &amp; $A100,
    tb_estq[Data da venda / reserva], "&lt;"  &amp; EOMONTH($A100,0) + 1
)</f>
        <v>0</v>
      </c>
      <c r="AA100" s="123">
        <f ca="1">SUMIFS(tb_rec_uni[2029-02-01],
INDIRECT("tb_rec_uni[natureza]"),"pro.soluto",
INDIRECT("tb_rec_uni[empresa]"),AA$6)</f>
        <v>0</v>
      </c>
      <c r="AB100" s="127">
        <f ca="1">SUMIFS(tb_rec_uni[2029-02-01],
INDIRECT("tb_rec_uni[natureza]"),"parcela.fin.total.ik",
INDIRECT("tb_rec_uni[empresa]"),AB$6)</f>
        <v>0</v>
      </c>
      <c r="AC100" s="123">
        <f ca="1">SUMIFS(tb_rec_uni[2029-02-01],
INDIRECT("tb_rec_uni[natureza]"),"taxa.extra",
INDIRECT("tb_rec_uni[empresa]"),AC$6)</f>
        <v>0</v>
      </c>
      <c r="AD100" s="111"/>
      <c r="AE100" s="111">
        <f ca="1">SUMIFS(
  m.vb[valor],
  m.vb[nucleo],$Z$1,
  m.vb[variavel],AE$7,
  m.vb[mes],$A100
)</f>
        <v>0</v>
      </c>
      <c r="AF100" s="111">
        <f ca="1">SUMIFS(
  m.vb[valor],
  m.vb[nucleo],$Z$1,
  m.vb[variavel],AF$7,
  m.vb[mes],$A100
)</f>
        <v>0</v>
      </c>
      <c r="AG100" s="111">
        <f ca="1">SUMIFS(
  m.vb[valor],
  m.vb[nucleo],$Z$1,
  m.vb[variavel],AG$7,
  m.vb[mes],$A100
)</f>
        <v>0</v>
      </c>
      <c r="AH100" s="111">
        <f ca="1">SUMIFS(
  m.vb[valor],
  m.vb[nucleo],$Z$1,
  m.vb[variavel],AH$7,
  m.vb[mes],$A100
)</f>
        <v>0</v>
      </c>
      <c r="AI100" s="111">
        <f ca="1">SUMIFS(
  m.vb[valor],
  m.vb[nucleo],$Z$1,
  m.vb[variavel],AI$7,
  m.vb[mes],$A100
)</f>
        <v>0</v>
      </c>
      <c r="AJ100" s="122">
        <f>COUNTIFS(
    tb_estq[empresa], AJ$6,
    tb_estq[Data da venda / reserva], "&gt;=" &amp; $A100,
    tb_estq[Data da venda / reserva], "&lt;"  &amp; EOMONTH($A100,0) + 1
)</f>
        <v>0</v>
      </c>
      <c r="AK100" s="123">
        <f ca="1">SUMIFS(tb_rec_uni[2029-02-01],
INDIRECT("tb_rec_uni[natureza]"),"pro.soluto",
INDIRECT("tb_rec_uni[empresa]"),AK$6)</f>
        <v>0</v>
      </c>
      <c r="AL100" s="123">
        <f ca="1">SUMIFS(tb_rec_uni[2029-02-01],
INDIRECT("tb_rec_uni[natureza]"),"repasse.cef.obra",
INDIRECT("tb_rec_uni[empresa]"),AL$6)</f>
        <v>0</v>
      </c>
      <c r="AM100" s="126">
        <f ca="1">SUMIFS(tb_rec_uni[2029-02-01],
INDIRECT("tb_rec_uni[natureza]"),"repasse.cef.terreno",
INDIRECT("tb_rec_uni[empresa]"),AM$6)</f>
        <v>0</v>
      </c>
      <c r="AN100" s="127"/>
      <c r="AO100" s="123">
        <f ca="1">SUMIFS(tb_rec_uni[2029-02-01],
INDIRECT("tb_rec_uni[natureza]"),"taxa.extra",
INDIRECT("tb_rec_uni[empresa]"),AO$6)</f>
        <v>0</v>
      </c>
      <c r="AP100" s="111"/>
      <c r="AQ100" s="111">
        <f ca="1">SUMIFS(
  m.vb[valor],
  m.vb[nucleo],$AJ$1,
  m.vb[variavel],AQ$7,
  m.vb[mes],$A100
)</f>
        <v>0</v>
      </c>
      <c r="AR100" s="111">
        <f ca="1">SUMIFS(
  m.vb[valor],
  m.vb[nucleo],$AJ$1,
  m.vb[variavel],AR$7,
  m.vb[mes],$A100
)</f>
        <v>0</v>
      </c>
      <c r="AS100" s="111">
        <f ca="1">SUMIFS(
  m.vb[valor],
  m.vb[nucleo],$AJ$1,
  m.vb[variavel],AS$7,
  m.vb[mes],$A100
)</f>
        <v>0</v>
      </c>
      <c r="AT100" s="111">
        <f ca="1">SUMIFS(
  m.vb[valor],
  m.vb[nucleo],$AJ$1,
  m.vb[variavel],AT$7,
  m.vb[mes],$A100
)</f>
        <v>0</v>
      </c>
      <c r="AU100" s="111">
        <f ca="1">SUMIFS(
  m.vb[valor],
  m.vb[nucleo],$AJ$1,
  m.vb[variavel],AU$7,
  m.vb[mes],$A100
)</f>
        <v>0</v>
      </c>
      <c r="AV100" s="122">
        <f>COUNTIFS(
    tb_estq[empresa], AV$6,
    tb_estq[Data da venda / reserva], "&gt;=" &amp; $A100,
    tb_estq[Data da venda / reserva], "&lt;"  &amp; EOMONTH($A100,0) + 1
)</f>
        <v>0</v>
      </c>
      <c r="AW100" s="123">
        <f ca="1">SUMIFS(tb_rec_uni[2029-02-01],
INDIRECT("tb_rec_uni[natureza]"),"pro.soluto",
INDIRECT("tb_rec_uni[empresa]"),AW$6)</f>
        <v>0</v>
      </c>
      <c r="AX100" s="123">
        <f ca="1">SUMIFS(tb_rec_uni[2029-02-01],
INDIRECT("tb_rec_uni[natureza]"),"repasse.cef.obra",
INDIRECT("tb_rec_uni[empresa]"),AX$6)</f>
        <v>0</v>
      </c>
      <c r="AY100" s="126">
        <f ca="1">SUMIFS(tb_rec_uni[2029-02-01],
INDIRECT("tb_rec_uni[natureza]"),"repasse.cef.terreno",
INDIRECT("tb_rec_uni[empresa]"),AY$6)</f>
        <v>0</v>
      </c>
      <c r="AZ100" s="127"/>
      <c r="BA100" s="123">
        <f ca="1">SUMIFS(tb_rec_uni[2029-02-01],
INDIRECT("tb_rec_uni[natureza]"),"taxa.extra",
INDIRECT("tb_rec_uni[empresa]"),BA$6)</f>
        <v>0</v>
      </c>
      <c r="BB100" s="111"/>
      <c r="BC100" s="111">
        <f ca="1">SUMIFS(
  m.vb[valor],
  m.vb[nucleo],$AV$1,
  m.vb[variavel],BC$7,
  m.vb[mes],$A100
)</f>
        <v>0</v>
      </c>
      <c r="BD100" s="111">
        <f ca="1">SUMIFS(
  m.vb[valor],
  m.vb[nucleo],$AV$1,
  m.vb[variavel],BD$7,
  m.vb[mes],$A100
)</f>
        <v>0</v>
      </c>
      <c r="BE100" s="111">
        <f ca="1">SUMIFS(
  m.vb[valor],
  m.vb[nucleo],$AV$1,
  m.vb[variavel],BE$7,
  m.vb[mes],$A100
)</f>
        <v>0</v>
      </c>
      <c r="BF100" s="111">
        <f ca="1">SUMIFS(
  m.vb[valor],
  m.vb[nucleo],$AV$1,
  m.vb[variavel],BF$7,
  m.vb[mes],$A100
)</f>
        <v>0</v>
      </c>
      <c r="BG100" s="111">
        <f ca="1">SUMIFS(
  m.vb[valor],
  m.vb[nucleo],$AV$1,
  m.vb[variavel],BG$7,
  m.vb[mes],$A100
)</f>
        <v>0</v>
      </c>
      <c r="BH100" s="122">
        <f>COUNTIFS(
    tb_estq[empresa], BH$6,
    tb_estq[Data da venda / reserva], "&gt;=" &amp; $A100,
    tb_estq[Data da venda / reserva], "&lt;"  &amp; EOMONTH($A100,0) + 1
)</f>
        <v>0</v>
      </c>
      <c r="BI100" s="123">
        <f ca="1">SUMIFS(tb_rec_uni[2029-02-01],
INDIRECT("tb_rec_uni[natureza]"),"pro.soluto",
INDIRECT("tb_rec_uni[empresa]"),BI$6)</f>
        <v>0</v>
      </c>
      <c r="BJ100" s="127"/>
      <c r="BK100" s="123">
        <f ca="1">SUMIFS(tb_rec_uni[2029-02-01],
INDIRECT("tb_rec_uni[natureza]"),"taxa.extra",
INDIRECT("tb_rec_uni[empresa]"),BK$6)</f>
        <v>0</v>
      </c>
      <c r="BL100" s="111"/>
      <c r="BM100" s="111">
        <f ca="1">SUMIFS(
  m.vb[valor],
  m.vb[nucleo],$BH$1,
  m.vb[variavel],BM$7,
  m.vb[mes],$A100
)</f>
        <v>0</v>
      </c>
      <c r="BN100" s="111">
        <f ca="1">SUMIFS(
  m.vb[valor],
  m.vb[nucleo],$BH$1,
  m.vb[variavel],BN$7,
  m.vb[mes],$A100
)</f>
        <v>0</v>
      </c>
      <c r="BO100" s="111">
        <f ca="1">SUMIFS(
  m.vb[valor],
  m.vb[nucleo],$BH$1,
  m.vb[variavel],BO$7,
  m.vb[mes],$A100
)</f>
        <v>0</v>
      </c>
      <c r="BP100" s="111">
        <f ca="1">SUMIFS(
  m.vb[valor],
  m.vb[nucleo],$BH$1,
  m.vb[variavel],BP$7,
  m.vb[mes],$A100
)</f>
        <v>0</v>
      </c>
      <c r="BQ100" s="111">
        <f ca="1">SUMIFS(
  m.vb[valor],
  m.vb[nucleo],$BH$1,
  m.vb[variavel],BQ$7,
  m.vb[mes],$A100
)</f>
        <v>0</v>
      </c>
      <c r="BR100" s="122">
        <f>COUNTIFS(
    tb_estq[empresa], BR$6,
    tb_estq[Data da venda / reserva], "&gt;=" &amp; $A100,
    tb_estq[Data da venda / reserva], "&lt;"  &amp; EOMONTH($A100,0) + 1
)</f>
        <v>0</v>
      </c>
      <c r="BS100" s="123">
        <f ca="1">SUMIFS(tb_rec_uni[2029-02-01],
INDIRECT("tb_rec_uni[natureza]"),"pro.soluto",
INDIRECT("tb_rec_uni[empresa]"),BS$6)</f>
        <v>0</v>
      </c>
      <c r="BT100" s="127">
        <f ca="1">SUMIFS(tb_rec_uni[2029-02-01],
INDIRECT("tb_rec_uni[natureza]"),"parcela.fin.total.ik",
INDIRECT("tb_rec_uni[empresa]"),BT$6)</f>
        <v>0</v>
      </c>
      <c r="BU100" s="123">
        <f ca="1">SUMIFS(tb_rec_uni[2029-02-01],
INDIRECT("tb_rec_uni[natureza]"),"taxa.extra",
INDIRECT("tb_rec_uni[empresa]"),BU$6)</f>
        <v>0</v>
      </c>
      <c r="BV100" s="111"/>
      <c r="BW100" s="111">
        <f ca="1">SUMIFS(
  m.vb[valor],
  m.vb[nucleo],$BR$1,
  m.vb[variavel],BW$7,
  m.vb[mes],$A100
)</f>
        <v>0</v>
      </c>
      <c r="BX100" s="111">
        <f ca="1">SUMIFS(
  m.vb[valor],
  m.vb[nucleo],$BR$1,
  m.vb[variavel],BX$7,
  m.vb[mes],$A100
)</f>
        <v>0</v>
      </c>
      <c r="BY100" s="111">
        <f ca="1">SUMIFS(
  m.vb[valor],
  m.vb[nucleo],$BR$1,
  m.vb[variavel],BY$7,
  m.vb[mes],$A100
)</f>
        <v>0</v>
      </c>
      <c r="BZ100" s="111">
        <f ca="1">SUMIFS(
  m.vb[valor],
  m.vb[nucleo],$BR$1,
  m.vb[variavel],BZ$7,
  m.vb[mes],$A100
)</f>
        <v>0</v>
      </c>
      <c r="CA100" s="111">
        <f ca="1">SUMIFS(
  m.vb[valor],
  m.vb[nucleo],$BR$1,
  m.vb[variavel],CA$7,
  m.vb[mes],$A100
)</f>
        <v>0</v>
      </c>
      <c r="CB100" s="122">
        <f>COUNTIFS(
    tb_estq[empresa], CB$6,
    tb_estq[Data da venda / reserva], "&gt;=" &amp; $A100,
    tb_estq[Data da venda / reserva], "&lt;"  &amp; EOMONTH($A100,0) + 1
)</f>
        <v>0</v>
      </c>
      <c r="CC100" s="123">
        <f ca="1">SUMIFS(tb_rec_uni[2029-02-01],
INDIRECT("tb_rec_uni[natureza]"),"pro.soluto",
INDIRECT("tb_rec_uni[empresa]"),CC$6)</f>
        <v>0</v>
      </c>
      <c r="CD100" s="123">
        <f ca="1">SUMIFS(tb_rec_uni[2029-02-01],
INDIRECT("tb_rec_uni[natureza]"),"repasse.cef.obra",
INDIRECT("tb_rec_uni[empresa]"),CD$6)</f>
        <v>0</v>
      </c>
      <c r="CE100" s="126">
        <f ca="1">SUMIFS(tb_rec_uni[2029-02-01],
INDIRECT("tb_rec_uni[natureza]"),"repasse.cef.terreno",
INDIRECT("tb_rec_uni[empresa]"),CE$6)</f>
        <v>0</v>
      </c>
      <c r="CF100" s="127"/>
      <c r="CG100" s="123">
        <f ca="1">SUMIFS(tb_rec_uni[2029-02-01],
INDIRECT("tb_rec_uni[natureza]"),"taxa.extra",
INDIRECT("tb_rec_uni[empresa]"),CG$6)</f>
        <v>0</v>
      </c>
      <c r="CH100" s="111"/>
      <c r="CI100" s="111">
        <f ca="1">SUMIFS(
  m.vb[valor],
  m.vb[nucleo],$CB$1,
  m.vb[variavel],CI$7,
  m.vb[mes],$A100
)</f>
        <v>0</v>
      </c>
      <c r="CJ100" s="111">
        <f ca="1">SUMIFS(
  m.vb[valor],
  m.vb[nucleo],$CB$1,
  m.vb[variavel],CJ$7,
  m.vb[mes],$A100
)</f>
        <v>0</v>
      </c>
      <c r="CK100" s="111">
        <f ca="1">SUMIFS(
  m.vb[valor],
  m.vb[nucleo],$CB$1,
  m.vb[variavel],CK$7,
  m.vb[mes],$A100
)</f>
        <v>0</v>
      </c>
      <c r="CL100" s="111">
        <f ca="1">SUMIFS(
  m.vb[valor],
  m.vb[nucleo],$CB$1,
  m.vb[variavel],CL$7,
  m.vb[mes],$A100
)</f>
        <v>0</v>
      </c>
      <c r="CM100" s="111">
        <f ca="1">SUMIFS(
  m.vb[valor],
  m.vb[nucleo],$CB$1,
  m.vb[variavel],CM$7,
  m.vb[mes],$A100
)</f>
        <v>0</v>
      </c>
      <c r="CN100" s="122">
        <f>COUNTIFS(
    tb_estq[empresa], CN$6,
    tb_estq[Data da venda / reserva], "&gt;=" &amp; $A100,
    tb_estq[Data da venda / reserva], "&lt;"  &amp; EOMONTH($A100,0) + 1
)</f>
        <v>0</v>
      </c>
      <c r="CO100" s="123">
        <f ca="1">SUMIFS(tb_rec_uni[2029-02-01],
INDIRECT("tb_rec_uni[natureza]"),"pro.soluto",
INDIRECT("tb_rec_uni[empresa]"),CO$6)</f>
        <v>0</v>
      </c>
      <c r="CP100" s="123">
        <f ca="1">SUMIFS(tb_rec_uni[2029-02-01],
INDIRECT("tb_rec_uni[natureza]"),"repasse.cef.obra",
INDIRECT("tb_rec_uni[empresa]"),CP$6)</f>
        <v>0</v>
      </c>
      <c r="CQ100" s="126">
        <f ca="1">SUMIFS(tb_rec_uni[2029-02-01],
INDIRECT("tb_rec_uni[natureza]"),"repasse.cef.terreno",
INDIRECT("tb_rec_uni[empresa]"),CQ$6)</f>
        <v>0</v>
      </c>
      <c r="CR100" s="127"/>
      <c r="CS100" s="123">
        <f ca="1">SUMIFS(tb_rec_uni[2029-02-01],
INDIRECT("tb_rec_uni[natureza]"),"taxa.extra",
INDIRECT("tb_rec_uni[empresa]"),CS$6)</f>
        <v>0</v>
      </c>
      <c r="CT100" s="111"/>
      <c r="CU100" s="111">
        <f ca="1">SUMIFS(
  m.vb[valor],
  m.vb[nucleo],$CN$1,
  m.vb[variavel],CU$7,
  m.vb[mes],$A100
)</f>
        <v>0</v>
      </c>
      <c r="CV100" s="111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11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11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4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21">
        <v>47178</v>
      </c>
      <c r="B101" s="122">
        <f>COUNTIFS(
    tb_estq[empresa], B$6,
    tb_estq[Data da venda / reserva], "&gt;=" &amp; $A101,
    tb_estq[Data da venda / reserva], "&lt;"  &amp; EOMONTH($A101,0) + 1
)</f>
        <v>0</v>
      </c>
      <c r="C101" s="123">
        <f ca="1">SUMIFS(tb_rec_uni[2029-03-01],
INDIRECT("tb_rec_uni[natureza]"),"pro.soluto",
INDIRECT("tb_rec_uni[empresa]"),C$6)</f>
        <v>0</v>
      </c>
      <c r="D101" s="123">
        <f ca="1">SUMIFS(tb_rec_uni[2029-03-01],
INDIRECT("tb_rec_uni[natureza]"),"repasse.cef.obra",
INDIRECT("tb_rec_uni[empresa]"),D$6)</f>
        <v>0</v>
      </c>
      <c r="E101" s="123">
        <f ca="1">SUMIFS(tb_rec_uni[2029-03-01],
INDIRECT("tb_rec_uni[natureza]"),"repasse.cef.terreno",
INDIRECT("tb_rec_uni[empresa]"),E$6)</f>
        <v>0</v>
      </c>
      <c r="F101" s="127"/>
      <c r="G101" s="123">
        <f ca="1">SUMIFS(tb_rec_uni[2029-03-01],
INDIRECT("tb_rec_uni[natureza]"),"taxa.extra",
INDIRECT("tb_rec_uni[empresa]"),G$6)</f>
        <v>0</v>
      </c>
      <c r="H101" s="111"/>
      <c r="I101" s="111">
        <f ca="1">SUMIFS(
  m.vb[valor],
  m.vb[nucleo],$B$1,
  m.vb[variavel],I$7,
  m.vb[mes],$A101
)</f>
        <v>0</v>
      </c>
      <c r="J101" s="111">
        <f ca="1">SUMIFS(
  m.vb[valor],
  m.vb[nucleo],$B$1,
  m.vb[variavel],J$7,
  m.vb[mes],$A101
)</f>
        <v>0</v>
      </c>
      <c r="K101" s="111">
        <f ca="1">SUMIFS(
  m.vb[valor],
  m.vb[nucleo],$B$1,
  m.vb[variavel],K$7,
  m.vb[mes],$A101
)</f>
        <v>0</v>
      </c>
      <c r="L101" s="111">
        <f ca="1">SUMIFS(
  m.vb[valor],
  m.vb[nucleo],$B$1,
  m.vb[variavel],L$7,
  m.vb[mes],$A101
)</f>
        <v>0</v>
      </c>
      <c r="M101" s="111">
        <f ca="1">SUMIFS(
  m.vb[valor],
  m.vb[nucleo],$B$1,
  m.vb[variavel],M$7,
  m.vb[mes],$A101
)</f>
        <v>0</v>
      </c>
      <c r="N101" s="122">
        <f>COUNTIFS(
    tb_estq[empresa], N$6,
    tb_estq[Data da venda / reserva], "&gt;=" &amp; $A101,
    tb_estq[Data da venda / reserva], "&lt;"  &amp; EOMONTH($A101,0) + 1
)</f>
        <v>0</v>
      </c>
      <c r="O101" s="123">
        <f ca="1">SUMIFS(tb_rec_uni[2029-03-01],
INDIRECT("tb_rec_uni[natureza]"),"pro.soluto",
INDIRECT("tb_rec_uni[empresa]"),O$6)</f>
        <v>0</v>
      </c>
      <c r="P101" s="123">
        <f ca="1">SUMIFS(tb_rec_uni[2029-03-01],
INDIRECT("tb_rec_uni[natureza]"),"repasse.cef.obra",
INDIRECT("tb_rec_uni[empresa]"),P$6)</f>
        <v>0</v>
      </c>
      <c r="Q101" s="123">
        <f ca="1">SUMIFS(tb_rec_uni[2029-03-01],
INDIRECT("tb_rec_uni[natureza]"),"repasse.cef.terreno",
INDIRECT("tb_rec_uni[empresa]"),Q$6)</f>
        <v>0</v>
      </c>
      <c r="R101" s="127"/>
      <c r="S101" s="123">
        <f ca="1">SUMIFS(tb_rec_uni[2029-03-01],
INDIRECT("tb_rec_uni[natureza]"),"taxa.extra",
INDIRECT("tb_rec_uni[empresa]"),S$6)</f>
        <v>0</v>
      </c>
      <c r="T101" s="111"/>
      <c r="U101" s="111">
        <f ca="1">SUMIFS(
  m.vb[valor],
  m.vb[nucleo],$N$1,
  m.vb[variavel],U$7,
  m.vb[mes],$A101
)</f>
        <v>0</v>
      </c>
      <c r="V101" s="111">
        <f ca="1">SUMIFS(
  m.vb[valor],
  m.vb[nucleo],$N$1,
  m.vb[variavel],V$7,
  m.vb[mes],$A101
)</f>
        <v>0</v>
      </c>
      <c r="W101" s="111">
        <f ca="1">SUMIFS(
  m.vb[valor],
  m.vb[nucleo],$N$1,
  m.vb[variavel],W$7,
  m.vb[mes],$A101
)</f>
        <v>0</v>
      </c>
      <c r="X101" s="111">
        <f ca="1">SUMIFS(
  m.vb[valor],
  m.vb[nucleo],$N$1,
  m.vb[variavel],X$7,
  m.vb[mes],$A101
)</f>
        <v>0</v>
      </c>
      <c r="Y101" s="111">
        <f ca="1">SUMIFS(
  m.vb[valor],
  m.vb[nucleo],$N$1,
  m.vb[variavel],Y$7,
  m.vb[mes],$A101
)</f>
        <v>0</v>
      </c>
      <c r="Z101" s="122">
        <f>COUNTIFS(
    tb_estq[empresa], Z$6,
    tb_estq[Data da venda / reserva], "&gt;=" &amp; $A101,
    tb_estq[Data da venda / reserva], "&lt;"  &amp; EOMONTH($A101,0) + 1
)</f>
        <v>0</v>
      </c>
      <c r="AA101" s="123">
        <f ca="1">SUMIFS(tb_rec_uni[2029-03-01],
INDIRECT("tb_rec_uni[natureza]"),"pro.soluto",
INDIRECT("tb_rec_uni[empresa]"),AA$6)</f>
        <v>0</v>
      </c>
      <c r="AB101" s="127">
        <f ca="1">SUMIFS(tb_rec_uni[2029-03-01],
INDIRECT("tb_rec_uni[natureza]"),"parcela.fin.total.ik",
INDIRECT("tb_rec_uni[empresa]"),AB$6)</f>
        <v>0</v>
      </c>
      <c r="AC101" s="123">
        <f ca="1">SUMIFS(tb_rec_uni[2029-03-01],
INDIRECT("tb_rec_uni[natureza]"),"taxa.extra",
INDIRECT("tb_rec_uni[empresa]"),AC$6)</f>
        <v>0</v>
      </c>
      <c r="AD101" s="111"/>
      <c r="AE101" s="111">
        <f ca="1">SUMIFS(
  m.vb[valor],
  m.vb[nucleo],$Z$1,
  m.vb[variavel],AE$7,
  m.vb[mes],$A101
)</f>
        <v>0</v>
      </c>
      <c r="AF101" s="111">
        <f ca="1">SUMIFS(
  m.vb[valor],
  m.vb[nucleo],$Z$1,
  m.vb[variavel],AF$7,
  m.vb[mes],$A101
)</f>
        <v>0</v>
      </c>
      <c r="AG101" s="111">
        <f ca="1">SUMIFS(
  m.vb[valor],
  m.vb[nucleo],$Z$1,
  m.vb[variavel],AG$7,
  m.vb[mes],$A101
)</f>
        <v>0</v>
      </c>
      <c r="AH101" s="111">
        <f ca="1">SUMIFS(
  m.vb[valor],
  m.vb[nucleo],$Z$1,
  m.vb[variavel],AH$7,
  m.vb[mes],$A101
)</f>
        <v>0</v>
      </c>
      <c r="AI101" s="111">
        <f ca="1">SUMIFS(
  m.vb[valor],
  m.vb[nucleo],$Z$1,
  m.vb[variavel],AI$7,
  m.vb[mes],$A101
)</f>
        <v>0</v>
      </c>
      <c r="AJ101" s="122">
        <f>COUNTIFS(
    tb_estq[empresa], AJ$6,
    tb_estq[Data da venda / reserva], "&gt;=" &amp; $A101,
    tb_estq[Data da venda / reserva], "&lt;"  &amp; EOMONTH($A101,0) + 1
)</f>
        <v>0</v>
      </c>
      <c r="AK101" s="123">
        <f ca="1">SUMIFS(tb_rec_uni[2029-03-01],
INDIRECT("tb_rec_uni[natureza]"),"pro.soluto",
INDIRECT("tb_rec_uni[empresa]"),AK$6)</f>
        <v>0</v>
      </c>
      <c r="AL101" s="123">
        <f ca="1">SUMIFS(tb_rec_uni[2029-03-01],
INDIRECT("tb_rec_uni[natureza]"),"repasse.cef.obra",
INDIRECT("tb_rec_uni[empresa]"),AL$6)</f>
        <v>0</v>
      </c>
      <c r="AM101" s="126">
        <f ca="1">SUMIFS(tb_rec_uni[2029-03-01],
INDIRECT("tb_rec_uni[natureza]"),"repasse.cef.terreno",
INDIRECT("tb_rec_uni[empresa]"),AM$6)</f>
        <v>0</v>
      </c>
      <c r="AN101" s="127"/>
      <c r="AO101" s="123">
        <f ca="1">SUMIFS(tb_rec_uni[2029-03-01],
INDIRECT("tb_rec_uni[natureza]"),"taxa.extra",
INDIRECT("tb_rec_uni[empresa]"),AO$6)</f>
        <v>0</v>
      </c>
      <c r="AP101" s="111"/>
      <c r="AQ101" s="111">
        <f ca="1">SUMIFS(
  m.vb[valor],
  m.vb[nucleo],$AJ$1,
  m.vb[variavel],AQ$7,
  m.vb[mes],$A101
)</f>
        <v>0</v>
      </c>
      <c r="AR101" s="111">
        <f ca="1">SUMIFS(
  m.vb[valor],
  m.vb[nucleo],$AJ$1,
  m.vb[variavel],AR$7,
  m.vb[mes],$A101
)</f>
        <v>0</v>
      </c>
      <c r="AS101" s="111">
        <f ca="1">SUMIFS(
  m.vb[valor],
  m.vb[nucleo],$AJ$1,
  m.vb[variavel],AS$7,
  m.vb[mes],$A101
)</f>
        <v>0</v>
      </c>
      <c r="AT101" s="111">
        <f ca="1">SUMIFS(
  m.vb[valor],
  m.vb[nucleo],$AJ$1,
  m.vb[variavel],AT$7,
  m.vb[mes],$A101
)</f>
        <v>0</v>
      </c>
      <c r="AU101" s="111">
        <f ca="1">SUMIFS(
  m.vb[valor],
  m.vb[nucleo],$AJ$1,
  m.vb[variavel],AU$7,
  m.vb[mes],$A101
)</f>
        <v>0</v>
      </c>
      <c r="AV101" s="122">
        <f>COUNTIFS(
    tb_estq[empresa], AV$6,
    tb_estq[Data da venda / reserva], "&gt;=" &amp; $A101,
    tb_estq[Data da venda / reserva], "&lt;"  &amp; EOMONTH($A101,0) + 1
)</f>
        <v>0</v>
      </c>
      <c r="AW101" s="123">
        <f ca="1">SUMIFS(tb_rec_uni[2029-03-01],
INDIRECT("tb_rec_uni[natureza]"),"pro.soluto",
INDIRECT("tb_rec_uni[empresa]"),AW$6)</f>
        <v>0</v>
      </c>
      <c r="AX101" s="123">
        <f ca="1">SUMIFS(tb_rec_uni[2029-03-01],
INDIRECT("tb_rec_uni[natureza]"),"repasse.cef.obra",
INDIRECT("tb_rec_uni[empresa]"),AX$6)</f>
        <v>0</v>
      </c>
      <c r="AY101" s="126">
        <f ca="1">SUMIFS(tb_rec_uni[2029-03-01],
INDIRECT("tb_rec_uni[natureza]"),"repasse.cef.terreno",
INDIRECT("tb_rec_uni[empresa]"),AY$6)</f>
        <v>0</v>
      </c>
      <c r="AZ101" s="127"/>
      <c r="BA101" s="123">
        <f ca="1">SUMIFS(tb_rec_uni[2029-03-01],
INDIRECT("tb_rec_uni[natureza]"),"taxa.extra",
INDIRECT("tb_rec_uni[empresa]"),BA$6)</f>
        <v>0</v>
      </c>
      <c r="BB101" s="111"/>
      <c r="BC101" s="111">
        <f ca="1">SUMIFS(
  m.vb[valor],
  m.vb[nucleo],$AV$1,
  m.vb[variavel],BC$7,
  m.vb[mes],$A101
)</f>
        <v>0</v>
      </c>
      <c r="BD101" s="111">
        <f ca="1">SUMIFS(
  m.vb[valor],
  m.vb[nucleo],$AV$1,
  m.vb[variavel],BD$7,
  m.vb[mes],$A101
)</f>
        <v>0</v>
      </c>
      <c r="BE101" s="111">
        <f ca="1">SUMIFS(
  m.vb[valor],
  m.vb[nucleo],$AV$1,
  m.vb[variavel],BE$7,
  m.vb[mes],$A101
)</f>
        <v>0</v>
      </c>
      <c r="BF101" s="111">
        <f ca="1">SUMIFS(
  m.vb[valor],
  m.vb[nucleo],$AV$1,
  m.vb[variavel],BF$7,
  m.vb[mes],$A101
)</f>
        <v>0</v>
      </c>
      <c r="BG101" s="111">
        <f ca="1">SUMIFS(
  m.vb[valor],
  m.vb[nucleo],$AV$1,
  m.vb[variavel],BG$7,
  m.vb[mes],$A101
)</f>
        <v>0</v>
      </c>
      <c r="BH101" s="122">
        <f>COUNTIFS(
    tb_estq[empresa], BH$6,
    tb_estq[Data da venda / reserva], "&gt;=" &amp; $A101,
    tb_estq[Data da venda / reserva], "&lt;"  &amp; EOMONTH($A101,0) + 1
)</f>
        <v>0</v>
      </c>
      <c r="BI101" s="123">
        <f ca="1">SUMIFS(tb_rec_uni[2029-03-01],
INDIRECT("tb_rec_uni[natureza]"),"pro.soluto",
INDIRECT("tb_rec_uni[empresa]"),BI$6)</f>
        <v>0</v>
      </c>
      <c r="BJ101" s="127"/>
      <c r="BK101" s="123">
        <f ca="1">SUMIFS(tb_rec_uni[2029-03-01],
INDIRECT("tb_rec_uni[natureza]"),"taxa.extra",
INDIRECT("tb_rec_uni[empresa]"),BK$6)</f>
        <v>0</v>
      </c>
      <c r="BL101" s="111"/>
      <c r="BM101" s="111">
        <f ca="1">SUMIFS(
  m.vb[valor],
  m.vb[nucleo],$BH$1,
  m.vb[variavel],BM$7,
  m.vb[mes],$A101
)</f>
        <v>0</v>
      </c>
      <c r="BN101" s="111">
        <f ca="1">SUMIFS(
  m.vb[valor],
  m.vb[nucleo],$BH$1,
  m.vb[variavel],BN$7,
  m.vb[mes],$A101
)</f>
        <v>0</v>
      </c>
      <c r="BO101" s="111">
        <f ca="1">SUMIFS(
  m.vb[valor],
  m.vb[nucleo],$BH$1,
  m.vb[variavel],BO$7,
  m.vb[mes],$A101
)</f>
        <v>0</v>
      </c>
      <c r="BP101" s="111">
        <f ca="1">SUMIFS(
  m.vb[valor],
  m.vb[nucleo],$BH$1,
  m.vb[variavel],BP$7,
  m.vb[mes],$A101
)</f>
        <v>0</v>
      </c>
      <c r="BQ101" s="111">
        <f ca="1">SUMIFS(
  m.vb[valor],
  m.vb[nucleo],$BH$1,
  m.vb[variavel],BQ$7,
  m.vb[mes],$A101
)</f>
        <v>0</v>
      </c>
      <c r="BR101" s="122">
        <f>COUNTIFS(
    tb_estq[empresa], BR$6,
    tb_estq[Data da venda / reserva], "&gt;=" &amp; $A101,
    tb_estq[Data da venda / reserva], "&lt;"  &amp; EOMONTH($A101,0) + 1
)</f>
        <v>0</v>
      </c>
      <c r="BS101" s="123">
        <f ca="1">SUMIFS(tb_rec_uni[2029-03-01],
INDIRECT("tb_rec_uni[natureza]"),"pro.soluto",
INDIRECT("tb_rec_uni[empresa]"),BS$6)</f>
        <v>0</v>
      </c>
      <c r="BT101" s="127">
        <f ca="1">SUMIFS(tb_rec_uni[2029-03-01],
INDIRECT("tb_rec_uni[natureza]"),"parcela.fin.total.ik",
INDIRECT("tb_rec_uni[empresa]"),BT$6)</f>
        <v>0</v>
      </c>
      <c r="BU101" s="123">
        <f ca="1">SUMIFS(tb_rec_uni[2029-03-01],
INDIRECT("tb_rec_uni[natureza]"),"taxa.extra",
INDIRECT("tb_rec_uni[empresa]"),BU$6)</f>
        <v>0</v>
      </c>
      <c r="BV101" s="111"/>
      <c r="BW101" s="111">
        <f ca="1">SUMIFS(
  m.vb[valor],
  m.vb[nucleo],$BR$1,
  m.vb[variavel],BW$7,
  m.vb[mes],$A101
)</f>
        <v>0</v>
      </c>
      <c r="BX101" s="111">
        <f ca="1">SUMIFS(
  m.vb[valor],
  m.vb[nucleo],$BR$1,
  m.vb[variavel],BX$7,
  m.vb[mes],$A101
)</f>
        <v>0</v>
      </c>
      <c r="BY101" s="111">
        <f ca="1">SUMIFS(
  m.vb[valor],
  m.vb[nucleo],$BR$1,
  m.vb[variavel],BY$7,
  m.vb[mes],$A101
)</f>
        <v>0</v>
      </c>
      <c r="BZ101" s="111">
        <f ca="1">SUMIFS(
  m.vb[valor],
  m.vb[nucleo],$BR$1,
  m.vb[variavel],BZ$7,
  m.vb[mes],$A101
)</f>
        <v>0</v>
      </c>
      <c r="CA101" s="111">
        <f ca="1">SUMIFS(
  m.vb[valor],
  m.vb[nucleo],$BR$1,
  m.vb[variavel],CA$7,
  m.vb[mes],$A101
)</f>
        <v>0</v>
      </c>
      <c r="CB101" s="122">
        <f>COUNTIFS(
    tb_estq[empresa], CB$6,
    tb_estq[Data da venda / reserva], "&gt;=" &amp; $A101,
    tb_estq[Data da venda / reserva], "&lt;"  &amp; EOMONTH($A101,0) + 1
)</f>
        <v>0</v>
      </c>
      <c r="CC101" s="123">
        <f ca="1">SUMIFS(tb_rec_uni[2029-03-01],
INDIRECT("tb_rec_uni[natureza]"),"pro.soluto",
INDIRECT("tb_rec_uni[empresa]"),CC$6)</f>
        <v>0</v>
      </c>
      <c r="CD101" s="123">
        <f ca="1">SUMIFS(tb_rec_uni[2029-03-01],
INDIRECT("tb_rec_uni[natureza]"),"repasse.cef.obra",
INDIRECT("tb_rec_uni[empresa]"),CD$6)</f>
        <v>0</v>
      </c>
      <c r="CE101" s="126">
        <f ca="1">SUMIFS(tb_rec_uni[2029-03-01],
INDIRECT("tb_rec_uni[natureza]"),"repasse.cef.terreno",
INDIRECT("tb_rec_uni[empresa]"),CE$6)</f>
        <v>0</v>
      </c>
      <c r="CF101" s="127"/>
      <c r="CG101" s="123">
        <f ca="1">SUMIFS(tb_rec_uni[2029-03-01],
INDIRECT("tb_rec_uni[natureza]"),"taxa.extra",
INDIRECT("tb_rec_uni[empresa]"),CG$6)</f>
        <v>0</v>
      </c>
      <c r="CH101" s="111"/>
      <c r="CI101" s="111">
        <f ca="1">SUMIFS(
  m.vb[valor],
  m.vb[nucleo],$CB$1,
  m.vb[variavel],CI$7,
  m.vb[mes],$A101
)</f>
        <v>0</v>
      </c>
      <c r="CJ101" s="111">
        <f ca="1">SUMIFS(
  m.vb[valor],
  m.vb[nucleo],$CB$1,
  m.vb[variavel],CJ$7,
  m.vb[mes],$A101
)</f>
        <v>0</v>
      </c>
      <c r="CK101" s="111">
        <f ca="1">SUMIFS(
  m.vb[valor],
  m.vb[nucleo],$CB$1,
  m.vb[variavel],CK$7,
  m.vb[mes],$A101
)</f>
        <v>0</v>
      </c>
      <c r="CL101" s="111">
        <f ca="1">SUMIFS(
  m.vb[valor],
  m.vb[nucleo],$CB$1,
  m.vb[variavel],CL$7,
  m.vb[mes],$A101
)</f>
        <v>0</v>
      </c>
      <c r="CM101" s="111">
        <f ca="1">SUMIFS(
  m.vb[valor],
  m.vb[nucleo],$CB$1,
  m.vb[variavel],CM$7,
  m.vb[mes],$A101
)</f>
        <v>0</v>
      </c>
      <c r="CN101" s="122">
        <f>COUNTIFS(
    tb_estq[empresa], CN$6,
    tb_estq[Data da venda / reserva], "&gt;=" &amp; $A101,
    tb_estq[Data da venda / reserva], "&lt;"  &amp; EOMONTH($A101,0) + 1
)</f>
        <v>0</v>
      </c>
      <c r="CO101" s="123">
        <f ca="1">SUMIFS(tb_rec_uni[2029-03-01],
INDIRECT("tb_rec_uni[natureza]"),"pro.soluto",
INDIRECT("tb_rec_uni[empresa]"),CO$6)</f>
        <v>0</v>
      </c>
      <c r="CP101" s="123">
        <f ca="1">SUMIFS(tb_rec_uni[2029-03-01],
INDIRECT("tb_rec_uni[natureza]"),"repasse.cef.obra",
INDIRECT("tb_rec_uni[empresa]"),CP$6)</f>
        <v>0</v>
      </c>
      <c r="CQ101" s="126">
        <f ca="1">SUMIFS(tb_rec_uni[2029-03-01],
INDIRECT("tb_rec_uni[natureza]"),"repasse.cef.terreno",
INDIRECT("tb_rec_uni[empresa]"),CQ$6)</f>
        <v>0</v>
      </c>
      <c r="CR101" s="127"/>
      <c r="CS101" s="123">
        <f ca="1">SUMIFS(tb_rec_uni[2029-03-01],
INDIRECT("tb_rec_uni[natureza]"),"taxa.extra",
INDIRECT("tb_rec_uni[empresa]"),CS$6)</f>
        <v>0</v>
      </c>
      <c r="CT101" s="111"/>
      <c r="CU101" s="111">
        <f ca="1">SUMIFS(
  m.vb[valor],
  m.vb[nucleo],$CN$1,
  m.vb[variavel],CU$7,
  m.vb[mes],$A101
)</f>
        <v>0</v>
      </c>
      <c r="CV101" s="111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11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11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4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21">
        <v>47209</v>
      </c>
      <c r="B102" s="122">
        <f>COUNTIFS(
    tb_estq[empresa], B$6,
    tb_estq[Data da venda / reserva], "&gt;=" &amp; $A102,
    tb_estq[Data da venda / reserva], "&lt;"  &amp; EOMONTH($A102,0) + 1
)</f>
        <v>0</v>
      </c>
      <c r="C102" s="123">
        <f ca="1">SUMIFS(tb_rec_uni[2029-04-01],
INDIRECT("tb_rec_uni[natureza]"),"pro.soluto",
INDIRECT("tb_rec_uni[empresa]"),C$6)</f>
        <v>0</v>
      </c>
      <c r="D102" s="123">
        <f ca="1">SUMIFS(tb_rec_uni[2029-04-01],
INDIRECT("tb_rec_uni[natureza]"),"repasse.cef.obra",
INDIRECT("tb_rec_uni[empresa]"),D$6)</f>
        <v>0</v>
      </c>
      <c r="E102" s="123">
        <f ca="1">SUMIFS(tb_rec_uni[2029-04-01],
INDIRECT("tb_rec_uni[natureza]"),"repasse.cef.terreno",
INDIRECT("tb_rec_uni[empresa]"),E$6)</f>
        <v>0</v>
      </c>
      <c r="F102" s="127"/>
      <c r="G102" s="123">
        <f ca="1">SUMIFS(tb_rec_uni[2029-04-01],
INDIRECT("tb_rec_uni[natureza]"),"taxa.extra",
INDIRECT("tb_rec_uni[empresa]"),G$6)</f>
        <v>0</v>
      </c>
      <c r="H102" s="111"/>
      <c r="I102" s="111">
        <f ca="1">SUMIFS(
  m.vb[valor],
  m.vb[nucleo],$B$1,
  m.vb[variavel],I$7,
  m.vb[mes],$A102
)</f>
        <v>0</v>
      </c>
      <c r="J102" s="111">
        <f ca="1">SUMIFS(
  m.vb[valor],
  m.vb[nucleo],$B$1,
  m.vb[variavel],J$7,
  m.vb[mes],$A102
)</f>
        <v>0</v>
      </c>
      <c r="K102" s="111">
        <f ca="1">SUMIFS(
  m.vb[valor],
  m.vb[nucleo],$B$1,
  m.vb[variavel],K$7,
  m.vb[mes],$A102
)</f>
        <v>0</v>
      </c>
      <c r="L102" s="111">
        <f ca="1">SUMIFS(
  m.vb[valor],
  m.vb[nucleo],$B$1,
  m.vb[variavel],L$7,
  m.vb[mes],$A102
)</f>
        <v>0</v>
      </c>
      <c r="M102" s="111">
        <f ca="1">SUMIFS(
  m.vb[valor],
  m.vb[nucleo],$B$1,
  m.vb[variavel],M$7,
  m.vb[mes],$A102
)</f>
        <v>0</v>
      </c>
      <c r="N102" s="122">
        <f>COUNTIFS(
    tb_estq[empresa], N$6,
    tb_estq[Data da venda / reserva], "&gt;=" &amp; $A102,
    tb_estq[Data da venda / reserva], "&lt;"  &amp; EOMONTH($A102,0) + 1
)</f>
        <v>0</v>
      </c>
      <c r="O102" s="123">
        <f ca="1">SUMIFS(tb_rec_uni[2029-04-01],
INDIRECT("tb_rec_uni[natureza]"),"pro.soluto",
INDIRECT("tb_rec_uni[empresa]"),O$6)</f>
        <v>0</v>
      </c>
      <c r="P102" s="123">
        <f ca="1">SUMIFS(tb_rec_uni[2029-04-01],
INDIRECT("tb_rec_uni[natureza]"),"repasse.cef.obra",
INDIRECT("tb_rec_uni[empresa]"),P$6)</f>
        <v>0</v>
      </c>
      <c r="Q102" s="123">
        <f ca="1">SUMIFS(tb_rec_uni[2029-04-01],
INDIRECT("tb_rec_uni[natureza]"),"repasse.cef.terreno",
INDIRECT("tb_rec_uni[empresa]"),Q$6)</f>
        <v>0</v>
      </c>
      <c r="R102" s="127"/>
      <c r="S102" s="123">
        <f ca="1">SUMIFS(tb_rec_uni[2029-04-01],
INDIRECT("tb_rec_uni[natureza]"),"taxa.extra",
INDIRECT("tb_rec_uni[empresa]"),S$6)</f>
        <v>0</v>
      </c>
      <c r="T102" s="111"/>
      <c r="U102" s="111">
        <f ca="1">SUMIFS(
  m.vb[valor],
  m.vb[nucleo],$N$1,
  m.vb[variavel],U$7,
  m.vb[mes],$A102
)</f>
        <v>0</v>
      </c>
      <c r="V102" s="111">
        <f ca="1">SUMIFS(
  m.vb[valor],
  m.vb[nucleo],$N$1,
  m.vb[variavel],V$7,
  m.vb[mes],$A102
)</f>
        <v>0</v>
      </c>
      <c r="W102" s="111">
        <f ca="1">SUMIFS(
  m.vb[valor],
  m.vb[nucleo],$N$1,
  m.vb[variavel],W$7,
  m.vb[mes],$A102
)</f>
        <v>0</v>
      </c>
      <c r="X102" s="111">
        <f ca="1">SUMIFS(
  m.vb[valor],
  m.vb[nucleo],$N$1,
  m.vb[variavel],X$7,
  m.vb[mes],$A102
)</f>
        <v>0</v>
      </c>
      <c r="Y102" s="111">
        <f ca="1">SUMIFS(
  m.vb[valor],
  m.vb[nucleo],$N$1,
  m.vb[variavel],Y$7,
  m.vb[mes],$A102
)</f>
        <v>0</v>
      </c>
      <c r="Z102" s="122">
        <f>COUNTIFS(
    tb_estq[empresa], Z$6,
    tb_estq[Data da venda / reserva], "&gt;=" &amp; $A102,
    tb_estq[Data da venda / reserva], "&lt;"  &amp; EOMONTH($A102,0) + 1
)</f>
        <v>0</v>
      </c>
      <c r="AA102" s="123">
        <f ca="1">SUMIFS(tb_rec_uni[2029-04-01],
INDIRECT("tb_rec_uni[natureza]"),"pro.soluto",
INDIRECT("tb_rec_uni[empresa]"),AA$6)</f>
        <v>0</v>
      </c>
      <c r="AB102" s="127">
        <f ca="1">SUMIFS(tb_rec_uni[2029-04-01],
INDIRECT("tb_rec_uni[natureza]"),"parcela.fin.total.ik",
INDIRECT("tb_rec_uni[empresa]"),AB$6)</f>
        <v>0</v>
      </c>
      <c r="AC102" s="123">
        <f ca="1">SUMIFS(tb_rec_uni[2029-04-01],
INDIRECT("tb_rec_uni[natureza]"),"taxa.extra",
INDIRECT("tb_rec_uni[empresa]"),AC$6)</f>
        <v>0</v>
      </c>
      <c r="AD102" s="111"/>
      <c r="AE102" s="111">
        <f ca="1">SUMIFS(
  m.vb[valor],
  m.vb[nucleo],$Z$1,
  m.vb[variavel],AE$7,
  m.vb[mes],$A102
)</f>
        <v>0</v>
      </c>
      <c r="AF102" s="111">
        <f ca="1">SUMIFS(
  m.vb[valor],
  m.vb[nucleo],$Z$1,
  m.vb[variavel],AF$7,
  m.vb[mes],$A102
)</f>
        <v>0</v>
      </c>
      <c r="AG102" s="111">
        <f ca="1">SUMIFS(
  m.vb[valor],
  m.vb[nucleo],$Z$1,
  m.vb[variavel],AG$7,
  m.vb[mes],$A102
)</f>
        <v>0</v>
      </c>
      <c r="AH102" s="111">
        <f ca="1">SUMIFS(
  m.vb[valor],
  m.vb[nucleo],$Z$1,
  m.vb[variavel],AH$7,
  m.vb[mes],$A102
)</f>
        <v>0</v>
      </c>
      <c r="AI102" s="111">
        <f ca="1">SUMIFS(
  m.vb[valor],
  m.vb[nucleo],$Z$1,
  m.vb[variavel],AI$7,
  m.vb[mes],$A102
)</f>
        <v>0</v>
      </c>
      <c r="AJ102" s="122">
        <f>COUNTIFS(
    tb_estq[empresa], AJ$6,
    tb_estq[Data da venda / reserva], "&gt;=" &amp; $A102,
    tb_estq[Data da venda / reserva], "&lt;"  &amp; EOMONTH($A102,0) + 1
)</f>
        <v>0</v>
      </c>
      <c r="AK102" s="123">
        <f ca="1">SUMIFS(tb_rec_uni[2029-04-01],
INDIRECT("tb_rec_uni[natureza]"),"pro.soluto",
INDIRECT("tb_rec_uni[empresa]"),AK$6)</f>
        <v>0</v>
      </c>
      <c r="AL102" s="123">
        <f ca="1">SUMIFS(tb_rec_uni[2029-04-01],
INDIRECT("tb_rec_uni[natureza]"),"repasse.cef.obra",
INDIRECT("tb_rec_uni[empresa]"),AL$6)</f>
        <v>0</v>
      </c>
      <c r="AM102" s="126">
        <f ca="1">SUMIFS(tb_rec_uni[2029-04-01],
INDIRECT("tb_rec_uni[natureza]"),"repasse.cef.terreno",
INDIRECT("tb_rec_uni[empresa]"),AM$6)</f>
        <v>0</v>
      </c>
      <c r="AN102" s="127"/>
      <c r="AO102" s="123">
        <f ca="1">SUMIFS(tb_rec_uni[2029-04-01],
INDIRECT("tb_rec_uni[natureza]"),"taxa.extra",
INDIRECT("tb_rec_uni[empresa]"),AO$6)</f>
        <v>0</v>
      </c>
      <c r="AP102" s="111"/>
      <c r="AQ102" s="111">
        <f ca="1">SUMIFS(
  m.vb[valor],
  m.vb[nucleo],$AJ$1,
  m.vb[variavel],AQ$7,
  m.vb[mes],$A102
)</f>
        <v>0</v>
      </c>
      <c r="AR102" s="111">
        <f ca="1">SUMIFS(
  m.vb[valor],
  m.vb[nucleo],$AJ$1,
  m.vb[variavel],AR$7,
  m.vb[mes],$A102
)</f>
        <v>0</v>
      </c>
      <c r="AS102" s="111">
        <f ca="1">SUMIFS(
  m.vb[valor],
  m.vb[nucleo],$AJ$1,
  m.vb[variavel],AS$7,
  m.vb[mes],$A102
)</f>
        <v>0</v>
      </c>
      <c r="AT102" s="111">
        <f ca="1">SUMIFS(
  m.vb[valor],
  m.vb[nucleo],$AJ$1,
  m.vb[variavel],AT$7,
  m.vb[mes],$A102
)</f>
        <v>0</v>
      </c>
      <c r="AU102" s="111">
        <f ca="1">SUMIFS(
  m.vb[valor],
  m.vb[nucleo],$AJ$1,
  m.vb[variavel],AU$7,
  m.vb[mes],$A102
)</f>
        <v>0</v>
      </c>
      <c r="AV102" s="122">
        <f>COUNTIFS(
    tb_estq[empresa], AV$6,
    tb_estq[Data da venda / reserva], "&gt;=" &amp; $A102,
    tb_estq[Data da venda / reserva], "&lt;"  &amp; EOMONTH($A102,0) + 1
)</f>
        <v>0</v>
      </c>
      <c r="AW102" s="123">
        <f ca="1">SUMIFS(tb_rec_uni[2029-04-01],
INDIRECT("tb_rec_uni[natureza]"),"pro.soluto",
INDIRECT("tb_rec_uni[empresa]"),AW$6)</f>
        <v>0</v>
      </c>
      <c r="AX102" s="123">
        <f ca="1">SUMIFS(tb_rec_uni[2029-04-01],
INDIRECT("tb_rec_uni[natureza]"),"repasse.cef.obra",
INDIRECT("tb_rec_uni[empresa]"),AX$6)</f>
        <v>0</v>
      </c>
      <c r="AY102" s="126">
        <f ca="1">SUMIFS(tb_rec_uni[2029-04-01],
INDIRECT("tb_rec_uni[natureza]"),"repasse.cef.terreno",
INDIRECT("tb_rec_uni[empresa]"),AY$6)</f>
        <v>0</v>
      </c>
      <c r="AZ102" s="127"/>
      <c r="BA102" s="123">
        <f ca="1">SUMIFS(tb_rec_uni[2029-04-01],
INDIRECT("tb_rec_uni[natureza]"),"taxa.extra",
INDIRECT("tb_rec_uni[empresa]"),BA$6)</f>
        <v>0</v>
      </c>
      <c r="BB102" s="111"/>
      <c r="BC102" s="111">
        <f ca="1">SUMIFS(
  m.vb[valor],
  m.vb[nucleo],$AV$1,
  m.vb[variavel],BC$7,
  m.vb[mes],$A102
)</f>
        <v>0</v>
      </c>
      <c r="BD102" s="111">
        <f ca="1">SUMIFS(
  m.vb[valor],
  m.vb[nucleo],$AV$1,
  m.vb[variavel],BD$7,
  m.vb[mes],$A102
)</f>
        <v>0</v>
      </c>
      <c r="BE102" s="111">
        <f ca="1">SUMIFS(
  m.vb[valor],
  m.vb[nucleo],$AV$1,
  m.vb[variavel],BE$7,
  m.vb[mes],$A102
)</f>
        <v>0</v>
      </c>
      <c r="BF102" s="111">
        <f ca="1">SUMIFS(
  m.vb[valor],
  m.vb[nucleo],$AV$1,
  m.vb[variavel],BF$7,
  m.vb[mes],$A102
)</f>
        <v>0</v>
      </c>
      <c r="BG102" s="111">
        <f ca="1">SUMIFS(
  m.vb[valor],
  m.vb[nucleo],$AV$1,
  m.vb[variavel],BG$7,
  m.vb[mes],$A102
)</f>
        <v>0</v>
      </c>
      <c r="BH102" s="122">
        <f>COUNTIFS(
    tb_estq[empresa], BH$6,
    tb_estq[Data da venda / reserva], "&gt;=" &amp; $A102,
    tb_estq[Data da venda / reserva], "&lt;"  &amp; EOMONTH($A102,0) + 1
)</f>
        <v>0</v>
      </c>
      <c r="BI102" s="123">
        <f ca="1">SUMIFS(tb_rec_uni[2029-04-01],
INDIRECT("tb_rec_uni[natureza]"),"pro.soluto",
INDIRECT("tb_rec_uni[empresa]"),BI$6)</f>
        <v>0</v>
      </c>
      <c r="BJ102" s="127"/>
      <c r="BK102" s="123">
        <f ca="1">SUMIFS(tb_rec_uni[2029-04-01],
INDIRECT("tb_rec_uni[natureza]"),"taxa.extra",
INDIRECT("tb_rec_uni[empresa]"),BK$6)</f>
        <v>0</v>
      </c>
      <c r="BL102" s="111"/>
      <c r="BM102" s="111">
        <f ca="1">SUMIFS(
  m.vb[valor],
  m.vb[nucleo],$BH$1,
  m.vb[variavel],BM$7,
  m.vb[mes],$A102
)</f>
        <v>0</v>
      </c>
      <c r="BN102" s="111">
        <f ca="1">SUMIFS(
  m.vb[valor],
  m.vb[nucleo],$BH$1,
  m.vb[variavel],BN$7,
  m.vb[mes],$A102
)</f>
        <v>0</v>
      </c>
      <c r="BO102" s="111">
        <f ca="1">SUMIFS(
  m.vb[valor],
  m.vb[nucleo],$BH$1,
  m.vb[variavel],BO$7,
  m.vb[mes],$A102
)</f>
        <v>0</v>
      </c>
      <c r="BP102" s="111">
        <f ca="1">SUMIFS(
  m.vb[valor],
  m.vb[nucleo],$BH$1,
  m.vb[variavel],BP$7,
  m.vb[mes],$A102
)</f>
        <v>0</v>
      </c>
      <c r="BQ102" s="111">
        <f ca="1">SUMIFS(
  m.vb[valor],
  m.vb[nucleo],$BH$1,
  m.vb[variavel],BQ$7,
  m.vb[mes],$A102
)</f>
        <v>0</v>
      </c>
      <c r="BR102" s="122">
        <f>COUNTIFS(
    tb_estq[empresa], BR$6,
    tb_estq[Data da venda / reserva], "&gt;=" &amp; $A102,
    tb_estq[Data da venda / reserva], "&lt;"  &amp; EOMONTH($A102,0) + 1
)</f>
        <v>0</v>
      </c>
      <c r="BS102" s="123">
        <f ca="1">SUMIFS(tb_rec_uni[2029-04-01],
INDIRECT("tb_rec_uni[natureza]"),"pro.soluto",
INDIRECT("tb_rec_uni[empresa]"),BS$6)</f>
        <v>0</v>
      </c>
      <c r="BT102" s="127">
        <f ca="1">SUMIFS(tb_rec_uni[2029-04-01],
INDIRECT("tb_rec_uni[natureza]"),"parcela.fin.total.ik",
INDIRECT("tb_rec_uni[empresa]"),BT$6)</f>
        <v>0</v>
      </c>
      <c r="BU102" s="123">
        <f ca="1">SUMIFS(tb_rec_uni[2029-04-01],
INDIRECT("tb_rec_uni[natureza]"),"taxa.extra",
INDIRECT("tb_rec_uni[empresa]"),BU$6)</f>
        <v>0</v>
      </c>
      <c r="BV102" s="111"/>
      <c r="BW102" s="111">
        <f ca="1">SUMIFS(
  m.vb[valor],
  m.vb[nucleo],$BR$1,
  m.vb[variavel],BW$7,
  m.vb[mes],$A102
)</f>
        <v>0</v>
      </c>
      <c r="BX102" s="111">
        <f ca="1">SUMIFS(
  m.vb[valor],
  m.vb[nucleo],$BR$1,
  m.vb[variavel],BX$7,
  m.vb[mes],$A102
)</f>
        <v>0</v>
      </c>
      <c r="BY102" s="111">
        <f ca="1">SUMIFS(
  m.vb[valor],
  m.vb[nucleo],$BR$1,
  m.vb[variavel],BY$7,
  m.vb[mes],$A102
)</f>
        <v>0</v>
      </c>
      <c r="BZ102" s="111">
        <f ca="1">SUMIFS(
  m.vb[valor],
  m.vb[nucleo],$BR$1,
  m.vb[variavel],BZ$7,
  m.vb[mes],$A102
)</f>
        <v>0</v>
      </c>
      <c r="CA102" s="111">
        <f ca="1">SUMIFS(
  m.vb[valor],
  m.vb[nucleo],$BR$1,
  m.vb[variavel],CA$7,
  m.vb[mes],$A102
)</f>
        <v>0</v>
      </c>
      <c r="CB102" s="122">
        <f>COUNTIFS(
    tb_estq[empresa], CB$6,
    tb_estq[Data da venda / reserva], "&gt;=" &amp; $A102,
    tb_estq[Data da venda / reserva], "&lt;"  &amp; EOMONTH($A102,0) + 1
)</f>
        <v>0</v>
      </c>
      <c r="CC102" s="123">
        <f ca="1">SUMIFS(tb_rec_uni[2029-04-01],
INDIRECT("tb_rec_uni[natureza]"),"pro.soluto",
INDIRECT("tb_rec_uni[empresa]"),CC$6)</f>
        <v>0</v>
      </c>
      <c r="CD102" s="123">
        <f ca="1">SUMIFS(tb_rec_uni[2029-04-01],
INDIRECT("tb_rec_uni[natureza]"),"repasse.cef.obra",
INDIRECT("tb_rec_uni[empresa]"),CD$6)</f>
        <v>0</v>
      </c>
      <c r="CE102" s="126">
        <f ca="1">SUMIFS(tb_rec_uni[2029-04-01],
INDIRECT("tb_rec_uni[natureza]"),"repasse.cef.terreno",
INDIRECT("tb_rec_uni[empresa]"),CE$6)</f>
        <v>0</v>
      </c>
      <c r="CF102" s="127"/>
      <c r="CG102" s="123">
        <f ca="1">SUMIFS(tb_rec_uni[2029-04-01],
INDIRECT("tb_rec_uni[natureza]"),"taxa.extra",
INDIRECT("tb_rec_uni[empresa]"),CG$6)</f>
        <v>0</v>
      </c>
      <c r="CH102" s="111"/>
      <c r="CI102" s="111">
        <f ca="1">SUMIFS(
  m.vb[valor],
  m.vb[nucleo],$CB$1,
  m.vb[variavel],CI$7,
  m.vb[mes],$A102
)</f>
        <v>0</v>
      </c>
      <c r="CJ102" s="111">
        <f ca="1">SUMIFS(
  m.vb[valor],
  m.vb[nucleo],$CB$1,
  m.vb[variavel],CJ$7,
  m.vb[mes],$A102
)</f>
        <v>0</v>
      </c>
      <c r="CK102" s="111">
        <f ca="1">SUMIFS(
  m.vb[valor],
  m.vb[nucleo],$CB$1,
  m.vb[variavel],CK$7,
  m.vb[mes],$A102
)</f>
        <v>0</v>
      </c>
      <c r="CL102" s="111">
        <f ca="1">SUMIFS(
  m.vb[valor],
  m.vb[nucleo],$CB$1,
  m.vb[variavel],CL$7,
  m.vb[mes],$A102
)</f>
        <v>0</v>
      </c>
      <c r="CM102" s="111">
        <f ca="1">SUMIFS(
  m.vb[valor],
  m.vb[nucleo],$CB$1,
  m.vb[variavel],CM$7,
  m.vb[mes],$A102
)</f>
        <v>0</v>
      </c>
      <c r="CN102" s="122">
        <f>COUNTIFS(
    tb_estq[empresa], CN$6,
    tb_estq[Data da venda / reserva], "&gt;=" &amp; $A102,
    tb_estq[Data da venda / reserva], "&lt;"  &amp; EOMONTH($A102,0) + 1
)</f>
        <v>0</v>
      </c>
      <c r="CO102" s="123">
        <f ca="1">SUMIFS(tb_rec_uni[2029-04-01],
INDIRECT("tb_rec_uni[natureza]"),"pro.soluto",
INDIRECT("tb_rec_uni[empresa]"),CO$6)</f>
        <v>0</v>
      </c>
      <c r="CP102" s="123">
        <f ca="1">SUMIFS(tb_rec_uni[2029-04-01],
INDIRECT("tb_rec_uni[natureza]"),"repasse.cef.obra",
INDIRECT("tb_rec_uni[empresa]"),CP$6)</f>
        <v>0</v>
      </c>
      <c r="CQ102" s="126">
        <f ca="1">SUMIFS(tb_rec_uni[2029-04-01],
INDIRECT("tb_rec_uni[natureza]"),"repasse.cef.terreno",
INDIRECT("tb_rec_uni[empresa]"),CQ$6)</f>
        <v>0</v>
      </c>
      <c r="CR102" s="127"/>
      <c r="CS102" s="123">
        <f ca="1">SUMIFS(tb_rec_uni[2029-04-01],
INDIRECT("tb_rec_uni[natureza]"),"taxa.extra",
INDIRECT("tb_rec_uni[empresa]"),CS$6)</f>
        <v>0</v>
      </c>
      <c r="CT102" s="111"/>
      <c r="CU102" s="111">
        <f ca="1">SUMIFS(
  m.vb[valor],
  m.vb[nucleo],$CN$1,
  m.vb[variavel],CU$7,
  m.vb[mes],$A102
)</f>
        <v>0</v>
      </c>
      <c r="CV102" s="111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11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11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4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21">
        <v>47239</v>
      </c>
      <c r="B103" s="122">
        <f>COUNTIFS(
    tb_estq[empresa], B$6,
    tb_estq[Data da venda / reserva], "&gt;=" &amp; $A103,
    tb_estq[Data da venda / reserva], "&lt;"  &amp; EOMONTH($A103,0) + 1
)</f>
        <v>0</v>
      </c>
      <c r="C103" s="123">
        <f ca="1">SUMIFS(tb_rec_uni[2029-05-01],
INDIRECT("tb_rec_uni[natureza]"),"pro.soluto",
INDIRECT("tb_rec_uni[empresa]"),C$6)</f>
        <v>0</v>
      </c>
      <c r="D103" s="123">
        <f ca="1">SUMIFS(tb_rec_uni[2029-05-01],
INDIRECT("tb_rec_uni[natureza]"),"repasse.cef.obra",
INDIRECT("tb_rec_uni[empresa]"),D$6)</f>
        <v>0</v>
      </c>
      <c r="E103" s="123">
        <f ca="1">SUMIFS(tb_rec_uni[2029-05-01],
INDIRECT("tb_rec_uni[natureza]"),"repasse.cef.terreno",
INDIRECT("tb_rec_uni[empresa]"),E$6)</f>
        <v>0</v>
      </c>
      <c r="F103" s="127"/>
      <c r="G103" s="123">
        <f ca="1">SUMIFS(tb_rec_uni[2029-05-01],
INDIRECT("tb_rec_uni[natureza]"),"taxa.extra",
INDIRECT("tb_rec_uni[empresa]"),G$6)</f>
        <v>0</v>
      </c>
      <c r="H103" s="111"/>
      <c r="I103" s="111">
        <f ca="1">SUMIFS(
  m.vb[valor],
  m.vb[nucleo],$B$1,
  m.vb[variavel],I$7,
  m.vb[mes],$A103
)</f>
        <v>0</v>
      </c>
      <c r="J103" s="111">
        <f ca="1">SUMIFS(
  m.vb[valor],
  m.vb[nucleo],$B$1,
  m.vb[variavel],J$7,
  m.vb[mes],$A103
)</f>
        <v>0</v>
      </c>
      <c r="K103" s="111">
        <f ca="1">SUMIFS(
  m.vb[valor],
  m.vb[nucleo],$B$1,
  m.vb[variavel],K$7,
  m.vb[mes],$A103
)</f>
        <v>0</v>
      </c>
      <c r="L103" s="111">
        <f ca="1">SUMIFS(
  m.vb[valor],
  m.vb[nucleo],$B$1,
  m.vb[variavel],L$7,
  m.vb[mes],$A103
)</f>
        <v>0</v>
      </c>
      <c r="M103" s="111">
        <f ca="1">SUMIFS(
  m.vb[valor],
  m.vb[nucleo],$B$1,
  m.vb[variavel],M$7,
  m.vb[mes],$A103
)</f>
        <v>0</v>
      </c>
      <c r="N103" s="122">
        <f>COUNTIFS(
    tb_estq[empresa], N$6,
    tb_estq[Data da venda / reserva], "&gt;=" &amp; $A103,
    tb_estq[Data da venda / reserva], "&lt;"  &amp; EOMONTH($A103,0) + 1
)</f>
        <v>0</v>
      </c>
      <c r="O103" s="123">
        <f ca="1">SUMIFS(tb_rec_uni[2029-05-01],
INDIRECT("tb_rec_uni[natureza]"),"pro.soluto",
INDIRECT("tb_rec_uni[empresa]"),O$6)</f>
        <v>0</v>
      </c>
      <c r="P103" s="123">
        <f ca="1">SUMIFS(tb_rec_uni[2029-05-01],
INDIRECT("tb_rec_uni[natureza]"),"repasse.cef.obra",
INDIRECT("tb_rec_uni[empresa]"),P$6)</f>
        <v>0</v>
      </c>
      <c r="Q103" s="123">
        <f ca="1">SUMIFS(tb_rec_uni[2029-05-01],
INDIRECT("tb_rec_uni[natureza]"),"repasse.cef.terreno",
INDIRECT("tb_rec_uni[empresa]"),Q$6)</f>
        <v>0</v>
      </c>
      <c r="R103" s="127"/>
      <c r="S103" s="123">
        <f ca="1">SUMIFS(tb_rec_uni[2029-05-01],
INDIRECT("tb_rec_uni[natureza]"),"taxa.extra",
INDIRECT("tb_rec_uni[empresa]"),S$6)</f>
        <v>0</v>
      </c>
      <c r="T103" s="111"/>
      <c r="U103" s="111">
        <f ca="1">SUMIFS(
  m.vb[valor],
  m.vb[nucleo],$N$1,
  m.vb[variavel],U$7,
  m.vb[mes],$A103
)</f>
        <v>0</v>
      </c>
      <c r="V103" s="111">
        <f ca="1">SUMIFS(
  m.vb[valor],
  m.vb[nucleo],$N$1,
  m.vb[variavel],V$7,
  m.vb[mes],$A103
)</f>
        <v>0</v>
      </c>
      <c r="W103" s="111">
        <f ca="1">SUMIFS(
  m.vb[valor],
  m.vb[nucleo],$N$1,
  m.vb[variavel],W$7,
  m.vb[mes],$A103
)</f>
        <v>0</v>
      </c>
      <c r="X103" s="111">
        <f ca="1">SUMIFS(
  m.vb[valor],
  m.vb[nucleo],$N$1,
  m.vb[variavel],X$7,
  m.vb[mes],$A103
)</f>
        <v>0</v>
      </c>
      <c r="Y103" s="111">
        <f ca="1">SUMIFS(
  m.vb[valor],
  m.vb[nucleo],$N$1,
  m.vb[variavel],Y$7,
  m.vb[mes],$A103
)</f>
        <v>0</v>
      </c>
      <c r="Z103" s="122">
        <f>COUNTIFS(
    tb_estq[empresa], Z$6,
    tb_estq[Data da venda / reserva], "&gt;=" &amp; $A103,
    tb_estq[Data da venda / reserva], "&lt;"  &amp; EOMONTH($A103,0) + 1
)</f>
        <v>0</v>
      </c>
      <c r="AA103" s="123">
        <f ca="1">SUMIFS(tb_rec_uni[2029-05-01],
INDIRECT("tb_rec_uni[natureza]"),"pro.soluto",
INDIRECT("tb_rec_uni[empresa]"),AA$6)</f>
        <v>0</v>
      </c>
      <c r="AB103" s="127">
        <f ca="1">SUMIFS(tb_rec_uni[2029-05-01],
INDIRECT("tb_rec_uni[natureza]"),"parcela.fin.total.ik",
INDIRECT("tb_rec_uni[empresa]"),AB$6)</f>
        <v>0</v>
      </c>
      <c r="AC103" s="123">
        <f ca="1">SUMIFS(tb_rec_uni[2029-05-01],
INDIRECT("tb_rec_uni[natureza]"),"taxa.extra",
INDIRECT("tb_rec_uni[empresa]"),AC$6)</f>
        <v>0</v>
      </c>
      <c r="AD103" s="111"/>
      <c r="AE103" s="111">
        <f ca="1">SUMIFS(
  m.vb[valor],
  m.vb[nucleo],$Z$1,
  m.vb[variavel],AE$7,
  m.vb[mes],$A103
)</f>
        <v>0</v>
      </c>
      <c r="AF103" s="111">
        <f ca="1">SUMIFS(
  m.vb[valor],
  m.vb[nucleo],$Z$1,
  m.vb[variavel],AF$7,
  m.vb[mes],$A103
)</f>
        <v>0</v>
      </c>
      <c r="AG103" s="111">
        <f ca="1">SUMIFS(
  m.vb[valor],
  m.vb[nucleo],$Z$1,
  m.vb[variavel],AG$7,
  m.vb[mes],$A103
)</f>
        <v>0</v>
      </c>
      <c r="AH103" s="111">
        <f ca="1">SUMIFS(
  m.vb[valor],
  m.vb[nucleo],$Z$1,
  m.vb[variavel],AH$7,
  m.vb[mes],$A103
)</f>
        <v>0</v>
      </c>
      <c r="AI103" s="111">
        <f ca="1">SUMIFS(
  m.vb[valor],
  m.vb[nucleo],$Z$1,
  m.vb[variavel],AI$7,
  m.vb[mes],$A103
)</f>
        <v>0</v>
      </c>
      <c r="AJ103" s="122">
        <f>COUNTIFS(
    tb_estq[empresa], AJ$6,
    tb_estq[Data da venda / reserva], "&gt;=" &amp; $A103,
    tb_estq[Data da venda / reserva], "&lt;"  &amp; EOMONTH($A103,0) + 1
)</f>
        <v>0</v>
      </c>
      <c r="AK103" s="123">
        <f ca="1">SUMIFS(tb_rec_uni[2029-05-01],
INDIRECT("tb_rec_uni[natureza]"),"pro.soluto",
INDIRECT("tb_rec_uni[empresa]"),AK$6)</f>
        <v>0</v>
      </c>
      <c r="AL103" s="123">
        <f ca="1">SUMIFS(tb_rec_uni[2029-05-01],
INDIRECT("tb_rec_uni[natureza]"),"repasse.cef.obra",
INDIRECT("tb_rec_uni[empresa]"),AL$6)</f>
        <v>0</v>
      </c>
      <c r="AM103" s="126">
        <f ca="1">SUMIFS(tb_rec_uni[2029-05-01],
INDIRECT("tb_rec_uni[natureza]"),"repasse.cef.terreno",
INDIRECT("tb_rec_uni[empresa]"),AM$6)</f>
        <v>0</v>
      </c>
      <c r="AN103" s="127"/>
      <c r="AO103" s="123">
        <f ca="1">SUMIFS(tb_rec_uni[2029-05-01],
INDIRECT("tb_rec_uni[natureza]"),"taxa.extra",
INDIRECT("tb_rec_uni[empresa]"),AO$6)</f>
        <v>0</v>
      </c>
      <c r="AP103" s="111"/>
      <c r="AQ103" s="111">
        <f ca="1">SUMIFS(
  m.vb[valor],
  m.vb[nucleo],$AJ$1,
  m.vb[variavel],AQ$7,
  m.vb[mes],$A103
)</f>
        <v>0</v>
      </c>
      <c r="AR103" s="111">
        <f ca="1">SUMIFS(
  m.vb[valor],
  m.vb[nucleo],$AJ$1,
  m.vb[variavel],AR$7,
  m.vb[mes],$A103
)</f>
        <v>0</v>
      </c>
      <c r="AS103" s="111">
        <f ca="1">SUMIFS(
  m.vb[valor],
  m.vb[nucleo],$AJ$1,
  m.vb[variavel],AS$7,
  m.vb[mes],$A103
)</f>
        <v>0</v>
      </c>
      <c r="AT103" s="111">
        <f ca="1">SUMIFS(
  m.vb[valor],
  m.vb[nucleo],$AJ$1,
  m.vb[variavel],AT$7,
  m.vb[mes],$A103
)</f>
        <v>0</v>
      </c>
      <c r="AU103" s="111">
        <f ca="1">SUMIFS(
  m.vb[valor],
  m.vb[nucleo],$AJ$1,
  m.vb[variavel],AU$7,
  m.vb[mes],$A103
)</f>
        <v>0</v>
      </c>
      <c r="AV103" s="122">
        <f>COUNTIFS(
    tb_estq[empresa], AV$6,
    tb_estq[Data da venda / reserva], "&gt;=" &amp; $A103,
    tb_estq[Data da venda / reserva], "&lt;"  &amp; EOMONTH($A103,0) + 1
)</f>
        <v>0</v>
      </c>
      <c r="AW103" s="123">
        <f ca="1">SUMIFS(tb_rec_uni[2029-05-01],
INDIRECT("tb_rec_uni[natureza]"),"pro.soluto",
INDIRECT("tb_rec_uni[empresa]"),AW$6)</f>
        <v>0</v>
      </c>
      <c r="AX103" s="123">
        <f ca="1">SUMIFS(tb_rec_uni[2029-05-01],
INDIRECT("tb_rec_uni[natureza]"),"repasse.cef.obra",
INDIRECT("tb_rec_uni[empresa]"),AX$6)</f>
        <v>0</v>
      </c>
      <c r="AY103" s="126">
        <f ca="1">SUMIFS(tb_rec_uni[2029-05-01],
INDIRECT("tb_rec_uni[natureza]"),"repasse.cef.terreno",
INDIRECT("tb_rec_uni[empresa]"),AY$6)</f>
        <v>0</v>
      </c>
      <c r="AZ103" s="127"/>
      <c r="BA103" s="123">
        <f ca="1">SUMIFS(tb_rec_uni[2029-05-01],
INDIRECT("tb_rec_uni[natureza]"),"taxa.extra",
INDIRECT("tb_rec_uni[empresa]"),BA$6)</f>
        <v>0</v>
      </c>
      <c r="BB103" s="111"/>
      <c r="BC103" s="111">
        <f ca="1">SUMIFS(
  m.vb[valor],
  m.vb[nucleo],$AV$1,
  m.vb[variavel],BC$7,
  m.vb[mes],$A103
)</f>
        <v>0</v>
      </c>
      <c r="BD103" s="111">
        <f ca="1">SUMIFS(
  m.vb[valor],
  m.vb[nucleo],$AV$1,
  m.vb[variavel],BD$7,
  m.vb[mes],$A103
)</f>
        <v>0</v>
      </c>
      <c r="BE103" s="111">
        <f ca="1">SUMIFS(
  m.vb[valor],
  m.vb[nucleo],$AV$1,
  m.vb[variavel],BE$7,
  m.vb[mes],$A103
)</f>
        <v>0</v>
      </c>
      <c r="BF103" s="111">
        <f ca="1">SUMIFS(
  m.vb[valor],
  m.vb[nucleo],$AV$1,
  m.vb[variavel],BF$7,
  m.vb[mes],$A103
)</f>
        <v>0</v>
      </c>
      <c r="BG103" s="111">
        <f ca="1">SUMIFS(
  m.vb[valor],
  m.vb[nucleo],$AV$1,
  m.vb[variavel],BG$7,
  m.vb[mes],$A103
)</f>
        <v>0</v>
      </c>
      <c r="BH103" s="122">
        <f>COUNTIFS(
    tb_estq[empresa], BH$6,
    tb_estq[Data da venda / reserva], "&gt;=" &amp; $A103,
    tb_estq[Data da venda / reserva], "&lt;"  &amp; EOMONTH($A103,0) + 1
)</f>
        <v>0</v>
      </c>
      <c r="BI103" s="123">
        <f ca="1">SUMIFS(tb_rec_uni[2029-05-01],
INDIRECT("tb_rec_uni[natureza]"),"pro.soluto",
INDIRECT("tb_rec_uni[empresa]"),BI$6)</f>
        <v>0</v>
      </c>
      <c r="BJ103" s="127"/>
      <c r="BK103" s="123">
        <f ca="1">SUMIFS(tb_rec_uni[2029-05-01],
INDIRECT("tb_rec_uni[natureza]"),"taxa.extra",
INDIRECT("tb_rec_uni[empresa]"),BK$6)</f>
        <v>0</v>
      </c>
      <c r="BL103" s="111"/>
      <c r="BM103" s="111">
        <f ca="1">SUMIFS(
  m.vb[valor],
  m.vb[nucleo],$BH$1,
  m.vb[variavel],BM$7,
  m.vb[mes],$A103
)</f>
        <v>0</v>
      </c>
      <c r="BN103" s="111">
        <f ca="1">SUMIFS(
  m.vb[valor],
  m.vb[nucleo],$BH$1,
  m.vb[variavel],BN$7,
  m.vb[mes],$A103
)</f>
        <v>0</v>
      </c>
      <c r="BO103" s="111">
        <f ca="1">SUMIFS(
  m.vb[valor],
  m.vb[nucleo],$BH$1,
  m.vb[variavel],BO$7,
  m.vb[mes],$A103
)</f>
        <v>0</v>
      </c>
      <c r="BP103" s="111">
        <f ca="1">SUMIFS(
  m.vb[valor],
  m.vb[nucleo],$BH$1,
  m.vb[variavel],BP$7,
  m.vb[mes],$A103
)</f>
        <v>0</v>
      </c>
      <c r="BQ103" s="111">
        <f ca="1">SUMIFS(
  m.vb[valor],
  m.vb[nucleo],$BH$1,
  m.vb[variavel],BQ$7,
  m.vb[mes],$A103
)</f>
        <v>0</v>
      </c>
      <c r="BR103" s="122">
        <f>COUNTIFS(
    tb_estq[empresa], BR$6,
    tb_estq[Data da venda / reserva], "&gt;=" &amp; $A103,
    tb_estq[Data da venda / reserva], "&lt;"  &amp; EOMONTH($A103,0) + 1
)</f>
        <v>0</v>
      </c>
      <c r="BS103" s="123">
        <f ca="1">SUMIFS(tb_rec_uni[2029-05-01],
INDIRECT("tb_rec_uni[natureza]"),"pro.soluto",
INDIRECT("tb_rec_uni[empresa]"),BS$6)</f>
        <v>0</v>
      </c>
      <c r="BT103" s="127">
        <f ca="1">SUMIFS(tb_rec_uni[2029-05-01],
INDIRECT("tb_rec_uni[natureza]"),"parcela.fin.total.ik",
INDIRECT("tb_rec_uni[empresa]"),BT$6)</f>
        <v>0</v>
      </c>
      <c r="BU103" s="123">
        <f ca="1">SUMIFS(tb_rec_uni[2029-05-01],
INDIRECT("tb_rec_uni[natureza]"),"taxa.extra",
INDIRECT("tb_rec_uni[empresa]"),BU$6)</f>
        <v>0</v>
      </c>
      <c r="BV103" s="111"/>
      <c r="BW103" s="111">
        <f ca="1">SUMIFS(
  m.vb[valor],
  m.vb[nucleo],$BR$1,
  m.vb[variavel],BW$7,
  m.vb[mes],$A103
)</f>
        <v>0</v>
      </c>
      <c r="BX103" s="111">
        <f ca="1">SUMIFS(
  m.vb[valor],
  m.vb[nucleo],$BR$1,
  m.vb[variavel],BX$7,
  m.vb[mes],$A103
)</f>
        <v>0</v>
      </c>
      <c r="BY103" s="111">
        <f ca="1">SUMIFS(
  m.vb[valor],
  m.vb[nucleo],$BR$1,
  m.vb[variavel],BY$7,
  m.vb[mes],$A103
)</f>
        <v>0</v>
      </c>
      <c r="BZ103" s="111">
        <f ca="1">SUMIFS(
  m.vb[valor],
  m.vb[nucleo],$BR$1,
  m.vb[variavel],BZ$7,
  m.vb[mes],$A103
)</f>
        <v>0</v>
      </c>
      <c r="CA103" s="111">
        <f ca="1">SUMIFS(
  m.vb[valor],
  m.vb[nucleo],$BR$1,
  m.vb[variavel],CA$7,
  m.vb[mes],$A103
)</f>
        <v>0</v>
      </c>
      <c r="CB103" s="122">
        <f>COUNTIFS(
    tb_estq[empresa], CB$6,
    tb_estq[Data da venda / reserva], "&gt;=" &amp; $A103,
    tb_estq[Data da venda / reserva], "&lt;"  &amp; EOMONTH($A103,0) + 1
)</f>
        <v>0</v>
      </c>
      <c r="CC103" s="123">
        <f ca="1">SUMIFS(tb_rec_uni[2029-05-01],
INDIRECT("tb_rec_uni[natureza]"),"pro.soluto",
INDIRECT("tb_rec_uni[empresa]"),CC$6)</f>
        <v>0</v>
      </c>
      <c r="CD103" s="123">
        <f ca="1">SUMIFS(tb_rec_uni[2029-05-01],
INDIRECT("tb_rec_uni[natureza]"),"repasse.cef.obra",
INDIRECT("tb_rec_uni[empresa]"),CD$6)</f>
        <v>0</v>
      </c>
      <c r="CE103" s="126">
        <f ca="1">SUMIFS(tb_rec_uni[2029-05-01],
INDIRECT("tb_rec_uni[natureza]"),"repasse.cef.terreno",
INDIRECT("tb_rec_uni[empresa]"),CE$6)</f>
        <v>0</v>
      </c>
      <c r="CF103" s="127"/>
      <c r="CG103" s="123">
        <f ca="1">SUMIFS(tb_rec_uni[2029-05-01],
INDIRECT("tb_rec_uni[natureza]"),"taxa.extra",
INDIRECT("tb_rec_uni[empresa]"),CG$6)</f>
        <v>0</v>
      </c>
      <c r="CH103" s="111"/>
      <c r="CI103" s="111">
        <f ca="1">SUMIFS(
  m.vb[valor],
  m.vb[nucleo],$CB$1,
  m.vb[variavel],CI$7,
  m.vb[mes],$A103
)</f>
        <v>0</v>
      </c>
      <c r="CJ103" s="111">
        <f ca="1">SUMIFS(
  m.vb[valor],
  m.vb[nucleo],$CB$1,
  m.vb[variavel],CJ$7,
  m.vb[mes],$A103
)</f>
        <v>0</v>
      </c>
      <c r="CK103" s="111">
        <f ca="1">SUMIFS(
  m.vb[valor],
  m.vb[nucleo],$CB$1,
  m.vb[variavel],CK$7,
  m.vb[mes],$A103
)</f>
        <v>0</v>
      </c>
      <c r="CL103" s="111">
        <f ca="1">SUMIFS(
  m.vb[valor],
  m.vb[nucleo],$CB$1,
  m.vb[variavel],CL$7,
  m.vb[mes],$A103
)</f>
        <v>0</v>
      </c>
      <c r="CM103" s="111">
        <f ca="1">SUMIFS(
  m.vb[valor],
  m.vb[nucleo],$CB$1,
  m.vb[variavel],CM$7,
  m.vb[mes],$A103
)</f>
        <v>0</v>
      </c>
      <c r="CN103" s="122">
        <f>COUNTIFS(
    tb_estq[empresa], CN$6,
    tb_estq[Data da venda / reserva], "&gt;=" &amp; $A103,
    tb_estq[Data da venda / reserva], "&lt;"  &amp; EOMONTH($A103,0) + 1
)</f>
        <v>0</v>
      </c>
      <c r="CO103" s="123">
        <f ca="1">SUMIFS(tb_rec_uni[2029-05-01],
INDIRECT("tb_rec_uni[natureza]"),"pro.soluto",
INDIRECT("tb_rec_uni[empresa]"),CO$6)</f>
        <v>0</v>
      </c>
      <c r="CP103" s="123">
        <f ca="1">SUMIFS(tb_rec_uni[2029-05-01],
INDIRECT("tb_rec_uni[natureza]"),"repasse.cef.obra",
INDIRECT("tb_rec_uni[empresa]"),CP$6)</f>
        <v>0</v>
      </c>
      <c r="CQ103" s="126">
        <f ca="1">SUMIFS(tb_rec_uni[2029-05-01],
INDIRECT("tb_rec_uni[natureza]"),"repasse.cef.terreno",
INDIRECT("tb_rec_uni[empresa]"),CQ$6)</f>
        <v>0</v>
      </c>
      <c r="CR103" s="127"/>
      <c r="CS103" s="123">
        <f ca="1">SUMIFS(tb_rec_uni[2029-05-01],
INDIRECT("tb_rec_uni[natureza]"),"taxa.extra",
INDIRECT("tb_rec_uni[empresa]"),CS$6)</f>
        <v>0</v>
      </c>
      <c r="CT103" s="111"/>
      <c r="CU103" s="111">
        <f ca="1">SUMIFS(
  m.vb[valor],
  m.vb[nucleo],$CN$1,
  m.vb[variavel],CU$7,
  m.vb[mes],$A103
)</f>
        <v>0</v>
      </c>
      <c r="CV103" s="111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11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11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4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21">
        <v>47270</v>
      </c>
      <c r="B104" s="122">
        <f>COUNTIFS(
    tb_estq[empresa], B$6,
    tb_estq[Data da venda / reserva], "&gt;=" &amp; $A104,
    tb_estq[Data da venda / reserva], "&lt;"  &amp; EOMONTH($A104,0) + 1
)</f>
        <v>0</v>
      </c>
      <c r="C104" s="123">
        <f ca="1">SUMIFS(tb_rec_uni[2029-06-01],
INDIRECT("tb_rec_uni[natureza]"),"pro.soluto",
INDIRECT("tb_rec_uni[empresa]"),C$6)</f>
        <v>0</v>
      </c>
      <c r="D104" s="123">
        <f ca="1">SUMIFS(tb_rec_uni[2029-06-01],
INDIRECT("tb_rec_uni[natureza]"),"repasse.cef.obra",
INDIRECT("tb_rec_uni[empresa]"),D$6)</f>
        <v>0</v>
      </c>
      <c r="E104" s="123">
        <f ca="1">SUMIFS(tb_rec_uni[2029-06-01],
INDIRECT("tb_rec_uni[natureza]"),"repasse.cef.terreno",
INDIRECT("tb_rec_uni[empresa]"),E$6)</f>
        <v>0</v>
      </c>
      <c r="F104" s="127"/>
      <c r="G104" s="123">
        <f ca="1">SUMIFS(tb_rec_uni[2029-06-01],
INDIRECT("tb_rec_uni[natureza]"),"taxa.extra",
INDIRECT("tb_rec_uni[empresa]"),G$6)</f>
        <v>0</v>
      </c>
      <c r="H104" s="111"/>
      <c r="I104" s="111">
        <f ca="1">SUMIFS(
  m.vb[valor],
  m.vb[nucleo],$B$1,
  m.vb[variavel],I$7,
  m.vb[mes],$A104
)</f>
        <v>0</v>
      </c>
      <c r="J104" s="111">
        <f ca="1">SUMIFS(
  m.vb[valor],
  m.vb[nucleo],$B$1,
  m.vb[variavel],J$7,
  m.vb[mes],$A104
)</f>
        <v>0</v>
      </c>
      <c r="K104" s="111">
        <f ca="1">SUMIFS(
  m.vb[valor],
  m.vb[nucleo],$B$1,
  m.vb[variavel],K$7,
  m.vb[mes],$A104
)</f>
        <v>0</v>
      </c>
      <c r="L104" s="111">
        <f ca="1">SUMIFS(
  m.vb[valor],
  m.vb[nucleo],$B$1,
  m.vb[variavel],L$7,
  m.vb[mes],$A104
)</f>
        <v>0</v>
      </c>
      <c r="M104" s="111">
        <f ca="1">SUMIFS(
  m.vb[valor],
  m.vb[nucleo],$B$1,
  m.vb[variavel],M$7,
  m.vb[mes],$A104
)</f>
        <v>0</v>
      </c>
      <c r="N104" s="122">
        <f>COUNTIFS(
    tb_estq[empresa], N$6,
    tb_estq[Data da venda / reserva], "&gt;=" &amp; $A104,
    tb_estq[Data da venda / reserva], "&lt;"  &amp; EOMONTH($A104,0) + 1
)</f>
        <v>0</v>
      </c>
      <c r="O104" s="123">
        <f ca="1">SUMIFS(tb_rec_uni[2029-06-01],
INDIRECT("tb_rec_uni[natureza]"),"pro.soluto",
INDIRECT("tb_rec_uni[empresa]"),O$6)</f>
        <v>0</v>
      </c>
      <c r="P104" s="123">
        <f ca="1">SUMIFS(tb_rec_uni[2029-06-01],
INDIRECT("tb_rec_uni[natureza]"),"repasse.cef.obra",
INDIRECT("tb_rec_uni[empresa]"),P$6)</f>
        <v>0</v>
      </c>
      <c r="Q104" s="123">
        <f ca="1">SUMIFS(tb_rec_uni[2029-06-01],
INDIRECT("tb_rec_uni[natureza]"),"repasse.cef.terreno",
INDIRECT("tb_rec_uni[empresa]"),Q$6)</f>
        <v>0</v>
      </c>
      <c r="R104" s="127"/>
      <c r="S104" s="123">
        <f ca="1">SUMIFS(tb_rec_uni[2029-06-01],
INDIRECT("tb_rec_uni[natureza]"),"taxa.extra",
INDIRECT("tb_rec_uni[empresa]"),S$6)</f>
        <v>0</v>
      </c>
      <c r="T104" s="111"/>
      <c r="U104" s="111">
        <f ca="1">SUMIFS(
  m.vb[valor],
  m.vb[nucleo],$N$1,
  m.vb[variavel],U$7,
  m.vb[mes],$A104
)</f>
        <v>0</v>
      </c>
      <c r="V104" s="111">
        <f ca="1">SUMIFS(
  m.vb[valor],
  m.vb[nucleo],$N$1,
  m.vb[variavel],V$7,
  m.vb[mes],$A104
)</f>
        <v>0</v>
      </c>
      <c r="W104" s="111">
        <f ca="1">SUMIFS(
  m.vb[valor],
  m.vb[nucleo],$N$1,
  m.vb[variavel],W$7,
  m.vb[mes],$A104
)</f>
        <v>0</v>
      </c>
      <c r="X104" s="111">
        <f ca="1">SUMIFS(
  m.vb[valor],
  m.vb[nucleo],$N$1,
  m.vb[variavel],X$7,
  m.vb[mes],$A104
)</f>
        <v>0</v>
      </c>
      <c r="Y104" s="111">
        <f ca="1">SUMIFS(
  m.vb[valor],
  m.vb[nucleo],$N$1,
  m.vb[variavel],Y$7,
  m.vb[mes],$A104
)</f>
        <v>0</v>
      </c>
      <c r="Z104" s="122">
        <f>COUNTIFS(
    tb_estq[empresa], Z$6,
    tb_estq[Data da venda / reserva], "&gt;=" &amp; $A104,
    tb_estq[Data da venda / reserva], "&lt;"  &amp; EOMONTH($A104,0) + 1
)</f>
        <v>0</v>
      </c>
      <c r="AA104" s="123">
        <f ca="1">SUMIFS(tb_rec_uni[2029-06-01],
INDIRECT("tb_rec_uni[natureza]"),"pro.soluto",
INDIRECT("tb_rec_uni[empresa]"),AA$6)</f>
        <v>0</v>
      </c>
      <c r="AB104" s="127">
        <f ca="1">SUMIFS(tb_rec_uni[2029-06-01],
INDIRECT("tb_rec_uni[natureza]"),"parcela.fin.total.ik",
INDIRECT("tb_rec_uni[empresa]"),AB$6)</f>
        <v>0</v>
      </c>
      <c r="AC104" s="123">
        <f ca="1">SUMIFS(tb_rec_uni[2029-06-01],
INDIRECT("tb_rec_uni[natureza]"),"taxa.extra",
INDIRECT("tb_rec_uni[empresa]"),AC$6)</f>
        <v>0</v>
      </c>
      <c r="AD104" s="111"/>
      <c r="AE104" s="111">
        <f ca="1">SUMIFS(
  m.vb[valor],
  m.vb[nucleo],$Z$1,
  m.vb[variavel],AE$7,
  m.vb[mes],$A104
)</f>
        <v>0</v>
      </c>
      <c r="AF104" s="111">
        <f ca="1">SUMIFS(
  m.vb[valor],
  m.vb[nucleo],$Z$1,
  m.vb[variavel],AF$7,
  m.vb[mes],$A104
)</f>
        <v>0</v>
      </c>
      <c r="AG104" s="111">
        <f ca="1">SUMIFS(
  m.vb[valor],
  m.vb[nucleo],$Z$1,
  m.vb[variavel],AG$7,
  m.vb[mes],$A104
)</f>
        <v>0</v>
      </c>
      <c r="AH104" s="111">
        <f ca="1">SUMIFS(
  m.vb[valor],
  m.vb[nucleo],$Z$1,
  m.vb[variavel],AH$7,
  m.vb[mes],$A104
)</f>
        <v>0</v>
      </c>
      <c r="AI104" s="111">
        <f ca="1">SUMIFS(
  m.vb[valor],
  m.vb[nucleo],$Z$1,
  m.vb[variavel],AI$7,
  m.vb[mes],$A104
)</f>
        <v>0</v>
      </c>
      <c r="AJ104" s="122">
        <f>COUNTIFS(
    tb_estq[empresa], AJ$6,
    tb_estq[Data da venda / reserva], "&gt;=" &amp; $A104,
    tb_estq[Data da venda / reserva], "&lt;"  &amp; EOMONTH($A104,0) + 1
)</f>
        <v>0</v>
      </c>
      <c r="AK104" s="123">
        <f ca="1">SUMIFS(tb_rec_uni[2029-06-01],
INDIRECT("tb_rec_uni[natureza]"),"pro.soluto",
INDIRECT("tb_rec_uni[empresa]"),AK$6)</f>
        <v>0</v>
      </c>
      <c r="AL104" s="123">
        <f ca="1">SUMIFS(tb_rec_uni[2029-06-01],
INDIRECT("tb_rec_uni[natureza]"),"repasse.cef.obra",
INDIRECT("tb_rec_uni[empresa]"),AL$6)</f>
        <v>0</v>
      </c>
      <c r="AM104" s="126">
        <f ca="1">SUMIFS(tb_rec_uni[2029-06-01],
INDIRECT("tb_rec_uni[natureza]"),"repasse.cef.terreno",
INDIRECT("tb_rec_uni[empresa]"),AM$6)</f>
        <v>0</v>
      </c>
      <c r="AN104" s="127"/>
      <c r="AO104" s="123">
        <f ca="1">SUMIFS(tb_rec_uni[2029-06-01],
INDIRECT("tb_rec_uni[natureza]"),"taxa.extra",
INDIRECT("tb_rec_uni[empresa]"),AO$6)</f>
        <v>0</v>
      </c>
      <c r="AP104" s="111"/>
      <c r="AQ104" s="111">
        <f ca="1">SUMIFS(
  m.vb[valor],
  m.vb[nucleo],$AJ$1,
  m.vb[variavel],AQ$7,
  m.vb[mes],$A104
)</f>
        <v>0</v>
      </c>
      <c r="AR104" s="111">
        <f ca="1">SUMIFS(
  m.vb[valor],
  m.vb[nucleo],$AJ$1,
  m.vb[variavel],AR$7,
  m.vb[mes],$A104
)</f>
        <v>0</v>
      </c>
      <c r="AS104" s="111">
        <f ca="1">SUMIFS(
  m.vb[valor],
  m.vb[nucleo],$AJ$1,
  m.vb[variavel],AS$7,
  m.vb[mes],$A104
)</f>
        <v>0</v>
      </c>
      <c r="AT104" s="111">
        <f ca="1">SUMIFS(
  m.vb[valor],
  m.vb[nucleo],$AJ$1,
  m.vb[variavel],AT$7,
  m.vb[mes],$A104
)</f>
        <v>0</v>
      </c>
      <c r="AU104" s="111">
        <f ca="1">SUMIFS(
  m.vb[valor],
  m.vb[nucleo],$AJ$1,
  m.vb[variavel],AU$7,
  m.vb[mes],$A104
)</f>
        <v>0</v>
      </c>
      <c r="AV104" s="122">
        <f>COUNTIFS(
    tb_estq[empresa], AV$6,
    tb_estq[Data da venda / reserva], "&gt;=" &amp; $A104,
    tb_estq[Data da venda / reserva], "&lt;"  &amp; EOMONTH($A104,0) + 1
)</f>
        <v>0</v>
      </c>
      <c r="AW104" s="123">
        <f ca="1">SUMIFS(tb_rec_uni[2029-06-01],
INDIRECT("tb_rec_uni[natureza]"),"pro.soluto",
INDIRECT("tb_rec_uni[empresa]"),AW$6)</f>
        <v>0</v>
      </c>
      <c r="AX104" s="123">
        <f ca="1">SUMIFS(tb_rec_uni[2029-06-01],
INDIRECT("tb_rec_uni[natureza]"),"repasse.cef.obra",
INDIRECT("tb_rec_uni[empresa]"),AX$6)</f>
        <v>0</v>
      </c>
      <c r="AY104" s="126">
        <f ca="1">SUMIFS(tb_rec_uni[2029-06-01],
INDIRECT("tb_rec_uni[natureza]"),"repasse.cef.terreno",
INDIRECT("tb_rec_uni[empresa]"),AY$6)</f>
        <v>0</v>
      </c>
      <c r="AZ104" s="127"/>
      <c r="BA104" s="123">
        <f ca="1">SUMIFS(tb_rec_uni[2029-06-01],
INDIRECT("tb_rec_uni[natureza]"),"taxa.extra",
INDIRECT("tb_rec_uni[empresa]"),BA$6)</f>
        <v>0</v>
      </c>
      <c r="BB104" s="111"/>
      <c r="BC104" s="111">
        <f ca="1">SUMIFS(
  m.vb[valor],
  m.vb[nucleo],$AV$1,
  m.vb[variavel],BC$7,
  m.vb[mes],$A104
)</f>
        <v>0</v>
      </c>
      <c r="BD104" s="111">
        <f ca="1">SUMIFS(
  m.vb[valor],
  m.vb[nucleo],$AV$1,
  m.vb[variavel],BD$7,
  m.vb[mes],$A104
)</f>
        <v>0</v>
      </c>
      <c r="BE104" s="111">
        <f ca="1">SUMIFS(
  m.vb[valor],
  m.vb[nucleo],$AV$1,
  m.vb[variavel],BE$7,
  m.vb[mes],$A104
)</f>
        <v>0</v>
      </c>
      <c r="BF104" s="111">
        <f ca="1">SUMIFS(
  m.vb[valor],
  m.vb[nucleo],$AV$1,
  m.vb[variavel],BF$7,
  m.vb[mes],$A104
)</f>
        <v>0</v>
      </c>
      <c r="BG104" s="111">
        <f ca="1">SUMIFS(
  m.vb[valor],
  m.vb[nucleo],$AV$1,
  m.vb[variavel],BG$7,
  m.vb[mes],$A104
)</f>
        <v>0</v>
      </c>
      <c r="BH104" s="122">
        <f>COUNTIFS(
    tb_estq[empresa], BH$6,
    tb_estq[Data da venda / reserva], "&gt;=" &amp; $A104,
    tb_estq[Data da venda / reserva], "&lt;"  &amp; EOMONTH($A104,0) + 1
)</f>
        <v>0</v>
      </c>
      <c r="BI104" s="123">
        <f ca="1">SUMIFS(tb_rec_uni[2029-06-01],
INDIRECT("tb_rec_uni[natureza]"),"pro.soluto",
INDIRECT("tb_rec_uni[empresa]"),BI$6)</f>
        <v>0</v>
      </c>
      <c r="BJ104" s="127"/>
      <c r="BK104" s="123">
        <f ca="1">SUMIFS(tb_rec_uni[2029-06-01],
INDIRECT("tb_rec_uni[natureza]"),"taxa.extra",
INDIRECT("tb_rec_uni[empresa]"),BK$6)</f>
        <v>0</v>
      </c>
      <c r="BL104" s="111"/>
      <c r="BM104" s="111">
        <f ca="1">SUMIFS(
  m.vb[valor],
  m.vb[nucleo],$BH$1,
  m.vb[variavel],BM$7,
  m.vb[mes],$A104
)</f>
        <v>0</v>
      </c>
      <c r="BN104" s="111">
        <f ca="1">SUMIFS(
  m.vb[valor],
  m.vb[nucleo],$BH$1,
  m.vb[variavel],BN$7,
  m.vb[mes],$A104
)</f>
        <v>0</v>
      </c>
      <c r="BO104" s="111">
        <f ca="1">SUMIFS(
  m.vb[valor],
  m.vb[nucleo],$BH$1,
  m.vb[variavel],BO$7,
  m.vb[mes],$A104
)</f>
        <v>0</v>
      </c>
      <c r="BP104" s="111">
        <f ca="1">SUMIFS(
  m.vb[valor],
  m.vb[nucleo],$BH$1,
  m.vb[variavel],BP$7,
  m.vb[mes],$A104
)</f>
        <v>0</v>
      </c>
      <c r="BQ104" s="111">
        <f ca="1">SUMIFS(
  m.vb[valor],
  m.vb[nucleo],$BH$1,
  m.vb[variavel],BQ$7,
  m.vb[mes],$A104
)</f>
        <v>0</v>
      </c>
      <c r="BR104" s="122">
        <f>COUNTIFS(
    tb_estq[empresa], BR$6,
    tb_estq[Data da venda / reserva], "&gt;=" &amp; $A104,
    tb_estq[Data da venda / reserva], "&lt;"  &amp; EOMONTH($A104,0) + 1
)</f>
        <v>0</v>
      </c>
      <c r="BS104" s="123">
        <f ca="1">SUMIFS(tb_rec_uni[2029-06-01],
INDIRECT("tb_rec_uni[natureza]"),"pro.soluto",
INDIRECT("tb_rec_uni[empresa]"),BS$6)</f>
        <v>0</v>
      </c>
      <c r="BT104" s="127">
        <f ca="1">SUMIFS(tb_rec_uni[2029-06-01],
INDIRECT("tb_rec_uni[natureza]"),"parcela.fin.total.ik",
INDIRECT("tb_rec_uni[empresa]"),BT$6)</f>
        <v>0</v>
      </c>
      <c r="BU104" s="123">
        <f ca="1">SUMIFS(tb_rec_uni[2029-06-01],
INDIRECT("tb_rec_uni[natureza]"),"taxa.extra",
INDIRECT("tb_rec_uni[empresa]"),BU$6)</f>
        <v>0</v>
      </c>
      <c r="BV104" s="111"/>
      <c r="BW104" s="111">
        <f ca="1">SUMIFS(
  m.vb[valor],
  m.vb[nucleo],$BR$1,
  m.vb[variavel],BW$7,
  m.vb[mes],$A104
)</f>
        <v>0</v>
      </c>
      <c r="BX104" s="111">
        <f ca="1">SUMIFS(
  m.vb[valor],
  m.vb[nucleo],$BR$1,
  m.vb[variavel],BX$7,
  m.vb[mes],$A104
)</f>
        <v>0</v>
      </c>
      <c r="BY104" s="111">
        <f ca="1">SUMIFS(
  m.vb[valor],
  m.vb[nucleo],$BR$1,
  m.vb[variavel],BY$7,
  m.vb[mes],$A104
)</f>
        <v>0</v>
      </c>
      <c r="BZ104" s="111">
        <f ca="1">SUMIFS(
  m.vb[valor],
  m.vb[nucleo],$BR$1,
  m.vb[variavel],BZ$7,
  m.vb[mes],$A104
)</f>
        <v>0</v>
      </c>
      <c r="CA104" s="111">
        <f ca="1">SUMIFS(
  m.vb[valor],
  m.vb[nucleo],$BR$1,
  m.vb[variavel],CA$7,
  m.vb[mes],$A104
)</f>
        <v>0</v>
      </c>
      <c r="CB104" s="122">
        <f>COUNTIFS(
    tb_estq[empresa], CB$6,
    tb_estq[Data da venda / reserva], "&gt;=" &amp; $A104,
    tb_estq[Data da venda / reserva], "&lt;"  &amp; EOMONTH($A104,0) + 1
)</f>
        <v>0</v>
      </c>
      <c r="CC104" s="123">
        <f ca="1">SUMIFS(tb_rec_uni[2029-06-01],
INDIRECT("tb_rec_uni[natureza]"),"pro.soluto",
INDIRECT("tb_rec_uni[empresa]"),CC$6)</f>
        <v>0</v>
      </c>
      <c r="CD104" s="123">
        <f ca="1">SUMIFS(tb_rec_uni[2029-06-01],
INDIRECT("tb_rec_uni[natureza]"),"repasse.cef.obra",
INDIRECT("tb_rec_uni[empresa]"),CD$6)</f>
        <v>0</v>
      </c>
      <c r="CE104" s="126">
        <f ca="1">SUMIFS(tb_rec_uni[2029-06-01],
INDIRECT("tb_rec_uni[natureza]"),"repasse.cef.terreno",
INDIRECT("tb_rec_uni[empresa]"),CE$6)</f>
        <v>0</v>
      </c>
      <c r="CF104" s="127"/>
      <c r="CG104" s="123">
        <f ca="1">SUMIFS(tb_rec_uni[2029-06-01],
INDIRECT("tb_rec_uni[natureza]"),"taxa.extra",
INDIRECT("tb_rec_uni[empresa]"),CG$6)</f>
        <v>0</v>
      </c>
      <c r="CH104" s="111"/>
      <c r="CI104" s="111">
        <f ca="1">SUMIFS(
  m.vb[valor],
  m.vb[nucleo],$CB$1,
  m.vb[variavel],CI$7,
  m.vb[mes],$A104
)</f>
        <v>0</v>
      </c>
      <c r="CJ104" s="111">
        <f ca="1">SUMIFS(
  m.vb[valor],
  m.vb[nucleo],$CB$1,
  m.vb[variavel],CJ$7,
  m.vb[mes],$A104
)</f>
        <v>0</v>
      </c>
      <c r="CK104" s="111">
        <f ca="1">SUMIFS(
  m.vb[valor],
  m.vb[nucleo],$CB$1,
  m.vb[variavel],CK$7,
  m.vb[mes],$A104
)</f>
        <v>0</v>
      </c>
      <c r="CL104" s="111">
        <f ca="1">SUMIFS(
  m.vb[valor],
  m.vb[nucleo],$CB$1,
  m.vb[variavel],CL$7,
  m.vb[mes],$A104
)</f>
        <v>0</v>
      </c>
      <c r="CM104" s="111">
        <f ca="1">SUMIFS(
  m.vb[valor],
  m.vb[nucleo],$CB$1,
  m.vb[variavel],CM$7,
  m.vb[mes],$A104
)</f>
        <v>0</v>
      </c>
      <c r="CN104" s="122">
        <f>COUNTIFS(
    tb_estq[empresa], CN$6,
    tb_estq[Data da venda / reserva], "&gt;=" &amp; $A104,
    tb_estq[Data da venda / reserva], "&lt;"  &amp; EOMONTH($A104,0) + 1
)</f>
        <v>0</v>
      </c>
      <c r="CO104" s="123">
        <f ca="1">SUMIFS(tb_rec_uni[2029-06-01],
INDIRECT("tb_rec_uni[natureza]"),"pro.soluto",
INDIRECT("tb_rec_uni[empresa]"),CO$6)</f>
        <v>0</v>
      </c>
      <c r="CP104" s="123">
        <f ca="1">SUMIFS(tb_rec_uni[2029-06-01],
INDIRECT("tb_rec_uni[natureza]"),"repasse.cef.obra",
INDIRECT("tb_rec_uni[empresa]"),CP$6)</f>
        <v>0</v>
      </c>
      <c r="CQ104" s="126">
        <f ca="1">SUMIFS(tb_rec_uni[2029-06-01],
INDIRECT("tb_rec_uni[natureza]"),"repasse.cef.terreno",
INDIRECT("tb_rec_uni[empresa]"),CQ$6)</f>
        <v>0</v>
      </c>
      <c r="CR104" s="127"/>
      <c r="CS104" s="123">
        <f ca="1">SUMIFS(tb_rec_uni[2029-06-01],
INDIRECT("tb_rec_uni[natureza]"),"taxa.extra",
INDIRECT("tb_rec_uni[empresa]"),CS$6)</f>
        <v>0</v>
      </c>
      <c r="CT104" s="111"/>
      <c r="CU104" s="111">
        <f ca="1">SUMIFS(
  m.vb[valor],
  m.vb[nucleo],$CN$1,
  m.vb[variavel],CU$7,
  m.vb[mes],$A104
)</f>
        <v>0</v>
      </c>
      <c r="CV104" s="111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11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11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4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21">
        <v>47300</v>
      </c>
      <c r="B105" s="122">
        <f>COUNTIFS(
    tb_estq[empresa], B$6,
    tb_estq[Data da venda / reserva], "&gt;=" &amp; $A105,
    tb_estq[Data da venda / reserva], "&lt;"  &amp; EOMONTH($A105,0) + 1
)</f>
        <v>0</v>
      </c>
      <c r="C105" s="123">
        <f ca="1">SUMIFS(tb_rec_uni[2029-07-01],
INDIRECT("tb_rec_uni[natureza]"),"pro.soluto",
INDIRECT("tb_rec_uni[empresa]"),C$6)</f>
        <v>0</v>
      </c>
      <c r="D105" s="123">
        <f ca="1">SUMIFS(tb_rec_uni[2029-07-01],
INDIRECT("tb_rec_uni[natureza]"),"repasse.cef.obra",
INDIRECT("tb_rec_uni[empresa]"),D$6)</f>
        <v>0</v>
      </c>
      <c r="E105" s="123">
        <f ca="1">SUMIFS(tb_rec_uni[2029-07-01],
INDIRECT("tb_rec_uni[natureza]"),"repasse.cef.terreno",
INDIRECT("tb_rec_uni[empresa]"),E$6)</f>
        <v>0</v>
      </c>
      <c r="F105" s="127"/>
      <c r="G105" s="123">
        <f ca="1">SUMIFS(tb_rec_uni[2029-07-01],
INDIRECT("tb_rec_uni[natureza]"),"taxa.extra",
INDIRECT("tb_rec_uni[empresa]"),G$6)</f>
        <v>0</v>
      </c>
      <c r="H105" s="111"/>
      <c r="I105" s="111">
        <f ca="1">SUMIFS(
  m.vb[valor],
  m.vb[nucleo],$B$1,
  m.vb[variavel],I$7,
  m.vb[mes],$A105
)</f>
        <v>0</v>
      </c>
      <c r="J105" s="111">
        <f ca="1">SUMIFS(
  m.vb[valor],
  m.vb[nucleo],$B$1,
  m.vb[variavel],J$7,
  m.vb[mes],$A105
)</f>
        <v>0</v>
      </c>
      <c r="K105" s="111">
        <f ca="1">SUMIFS(
  m.vb[valor],
  m.vb[nucleo],$B$1,
  m.vb[variavel],K$7,
  m.vb[mes],$A105
)</f>
        <v>0</v>
      </c>
      <c r="L105" s="111">
        <f ca="1">SUMIFS(
  m.vb[valor],
  m.vb[nucleo],$B$1,
  m.vb[variavel],L$7,
  m.vb[mes],$A105
)</f>
        <v>0</v>
      </c>
      <c r="M105" s="111">
        <f ca="1">SUMIFS(
  m.vb[valor],
  m.vb[nucleo],$B$1,
  m.vb[variavel],M$7,
  m.vb[mes],$A105
)</f>
        <v>0</v>
      </c>
      <c r="N105" s="122">
        <f>COUNTIFS(
    tb_estq[empresa], N$6,
    tb_estq[Data da venda / reserva], "&gt;=" &amp; $A105,
    tb_estq[Data da venda / reserva], "&lt;"  &amp; EOMONTH($A105,0) + 1
)</f>
        <v>0</v>
      </c>
      <c r="O105" s="123">
        <f ca="1">SUMIFS(tb_rec_uni[2029-07-01],
INDIRECT("tb_rec_uni[natureza]"),"pro.soluto",
INDIRECT("tb_rec_uni[empresa]"),O$6)</f>
        <v>0</v>
      </c>
      <c r="P105" s="123">
        <f ca="1">SUMIFS(tb_rec_uni[2029-07-01],
INDIRECT("tb_rec_uni[natureza]"),"repasse.cef.obra",
INDIRECT("tb_rec_uni[empresa]"),P$6)</f>
        <v>0</v>
      </c>
      <c r="Q105" s="123">
        <f ca="1">SUMIFS(tb_rec_uni[2029-07-01],
INDIRECT("tb_rec_uni[natureza]"),"repasse.cef.terreno",
INDIRECT("tb_rec_uni[empresa]"),Q$6)</f>
        <v>0</v>
      </c>
      <c r="R105" s="127"/>
      <c r="S105" s="123">
        <f ca="1">SUMIFS(tb_rec_uni[2029-07-01],
INDIRECT("tb_rec_uni[natureza]"),"taxa.extra",
INDIRECT("tb_rec_uni[empresa]"),S$6)</f>
        <v>0</v>
      </c>
      <c r="T105" s="111"/>
      <c r="U105" s="111">
        <f ca="1">SUMIFS(
  m.vb[valor],
  m.vb[nucleo],$N$1,
  m.vb[variavel],U$7,
  m.vb[mes],$A105
)</f>
        <v>0</v>
      </c>
      <c r="V105" s="111">
        <f ca="1">SUMIFS(
  m.vb[valor],
  m.vb[nucleo],$N$1,
  m.vb[variavel],V$7,
  m.vb[mes],$A105
)</f>
        <v>0</v>
      </c>
      <c r="W105" s="111">
        <f ca="1">SUMIFS(
  m.vb[valor],
  m.vb[nucleo],$N$1,
  m.vb[variavel],W$7,
  m.vb[mes],$A105
)</f>
        <v>0</v>
      </c>
      <c r="X105" s="111">
        <f ca="1">SUMIFS(
  m.vb[valor],
  m.vb[nucleo],$N$1,
  m.vb[variavel],X$7,
  m.vb[mes],$A105
)</f>
        <v>0</v>
      </c>
      <c r="Y105" s="111">
        <f ca="1">SUMIFS(
  m.vb[valor],
  m.vb[nucleo],$N$1,
  m.vb[variavel],Y$7,
  m.vb[mes],$A105
)</f>
        <v>0</v>
      </c>
      <c r="Z105" s="122">
        <f>COUNTIFS(
    tb_estq[empresa], Z$6,
    tb_estq[Data da venda / reserva], "&gt;=" &amp; $A105,
    tb_estq[Data da venda / reserva], "&lt;"  &amp; EOMONTH($A105,0) + 1
)</f>
        <v>0</v>
      </c>
      <c r="AA105" s="123">
        <f ca="1">SUMIFS(tb_rec_uni[2029-07-01],
INDIRECT("tb_rec_uni[natureza]"),"pro.soluto",
INDIRECT("tb_rec_uni[empresa]"),AA$6)</f>
        <v>0</v>
      </c>
      <c r="AB105" s="127">
        <f ca="1">SUMIFS(tb_rec_uni[2029-07-01],
INDIRECT("tb_rec_uni[natureza]"),"parcela.fin.total.ik",
INDIRECT("tb_rec_uni[empresa]"),AB$6)</f>
        <v>0</v>
      </c>
      <c r="AC105" s="123">
        <f ca="1">SUMIFS(tb_rec_uni[2029-07-01],
INDIRECT("tb_rec_uni[natureza]"),"taxa.extra",
INDIRECT("tb_rec_uni[empresa]"),AC$6)</f>
        <v>0</v>
      </c>
      <c r="AD105" s="111"/>
      <c r="AE105" s="111">
        <f ca="1">SUMIFS(
  m.vb[valor],
  m.vb[nucleo],$Z$1,
  m.vb[variavel],AE$7,
  m.vb[mes],$A105
)</f>
        <v>0</v>
      </c>
      <c r="AF105" s="111">
        <f ca="1">SUMIFS(
  m.vb[valor],
  m.vb[nucleo],$Z$1,
  m.vb[variavel],AF$7,
  m.vb[mes],$A105
)</f>
        <v>0</v>
      </c>
      <c r="AG105" s="111">
        <f ca="1">SUMIFS(
  m.vb[valor],
  m.vb[nucleo],$Z$1,
  m.vb[variavel],AG$7,
  m.vb[mes],$A105
)</f>
        <v>0</v>
      </c>
      <c r="AH105" s="111">
        <f ca="1">SUMIFS(
  m.vb[valor],
  m.vb[nucleo],$Z$1,
  m.vb[variavel],AH$7,
  m.vb[mes],$A105
)</f>
        <v>0</v>
      </c>
      <c r="AI105" s="111">
        <f ca="1">SUMIFS(
  m.vb[valor],
  m.vb[nucleo],$Z$1,
  m.vb[variavel],AI$7,
  m.vb[mes],$A105
)</f>
        <v>0</v>
      </c>
      <c r="AJ105" s="122">
        <f>COUNTIFS(
    tb_estq[empresa], AJ$6,
    tb_estq[Data da venda / reserva], "&gt;=" &amp; $A105,
    tb_estq[Data da venda / reserva], "&lt;"  &amp; EOMONTH($A105,0) + 1
)</f>
        <v>0</v>
      </c>
      <c r="AK105" s="123">
        <f ca="1">SUMIFS(tb_rec_uni[2029-07-01],
INDIRECT("tb_rec_uni[natureza]"),"pro.soluto",
INDIRECT("tb_rec_uni[empresa]"),AK$6)</f>
        <v>0</v>
      </c>
      <c r="AL105" s="123">
        <f ca="1">SUMIFS(tb_rec_uni[2029-07-01],
INDIRECT("tb_rec_uni[natureza]"),"repasse.cef.obra",
INDIRECT("tb_rec_uni[empresa]"),AL$6)</f>
        <v>0</v>
      </c>
      <c r="AM105" s="126">
        <f ca="1">SUMIFS(tb_rec_uni[2029-07-01],
INDIRECT("tb_rec_uni[natureza]"),"repasse.cef.terreno",
INDIRECT("tb_rec_uni[empresa]"),AM$6)</f>
        <v>0</v>
      </c>
      <c r="AN105" s="127"/>
      <c r="AO105" s="123">
        <f ca="1">SUMIFS(tb_rec_uni[2029-07-01],
INDIRECT("tb_rec_uni[natureza]"),"taxa.extra",
INDIRECT("tb_rec_uni[empresa]"),AO$6)</f>
        <v>0</v>
      </c>
      <c r="AP105" s="111"/>
      <c r="AQ105" s="111">
        <f ca="1">SUMIFS(
  m.vb[valor],
  m.vb[nucleo],$AJ$1,
  m.vb[variavel],AQ$7,
  m.vb[mes],$A105
)</f>
        <v>0</v>
      </c>
      <c r="AR105" s="111">
        <f ca="1">SUMIFS(
  m.vb[valor],
  m.vb[nucleo],$AJ$1,
  m.vb[variavel],AR$7,
  m.vb[mes],$A105
)</f>
        <v>0</v>
      </c>
      <c r="AS105" s="111">
        <f ca="1">SUMIFS(
  m.vb[valor],
  m.vb[nucleo],$AJ$1,
  m.vb[variavel],AS$7,
  m.vb[mes],$A105
)</f>
        <v>0</v>
      </c>
      <c r="AT105" s="111">
        <f ca="1">SUMIFS(
  m.vb[valor],
  m.vb[nucleo],$AJ$1,
  m.vb[variavel],AT$7,
  m.vb[mes],$A105
)</f>
        <v>0</v>
      </c>
      <c r="AU105" s="111">
        <f ca="1">SUMIFS(
  m.vb[valor],
  m.vb[nucleo],$AJ$1,
  m.vb[variavel],AU$7,
  m.vb[mes],$A105
)</f>
        <v>0</v>
      </c>
      <c r="AV105" s="122">
        <f>COUNTIFS(
    tb_estq[empresa], AV$6,
    tb_estq[Data da venda / reserva], "&gt;=" &amp; $A105,
    tb_estq[Data da venda / reserva], "&lt;"  &amp; EOMONTH($A105,0) + 1
)</f>
        <v>0</v>
      </c>
      <c r="AW105" s="123">
        <f ca="1">SUMIFS(tb_rec_uni[2029-07-01],
INDIRECT("tb_rec_uni[natureza]"),"pro.soluto",
INDIRECT("tb_rec_uni[empresa]"),AW$6)</f>
        <v>0</v>
      </c>
      <c r="AX105" s="123">
        <f ca="1">SUMIFS(tb_rec_uni[2029-07-01],
INDIRECT("tb_rec_uni[natureza]"),"repasse.cef.obra",
INDIRECT("tb_rec_uni[empresa]"),AX$6)</f>
        <v>0</v>
      </c>
      <c r="AY105" s="126">
        <f ca="1">SUMIFS(tb_rec_uni[2029-07-01],
INDIRECT("tb_rec_uni[natureza]"),"repasse.cef.terreno",
INDIRECT("tb_rec_uni[empresa]"),AY$6)</f>
        <v>0</v>
      </c>
      <c r="AZ105" s="127"/>
      <c r="BA105" s="123">
        <f ca="1">SUMIFS(tb_rec_uni[2029-07-01],
INDIRECT("tb_rec_uni[natureza]"),"taxa.extra",
INDIRECT("tb_rec_uni[empresa]"),BA$6)</f>
        <v>0</v>
      </c>
      <c r="BB105" s="111"/>
      <c r="BC105" s="111">
        <f ca="1">SUMIFS(
  m.vb[valor],
  m.vb[nucleo],$AV$1,
  m.vb[variavel],BC$7,
  m.vb[mes],$A105
)</f>
        <v>0</v>
      </c>
      <c r="BD105" s="111">
        <f ca="1">SUMIFS(
  m.vb[valor],
  m.vb[nucleo],$AV$1,
  m.vb[variavel],BD$7,
  m.vb[mes],$A105
)</f>
        <v>0</v>
      </c>
      <c r="BE105" s="111">
        <f ca="1">SUMIFS(
  m.vb[valor],
  m.vb[nucleo],$AV$1,
  m.vb[variavel],BE$7,
  m.vb[mes],$A105
)</f>
        <v>0</v>
      </c>
      <c r="BF105" s="111">
        <f ca="1">SUMIFS(
  m.vb[valor],
  m.vb[nucleo],$AV$1,
  m.vb[variavel],BF$7,
  m.vb[mes],$A105
)</f>
        <v>0</v>
      </c>
      <c r="BG105" s="111">
        <f ca="1">SUMIFS(
  m.vb[valor],
  m.vb[nucleo],$AV$1,
  m.vb[variavel],BG$7,
  m.vb[mes],$A105
)</f>
        <v>0</v>
      </c>
      <c r="BH105" s="122">
        <f>COUNTIFS(
    tb_estq[empresa], BH$6,
    tb_estq[Data da venda / reserva], "&gt;=" &amp; $A105,
    tb_estq[Data da venda / reserva], "&lt;"  &amp; EOMONTH($A105,0) + 1
)</f>
        <v>0</v>
      </c>
      <c r="BI105" s="123">
        <f ca="1">SUMIFS(tb_rec_uni[2029-07-01],
INDIRECT("tb_rec_uni[natureza]"),"pro.soluto",
INDIRECT("tb_rec_uni[empresa]"),BI$6)</f>
        <v>0</v>
      </c>
      <c r="BJ105" s="127"/>
      <c r="BK105" s="123">
        <f ca="1">SUMIFS(tb_rec_uni[2029-07-01],
INDIRECT("tb_rec_uni[natureza]"),"taxa.extra",
INDIRECT("tb_rec_uni[empresa]"),BK$6)</f>
        <v>0</v>
      </c>
      <c r="BL105" s="111"/>
      <c r="BM105" s="111">
        <f ca="1">SUMIFS(
  m.vb[valor],
  m.vb[nucleo],$BH$1,
  m.vb[variavel],BM$7,
  m.vb[mes],$A105
)</f>
        <v>0</v>
      </c>
      <c r="BN105" s="111">
        <f ca="1">SUMIFS(
  m.vb[valor],
  m.vb[nucleo],$BH$1,
  m.vb[variavel],BN$7,
  m.vb[mes],$A105
)</f>
        <v>0</v>
      </c>
      <c r="BO105" s="111">
        <f ca="1">SUMIFS(
  m.vb[valor],
  m.vb[nucleo],$BH$1,
  m.vb[variavel],BO$7,
  m.vb[mes],$A105
)</f>
        <v>0</v>
      </c>
      <c r="BP105" s="111">
        <f ca="1">SUMIFS(
  m.vb[valor],
  m.vb[nucleo],$BH$1,
  m.vb[variavel],BP$7,
  m.vb[mes],$A105
)</f>
        <v>0</v>
      </c>
      <c r="BQ105" s="111">
        <f ca="1">SUMIFS(
  m.vb[valor],
  m.vb[nucleo],$BH$1,
  m.vb[variavel],BQ$7,
  m.vb[mes],$A105
)</f>
        <v>0</v>
      </c>
      <c r="BR105" s="122">
        <f>COUNTIFS(
    tb_estq[empresa], BR$6,
    tb_estq[Data da venda / reserva], "&gt;=" &amp; $A105,
    tb_estq[Data da venda / reserva], "&lt;"  &amp; EOMONTH($A105,0) + 1
)</f>
        <v>0</v>
      </c>
      <c r="BS105" s="123">
        <f ca="1">SUMIFS(tb_rec_uni[2029-07-01],
INDIRECT("tb_rec_uni[natureza]"),"pro.soluto",
INDIRECT("tb_rec_uni[empresa]"),BS$6)</f>
        <v>0</v>
      </c>
      <c r="BT105" s="127">
        <f ca="1">SUMIFS(tb_rec_uni[2029-07-01],
INDIRECT("tb_rec_uni[natureza]"),"parcela.fin.total.ik",
INDIRECT("tb_rec_uni[empresa]"),BT$6)</f>
        <v>0</v>
      </c>
      <c r="BU105" s="123">
        <f ca="1">SUMIFS(tb_rec_uni[2029-07-01],
INDIRECT("tb_rec_uni[natureza]"),"taxa.extra",
INDIRECT("tb_rec_uni[empresa]"),BU$6)</f>
        <v>0</v>
      </c>
      <c r="BV105" s="111"/>
      <c r="BW105" s="111">
        <f ca="1">SUMIFS(
  m.vb[valor],
  m.vb[nucleo],$BR$1,
  m.vb[variavel],BW$7,
  m.vb[mes],$A105
)</f>
        <v>0</v>
      </c>
      <c r="BX105" s="111">
        <f ca="1">SUMIFS(
  m.vb[valor],
  m.vb[nucleo],$BR$1,
  m.vb[variavel],BX$7,
  m.vb[mes],$A105
)</f>
        <v>0</v>
      </c>
      <c r="BY105" s="111">
        <f ca="1">SUMIFS(
  m.vb[valor],
  m.vb[nucleo],$BR$1,
  m.vb[variavel],BY$7,
  m.vb[mes],$A105
)</f>
        <v>0</v>
      </c>
      <c r="BZ105" s="111">
        <f ca="1">SUMIFS(
  m.vb[valor],
  m.vb[nucleo],$BR$1,
  m.vb[variavel],BZ$7,
  m.vb[mes],$A105
)</f>
        <v>0</v>
      </c>
      <c r="CA105" s="111">
        <f ca="1">SUMIFS(
  m.vb[valor],
  m.vb[nucleo],$BR$1,
  m.vb[variavel],CA$7,
  m.vb[mes],$A105
)</f>
        <v>0</v>
      </c>
      <c r="CB105" s="122">
        <f>COUNTIFS(
    tb_estq[empresa], CB$6,
    tb_estq[Data da venda / reserva], "&gt;=" &amp; $A105,
    tb_estq[Data da venda / reserva], "&lt;"  &amp; EOMONTH($A105,0) + 1
)</f>
        <v>0</v>
      </c>
      <c r="CC105" s="123">
        <f ca="1">SUMIFS(tb_rec_uni[2029-07-01],
INDIRECT("tb_rec_uni[natureza]"),"pro.soluto",
INDIRECT("tb_rec_uni[empresa]"),CC$6)</f>
        <v>0</v>
      </c>
      <c r="CD105" s="123">
        <f ca="1">SUMIFS(tb_rec_uni[2029-07-01],
INDIRECT("tb_rec_uni[natureza]"),"repasse.cef.obra",
INDIRECT("tb_rec_uni[empresa]"),CD$6)</f>
        <v>0</v>
      </c>
      <c r="CE105" s="126">
        <f ca="1">SUMIFS(tb_rec_uni[2029-07-01],
INDIRECT("tb_rec_uni[natureza]"),"repasse.cef.terreno",
INDIRECT("tb_rec_uni[empresa]"),CE$6)</f>
        <v>0</v>
      </c>
      <c r="CF105" s="127"/>
      <c r="CG105" s="123">
        <f ca="1">SUMIFS(tb_rec_uni[2029-07-01],
INDIRECT("tb_rec_uni[natureza]"),"taxa.extra",
INDIRECT("tb_rec_uni[empresa]"),CG$6)</f>
        <v>0</v>
      </c>
      <c r="CH105" s="111"/>
      <c r="CI105" s="111">
        <f ca="1">SUMIFS(
  m.vb[valor],
  m.vb[nucleo],$CB$1,
  m.vb[variavel],CI$7,
  m.vb[mes],$A105
)</f>
        <v>0</v>
      </c>
      <c r="CJ105" s="111">
        <f ca="1">SUMIFS(
  m.vb[valor],
  m.vb[nucleo],$CB$1,
  m.vb[variavel],CJ$7,
  m.vb[mes],$A105
)</f>
        <v>0</v>
      </c>
      <c r="CK105" s="111">
        <f ca="1">SUMIFS(
  m.vb[valor],
  m.vb[nucleo],$CB$1,
  m.vb[variavel],CK$7,
  m.vb[mes],$A105
)</f>
        <v>0</v>
      </c>
      <c r="CL105" s="111">
        <f ca="1">SUMIFS(
  m.vb[valor],
  m.vb[nucleo],$CB$1,
  m.vb[variavel],CL$7,
  m.vb[mes],$A105
)</f>
        <v>0</v>
      </c>
      <c r="CM105" s="111">
        <f ca="1">SUMIFS(
  m.vb[valor],
  m.vb[nucleo],$CB$1,
  m.vb[variavel],CM$7,
  m.vb[mes],$A105
)</f>
        <v>0</v>
      </c>
      <c r="CN105" s="122">
        <f>COUNTIFS(
    tb_estq[empresa], CN$6,
    tb_estq[Data da venda / reserva], "&gt;=" &amp; $A105,
    tb_estq[Data da venda / reserva], "&lt;"  &amp; EOMONTH($A105,0) + 1
)</f>
        <v>0</v>
      </c>
      <c r="CO105" s="123">
        <f ca="1">SUMIFS(tb_rec_uni[2029-07-01],
INDIRECT("tb_rec_uni[natureza]"),"pro.soluto",
INDIRECT("tb_rec_uni[empresa]"),CO$6)</f>
        <v>0</v>
      </c>
      <c r="CP105" s="123">
        <f ca="1">SUMIFS(tb_rec_uni[2029-07-01],
INDIRECT("tb_rec_uni[natureza]"),"repasse.cef.obra",
INDIRECT("tb_rec_uni[empresa]"),CP$6)</f>
        <v>0</v>
      </c>
      <c r="CQ105" s="126">
        <f ca="1">SUMIFS(tb_rec_uni[2029-07-01],
INDIRECT("tb_rec_uni[natureza]"),"repasse.cef.terreno",
INDIRECT("tb_rec_uni[empresa]"),CQ$6)</f>
        <v>0</v>
      </c>
      <c r="CR105" s="127"/>
      <c r="CS105" s="123">
        <f ca="1">SUMIFS(tb_rec_uni[2029-07-01],
INDIRECT("tb_rec_uni[natureza]"),"taxa.extra",
INDIRECT("tb_rec_uni[empresa]"),CS$6)</f>
        <v>0</v>
      </c>
      <c r="CT105" s="111"/>
      <c r="CU105" s="111">
        <f ca="1">SUMIFS(
  m.vb[valor],
  m.vb[nucleo],$CN$1,
  m.vb[variavel],CU$7,
  m.vb[mes],$A105
)</f>
        <v>0</v>
      </c>
      <c r="CV105" s="111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11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11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4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21">
        <v>47331</v>
      </c>
      <c r="B106" s="122">
        <f>COUNTIFS(
    tb_estq[empresa], B$6,
    tb_estq[Data da venda / reserva], "&gt;=" &amp; $A106,
    tb_estq[Data da venda / reserva], "&lt;"  &amp; EOMONTH($A106,0) + 1
)</f>
        <v>0</v>
      </c>
      <c r="C106" s="123">
        <f ca="1">SUMIFS(tb_rec_uni[2029-08-01],
INDIRECT("tb_rec_uni[natureza]"),"pro.soluto",
INDIRECT("tb_rec_uni[empresa]"),C$6)</f>
        <v>0</v>
      </c>
      <c r="D106" s="123">
        <f ca="1">SUMIFS(tb_rec_uni[2029-08-01],
INDIRECT("tb_rec_uni[natureza]"),"repasse.cef.obra",
INDIRECT("tb_rec_uni[empresa]"),D$6)</f>
        <v>0</v>
      </c>
      <c r="E106" s="123">
        <f ca="1">SUMIFS(tb_rec_uni[2029-08-01],
INDIRECT("tb_rec_uni[natureza]"),"repasse.cef.terreno",
INDIRECT("tb_rec_uni[empresa]"),E$6)</f>
        <v>0</v>
      </c>
      <c r="F106" s="127"/>
      <c r="G106" s="123">
        <f ca="1">SUMIFS(tb_rec_uni[2029-08-01],
INDIRECT("tb_rec_uni[natureza]"),"taxa.extra",
INDIRECT("tb_rec_uni[empresa]"),G$6)</f>
        <v>0</v>
      </c>
      <c r="H106" s="111"/>
      <c r="I106" s="111">
        <f ca="1">SUMIFS(
  m.vb[valor],
  m.vb[nucleo],$B$1,
  m.vb[variavel],I$7,
  m.vb[mes],$A106
)</f>
        <v>0</v>
      </c>
      <c r="J106" s="111">
        <f ca="1">SUMIFS(
  m.vb[valor],
  m.vb[nucleo],$B$1,
  m.vb[variavel],J$7,
  m.vb[mes],$A106
)</f>
        <v>0</v>
      </c>
      <c r="K106" s="111">
        <f ca="1">SUMIFS(
  m.vb[valor],
  m.vb[nucleo],$B$1,
  m.vb[variavel],K$7,
  m.vb[mes],$A106
)</f>
        <v>0</v>
      </c>
      <c r="L106" s="111">
        <f ca="1">SUMIFS(
  m.vb[valor],
  m.vb[nucleo],$B$1,
  m.vb[variavel],L$7,
  m.vb[mes],$A106
)</f>
        <v>0</v>
      </c>
      <c r="M106" s="111">
        <f ca="1">SUMIFS(
  m.vb[valor],
  m.vb[nucleo],$B$1,
  m.vb[variavel],M$7,
  m.vb[mes],$A106
)</f>
        <v>0</v>
      </c>
      <c r="N106" s="122">
        <f>COUNTIFS(
    tb_estq[empresa], N$6,
    tb_estq[Data da venda / reserva], "&gt;=" &amp; $A106,
    tb_estq[Data da venda / reserva], "&lt;"  &amp; EOMONTH($A106,0) + 1
)</f>
        <v>0</v>
      </c>
      <c r="O106" s="123">
        <f ca="1">SUMIFS(tb_rec_uni[2029-08-01],
INDIRECT("tb_rec_uni[natureza]"),"pro.soluto",
INDIRECT("tb_rec_uni[empresa]"),O$6)</f>
        <v>0</v>
      </c>
      <c r="P106" s="123">
        <f ca="1">SUMIFS(tb_rec_uni[2029-08-01],
INDIRECT("tb_rec_uni[natureza]"),"repasse.cef.obra",
INDIRECT("tb_rec_uni[empresa]"),P$6)</f>
        <v>0</v>
      </c>
      <c r="Q106" s="123">
        <f ca="1">SUMIFS(tb_rec_uni[2029-08-01],
INDIRECT("tb_rec_uni[natureza]"),"repasse.cef.terreno",
INDIRECT("tb_rec_uni[empresa]"),Q$6)</f>
        <v>0</v>
      </c>
      <c r="R106" s="127"/>
      <c r="S106" s="123">
        <f ca="1">SUMIFS(tb_rec_uni[2029-08-01],
INDIRECT("tb_rec_uni[natureza]"),"taxa.extra",
INDIRECT("tb_rec_uni[empresa]"),S$6)</f>
        <v>0</v>
      </c>
      <c r="T106" s="111"/>
      <c r="U106" s="111">
        <f ca="1">SUMIFS(
  m.vb[valor],
  m.vb[nucleo],$N$1,
  m.vb[variavel],U$7,
  m.vb[mes],$A106
)</f>
        <v>0</v>
      </c>
      <c r="V106" s="111">
        <f ca="1">SUMIFS(
  m.vb[valor],
  m.vb[nucleo],$N$1,
  m.vb[variavel],V$7,
  m.vb[mes],$A106
)</f>
        <v>0</v>
      </c>
      <c r="W106" s="111">
        <f ca="1">SUMIFS(
  m.vb[valor],
  m.vb[nucleo],$N$1,
  m.vb[variavel],W$7,
  m.vb[mes],$A106
)</f>
        <v>0</v>
      </c>
      <c r="X106" s="111">
        <f ca="1">SUMIFS(
  m.vb[valor],
  m.vb[nucleo],$N$1,
  m.vb[variavel],X$7,
  m.vb[mes],$A106
)</f>
        <v>0</v>
      </c>
      <c r="Y106" s="111">
        <f ca="1">SUMIFS(
  m.vb[valor],
  m.vb[nucleo],$N$1,
  m.vb[variavel],Y$7,
  m.vb[mes],$A106
)</f>
        <v>0</v>
      </c>
      <c r="Z106" s="122">
        <f>COUNTIFS(
    tb_estq[empresa], Z$6,
    tb_estq[Data da venda / reserva], "&gt;=" &amp; $A106,
    tb_estq[Data da venda / reserva], "&lt;"  &amp; EOMONTH($A106,0) + 1
)</f>
        <v>0</v>
      </c>
      <c r="AA106" s="123">
        <f ca="1">SUMIFS(tb_rec_uni[2029-08-01],
INDIRECT("tb_rec_uni[natureza]"),"pro.soluto",
INDIRECT("tb_rec_uni[empresa]"),AA$6)</f>
        <v>0</v>
      </c>
      <c r="AB106" s="127">
        <f ca="1">SUMIFS(tb_rec_uni[2029-08-01],
INDIRECT("tb_rec_uni[natureza]"),"parcela.fin.total.ik",
INDIRECT("tb_rec_uni[empresa]"),AB$6)</f>
        <v>0</v>
      </c>
      <c r="AC106" s="123">
        <f ca="1">SUMIFS(tb_rec_uni[2029-08-01],
INDIRECT("tb_rec_uni[natureza]"),"taxa.extra",
INDIRECT("tb_rec_uni[empresa]"),AC$6)</f>
        <v>0</v>
      </c>
      <c r="AD106" s="111"/>
      <c r="AE106" s="111">
        <f ca="1">SUMIFS(
  m.vb[valor],
  m.vb[nucleo],$Z$1,
  m.vb[variavel],AE$7,
  m.vb[mes],$A106
)</f>
        <v>0</v>
      </c>
      <c r="AF106" s="111">
        <f ca="1">SUMIFS(
  m.vb[valor],
  m.vb[nucleo],$Z$1,
  m.vb[variavel],AF$7,
  m.vb[mes],$A106
)</f>
        <v>0</v>
      </c>
      <c r="AG106" s="111">
        <f ca="1">SUMIFS(
  m.vb[valor],
  m.vb[nucleo],$Z$1,
  m.vb[variavel],AG$7,
  m.vb[mes],$A106
)</f>
        <v>0</v>
      </c>
      <c r="AH106" s="111">
        <f ca="1">SUMIFS(
  m.vb[valor],
  m.vb[nucleo],$Z$1,
  m.vb[variavel],AH$7,
  m.vb[mes],$A106
)</f>
        <v>0</v>
      </c>
      <c r="AI106" s="111">
        <f ca="1">SUMIFS(
  m.vb[valor],
  m.vb[nucleo],$Z$1,
  m.vb[variavel],AI$7,
  m.vb[mes],$A106
)</f>
        <v>0</v>
      </c>
      <c r="AJ106" s="122">
        <f>COUNTIFS(
    tb_estq[empresa], AJ$6,
    tb_estq[Data da venda / reserva], "&gt;=" &amp; $A106,
    tb_estq[Data da venda / reserva], "&lt;"  &amp; EOMONTH($A106,0) + 1
)</f>
        <v>0</v>
      </c>
      <c r="AK106" s="123">
        <f ca="1">SUMIFS(tb_rec_uni[2029-08-01],
INDIRECT("tb_rec_uni[natureza]"),"pro.soluto",
INDIRECT("tb_rec_uni[empresa]"),AK$6)</f>
        <v>0</v>
      </c>
      <c r="AL106" s="123">
        <f ca="1">SUMIFS(tb_rec_uni[2029-08-01],
INDIRECT("tb_rec_uni[natureza]"),"repasse.cef.obra",
INDIRECT("tb_rec_uni[empresa]"),AL$6)</f>
        <v>0</v>
      </c>
      <c r="AM106" s="126">
        <f ca="1">SUMIFS(tb_rec_uni[2029-08-01],
INDIRECT("tb_rec_uni[natureza]"),"repasse.cef.terreno",
INDIRECT("tb_rec_uni[empresa]"),AM$6)</f>
        <v>0</v>
      </c>
      <c r="AN106" s="127"/>
      <c r="AO106" s="123">
        <f ca="1">SUMIFS(tb_rec_uni[2029-08-01],
INDIRECT("tb_rec_uni[natureza]"),"taxa.extra",
INDIRECT("tb_rec_uni[empresa]"),AO$6)</f>
        <v>0</v>
      </c>
      <c r="AP106" s="111"/>
      <c r="AQ106" s="111">
        <f ca="1">SUMIFS(
  m.vb[valor],
  m.vb[nucleo],$AJ$1,
  m.vb[variavel],AQ$7,
  m.vb[mes],$A106
)</f>
        <v>0</v>
      </c>
      <c r="AR106" s="111">
        <f ca="1">SUMIFS(
  m.vb[valor],
  m.vb[nucleo],$AJ$1,
  m.vb[variavel],AR$7,
  m.vb[mes],$A106
)</f>
        <v>0</v>
      </c>
      <c r="AS106" s="111">
        <f ca="1">SUMIFS(
  m.vb[valor],
  m.vb[nucleo],$AJ$1,
  m.vb[variavel],AS$7,
  m.vb[mes],$A106
)</f>
        <v>0</v>
      </c>
      <c r="AT106" s="111">
        <f ca="1">SUMIFS(
  m.vb[valor],
  m.vb[nucleo],$AJ$1,
  m.vb[variavel],AT$7,
  m.vb[mes],$A106
)</f>
        <v>0</v>
      </c>
      <c r="AU106" s="111">
        <f ca="1">SUMIFS(
  m.vb[valor],
  m.vb[nucleo],$AJ$1,
  m.vb[variavel],AU$7,
  m.vb[mes],$A106
)</f>
        <v>0</v>
      </c>
      <c r="AV106" s="122">
        <f>COUNTIFS(
    tb_estq[empresa], AV$6,
    tb_estq[Data da venda / reserva], "&gt;=" &amp; $A106,
    tb_estq[Data da venda / reserva], "&lt;"  &amp; EOMONTH($A106,0) + 1
)</f>
        <v>0</v>
      </c>
      <c r="AW106" s="123">
        <f ca="1">SUMIFS(tb_rec_uni[2029-08-01],
INDIRECT("tb_rec_uni[natureza]"),"pro.soluto",
INDIRECT("tb_rec_uni[empresa]"),AW$6)</f>
        <v>0</v>
      </c>
      <c r="AX106" s="123">
        <f ca="1">SUMIFS(tb_rec_uni[2029-08-01],
INDIRECT("tb_rec_uni[natureza]"),"repasse.cef.obra",
INDIRECT("tb_rec_uni[empresa]"),AX$6)</f>
        <v>0</v>
      </c>
      <c r="AY106" s="126">
        <f ca="1">SUMIFS(tb_rec_uni[2029-08-01],
INDIRECT("tb_rec_uni[natureza]"),"repasse.cef.terreno",
INDIRECT("tb_rec_uni[empresa]"),AY$6)</f>
        <v>0</v>
      </c>
      <c r="AZ106" s="127"/>
      <c r="BA106" s="123">
        <f ca="1">SUMIFS(tb_rec_uni[2029-08-01],
INDIRECT("tb_rec_uni[natureza]"),"taxa.extra",
INDIRECT("tb_rec_uni[empresa]"),BA$6)</f>
        <v>0</v>
      </c>
      <c r="BB106" s="111"/>
      <c r="BC106" s="111">
        <f ca="1">SUMIFS(
  m.vb[valor],
  m.vb[nucleo],$AV$1,
  m.vb[variavel],BC$7,
  m.vb[mes],$A106
)</f>
        <v>0</v>
      </c>
      <c r="BD106" s="111">
        <f ca="1">SUMIFS(
  m.vb[valor],
  m.vb[nucleo],$AV$1,
  m.vb[variavel],BD$7,
  m.vb[mes],$A106
)</f>
        <v>0</v>
      </c>
      <c r="BE106" s="111">
        <f ca="1">SUMIFS(
  m.vb[valor],
  m.vb[nucleo],$AV$1,
  m.vb[variavel],BE$7,
  m.vb[mes],$A106
)</f>
        <v>0</v>
      </c>
      <c r="BF106" s="111">
        <f ca="1">SUMIFS(
  m.vb[valor],
  m.vb[nucleo],$AV$1,
  m.vb[variavel],BF$7,
  m.vb[mes],$A106
)</f>
        <v>0</v>
      </c>
      <c r="BG106" s="111">
        <f ca="1">SUMIFS(
  m.vb[valor],
  m.vb[nucleo],$AV$1,
  m.vb[variavel],BG$7,
  m.vb[mes],$A106
)</f>
        <v>0</v>
      </c>
      <c r="BH106" s="122">
        <f>COUNTIFS(
    tb_estq[empresa], BH$6,
    tb_estq[Data da venda / reserva], "&gt;=" &amp; $A106,
    tb_estq[Data da venda / reserva], "&lt;"  &amp; EOMONTH($A106,0) + 1
)</f>
        <v>0</v>
      </c>
      <c r="BI106" s="123">
        <f ca="1">SUMIFS(tb_rec_uni[2029-08-01],
INDIRECT("tb_rec_uni[natureza]"),"pro.soluto",
INDIRECT("tb_rec_uni[empresa]"),BI$6)</f>
        <v>0</v>
      </c>
      <c r="BJ106" s="127"/>
      <c r="BK106" s="123">
        <f ca="1">SUMIFS(tb_rec_uni[2029-08-01],
INDIRECT("tb_rec_uni[natureza]"),"taxa.extra",
INDIRECT("tb_rec_uni[empresa]"),BK$6)</f>
        <v>0</v>
      </c>
      <c r="BL106" s="111"/>
      <c r="BM106" s="111">
        <f ca="1">SUMIFS(
  m.vb[valor],
  m.vb[nucleo],$BH$1,
  m.vb[variavel],BM$7,
  m.vb[mes],$A106
)</f>
        <v>0</v>
      </c>
      <c r="BN106" s="111">
        <f ca="1">SUMIFS(
  m.vb[valor],
  m.vb[nucleo],$BH$1,
  m.vb[variavel],BN$7,
  m.vb[mes],$A106
)</f>
        <v>0</v>
      </c>
      <c r="BO106" s="111">
        <f ca="1">SUMIFS(
  m.vb[valor],
  m.vb[nucleo],$BH$1,
  m.vb[variavel],BO$7,
  m.vb[mes],$A106
)</f>
        <v>0</v>
      </c>
      <c r="BP106" s="111">
        <f ca="1">SUMIFS(
  m.vb[valor],
  m.vb[nucleo],$BH$1,
  m.vb[variavel],BP$7,
  m.vb[mes],$A106
)</f>
        <v>0</v>
      </c>
      <c r="BQ106" s="111">
        <f ca="1">SUMIFS(
  m.vb[valor],
  m.vb[nucleo],$BH$1,
  m.vb[variavel],BQ$7,
  m.vb[mes],$A106
)</f>
        <v>0</v>
      </c>
      <c r="BR106" s="122">
        <f>COUNTIFS(
    tb_estq[empresa], BR$6,
    tb_estq[Data da venda / reserva], "&gt;=" &amp; $A106,
    tb_estq[Data da venda / reserva], "&lt;"  &amp; EOMONTH($A106,0) + 1
)</f>
        <v>0</v>
      </c>
      <c r="BS106" s="123">
        <f ca="1">SUMIFS(tb_rec_uni[2029-08-01],
INDIRECT("tb_rec_uni[natureza]"),"pro.soluto",
INDIRECT("tb_rec_uni[empresa]"),BS$6)</f>
        <v>0</v>
      </c>
      <c r="BT106" s="127">
        <f ca="1">SUMIFS(tb_rec_uni[2029-08-01],
INDIRECT("tb_rec_uni[natureza]"),"parcela.fin.total.ik",
INDIRECT("tb_rec_uni[empresa]"),BT$6)</f>
        <v>0</v>
      </c>
      <c r="BU106" s="123">
        <f ca="1">SUMIFS(tb_rec_uni[2029-08-01],
INDIRECT("tb_rec_uni[natureza]"),"taxa.extra",
INDIRECT("tb_rec_uni[empresa]"),BU$6)</f>
        <v>0</v>
      </c>
      <c r="BV106" s="111"/>
      <c r="BW106" s="111">
        <f ca="1">SUMIFS(
  m.vb[valor],
  m.vb[nucleo],$BR$1,
  m.vb[variavel],BW$7,
  m.vb[mes],$A106
)</f>
        <v>0</v>
      </c>
      <c r="BX106" s="111">
        <f ca="1">SUMIFS(
  m.vb[valor],
  m.vb[nucleo],$BR$1,
  m.vb[variavel],BX$7,
  m.vb[mes],$A106
)</f>
        <v>0</v>
      </c>
      <c r="BY106" s="111">
        <f ca="1">SUMIFS(
  m.vb[valor],
  m.vb[nucleo],$BR$1,
  m.vb[variavel],BY$7,
  m.vb[mes],$A106
)</f>
        <v>0</v>
      </c>
      <c r="BZ106" s="111">
        <f ca="1">SUMIFS(
  m.vb[valor],
  m.vb[nucleo],$BR$1,
  m.vb[variavel],BZ$7,
  m.vb[mes],$A106
)</f>
        <v>0</v>
      </c>
      <c r="CA106" s="111">
        <f ca="1">SUMIFS(
  m.vb[valor],
  m.vb[nucleo],$BR$1,
  m.vb[variavel],CA$7,
  m.vb[mes],$A106
)</f>
        <v>0</v>
      </c>
      <c r="CB106" s="122">
        <f>COUNTIFS(
    tb_estq[empresa], CB$6,
    tb_estq[Data da venda / reserva], "&gt;=" &amp; $A106,
    tb_estq[Data da venda / reserva], "&lt;"  &amp; EOMONTH($A106,0) + 1
)</f>
        <v>0</v>
      </c>
      <c r="CC106" s="123">
        <f ca="1">SUMIFS(tb_rec_uni[2029-08-01],
INDIRECT("tb_rec_uni[natureza]"),"pro.soluto",
INDIRECT("tb_rec_uni[empresa]"),CC$6)</f>
        <v>0</v>
      </c>
      <c r="CD106" s="123">
        <f ca="1">SUMIFS(tb_rec_uni[2029-08-01],
INDIRECT("tb_rec_uni[natureza]"),"repasse.cef.obra",
INDIRECT("tb_rec_uni[empresa]"),CD$6)</f>
        <v>0</v>
      </c>
      <c r="CE106" s="126">
        <f ca="1">SUMIFS(tb_rec_uni[2029-08-01],
INDIRECT("tb_rec_uni[natureza]"),"repasse.cef.terreno",
INDIRECT("tb_rec_uni[empresa]"),CE$6)</f>
        <v>0</v>
      </c>
      <c r="CF106" s="127"/>
      <c r="CG106" s="123">
        <f ca="1">SUMIFS(tb_rec_uni[2029-08-01],
INDIRECT("tb_rec_uni[natureza]"),"taxa.extra",
INDIRECT("tb_rec_uni[empresa]"),CG$6)</f>
        <v>0</v>
      </c>
      <c r="CH106" s="111"/>
      <c r="CI106" s="111">
        <f ca="1">SUMIFS(
  m.vb[valor],
  m.vb[nucleo],$CB$1,
  m.vb[variavel],CI$7,
  m.vb[mes],$A106
)</f>
        <v>0</v>
      </c>
      <c r="CJ106" s="111">
        <f ca="1">SUMIFS(
  m.vb[valor],
  m.vb[nucleo],$CB$1,
  m.vb[variavel],CJ$7,
  m.vb[mes],$A106
)</f>
        <v>0</v>
      </c>
      <c r="CK106" s="111">
        <f ca="1">SUMIFS(
  m.vb[valor],
  m.vb[nucleo],$CB$1,
  m.vb[variavel],CK$7,
  m.vb[mes],$A106
)</f>
        <v>0</v>
      </c>
      <c r="CL106" s="111">
        <f ca="1">SUMIFS(
  m.vb[valor],
  m.vb[nucleo],$CB$1,
  m.vb[variavel],CL$7,
  m.vb[mes],$A106
)</f>
        <v>0</v>
      </c>
      <c r="CM106" s="111">
        <f ca="1">SUMIFS(
  m.vb[valor],
  m.vb[nucleo],$CB$1,
  m.vb[variavel],CM$7,
  m.vb[mes],$A106
)</f>
        <v>0</v>
      </c>
      <c r="CN106" s="122">
        <f>COUNTIFS(
    tb_estq[empresa], CN$6,
    tb_estq[Data da venda / reserva], "&gt;=" &amp; $A106,
    tb_estq[Data da venda / reserva], "&lt;"  &amp; EOMONTH($A106,0) + 1
)</f>
        <v>0</v>
      </c>
      <c r="CO106" s="123">
        <f ca="1">SUMIFS(tb_rec_uni[2029-08-01],
INDIRECT("tb_rec_uni[natureza]"),"pro.soluto",
INDIRECT("tb_rec_uni[empresa]"),CO$6)</f>
        <v>0</v>
      </c>
      <c r="CP106" s="123">
        <f ca="1">SUMIFS(tb_rec_uni[2029-08-01],
INDIRECT("tb_rec_uni[natureza]"),"repasse.cef.obra",
INDIRECT("tb_rec_uni[empresa]"),CP$6)</f>
        <v>0</v>
      </c>
      <c r="CQ106" s="126">
        <f ca="1">SUMIFS(tb_rec_uni[2029-08-01],
INDIRECT("tb_rec_uni[natureza]"),"repasse.cef.terreno",
INDIRECT("tb_rec_uni[empresa]"),CQ$6)</f>
        <v>0</v>
      </c>
      <c r="CR106" s="127"/>
      <c r="CS106" s="123">
        <f ca="1">SUMIFS(tb_rec_uni[2029-08-01],
INDIRECT("tb_rec_uni[natureza]"),"taxa.extra",
INDIRECT("tb_rec_uni[empresa]"),CS$6)</f>
        <v>0</v>
      </c>
      <c r="CT106" s="111"/>
      <c r="CU106" s="111">
        <f ca="1">SUMIFS(
  m.vb[valor],
  m.vb[nucleo],$CN$1,
  m.vb[variavel],CU$7,
  m.vb[mes],$A106
)</f>
        <v>0</v>
      </c>
      <c r="CV106" s="111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11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11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4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21">
        <v>47362</v>
      </c>
      <c r="B107" s="122">
        <f>COUNTIFS(
    tb_estq[empresa], B$6,
    tb_estq[Data da venda / reserva], "&gt;=" &amp; $A107,
    tb_estq[Data da venda / reserva], "&lt;"  &amp; EOMONTH($A107,0) + 1
)</f>
        <v>0</v>
      </c>
      <c r="C107" s="123">
        <f ca="1">SUMIFS(tb_rec_uni[2029-09-01],
INDIRECT("tb_rec_uni[natureza]"),"pro.soluto",
INDIRECT("tb_rec_uni[empresa]"),C$6)</f>
        <v>0</v>
      </c>
      <c r="D107" s="123">
        <f ca="1">SUMIFS(tb_rec_uni[2029-09-01],
INDIRECT("tb_rec_uni[natureza]"),"repasse.cef.obra",
INDIRECT("tb_rec_uni[empresa]"),D$6)</f>
        <v>0</v>
      </c>
      <c r="E107" s="123">
        <f ca="1">SUMIFS(tb_rec_uni[2029-09-01],
INDIRECT("tb_rec_uni[natureza]"),"repasse.cef.terreno",
INDIRECT("tb_rec_uni[empresa]"),E$6)</f>
        <v>0</v>
      </c>
      <c r="F107" s="127"/>
      <c r="G107" s="123">
        <f ca="1">SUMIFS(tb_rec_uni[2029-09-01],
INDIRECT("tb_rec_uni[natureza]"),"taxa.extra",
INDIRECT("tb_rec_uni[empresa]"),G$6)</f>
        <v>0</v>
      </c>
      <c r="H107" s="111"/>
      <c r="I107" s="111">
        <f ca="1">SUMIFS(
  m.vb[valor],
  m.vb[nucleo],$B$1,
  m.vb[variavel],I$7,
  m.vb[mes],$A107
)</f>
        <v>0</v>
      </c>
      <c r="J107" s="111">
        <f ca="1">SUMIFS(
  m.vb[valor],
  m.vb[nucleo],$B$1,
  m.vb[variavel],J$7,
  m.vb[mes],$A107
)</f>
        <v>0</v>
      </c>
      <c r="K107" s="111">
        <f ca="1">SUMIFS(
  m.vb[valor],
  m.vb[nucleo],$B$1,
  m.vb[variavel],K$7,
  m.vb[mes],$A107
)</f>
        <v>0</v>
      </c>
      <c r="L107" s="111">
        <f ca="1">SUMIFS(
  m.vb[valor],
  m.vb[nucleo],$B$1,
  m.vb[variavel],L$7,
  m.vb[mes],$A107
)</f>
        <v>0</v>
      </c>
      <c r="M107" s="111">
        <f ca="1">SUMIFS(
  m.vb[valor],
  m.vb[nucleo],$B$1,
  m.vb[variavel],M$7,
  m.vb[mes],$A107
)</f>
        <v>0</v>
      </c>
      <c r="N107" s="122">
        <f>COUNTIFS(
    tb_estq[empresa], N$6,
    tb_estq[Data da venda / reserva], "&gt;=" &amp; $A107,
    tb_estq[Data da venda / reserva], "&lt;"  &amp; EOMONTH($A107,0) + 1
)</f>
        <v>0</v>
      </c>
      <c r="O107" s="123">
        <f ca="1">SUMIFS(tb_rec_uni[2029-09-01],
INDIRECT("tb_rec_uni[natureza]"),"pro.soluto",
INDIRECT("tb_rec_uni[empresa]"),O$6)</f>
        <v>0</v>
      </c>
      <c r="P107" s="123">
        <f ca="1">SUMIFS(tb_rec_uni[2029-09-01],
INDIRECT("tb_rec_uni[natureza]"),"repasse.cef.obra",
INDIRECT("tb_rec_uni[empresa]"),P$6)</f>
        <v>0</v>
      </c>
      <c r="Q107" s="123">
        <f ca="1">SUMIFS(tb_rec_uni[2029-09-01],
INDIRECT("tb_rec_uni[natureza]"),"repasse.cef.terreno",
INDIRECT("tb_rec_uni[empresa]"),Q$6)</f>
        <v>0</v>
      </c>
      <c r="R107" s="127"/>
      <c r="S107" s="123">
        <f ca="1">SUMIFS(tb_rec_uni[2029-09-01],
INDIRECT("tb_rec_uni[natureza]"),"taxa.extra",
INDIRECT("tb_rec_uni[empresa]"),S$6)</f>
        <v>0</v>
      </c>
      <c r="T107" s="111"/>
      <c r="U107" s="111">
        <f ca="1">SUMIFS(
  m.vb[valor],
  m.vb[nucleo],$N$1,
  m.vb[variavel],U$7,
  m.vb[mes],$A107
)</f>
        <v>0</v>
      </c>
      <c r="V107" s="111">
        <f ca="1">SUMIFS(
  m.vb[valor],
  m.vb[nucleo],$N$1,
  m.vb[variavel],V$7,
  m.vb[mes],$A107
)</f>
        <v>0</v>
      </c>
      <c r="W107" s="111">
        <f ca="1">SUMIFS(
  m.vb[valor],
  m.vb[nucleo],$N$1,
  m.vb[variavel],W$7,
  m.vb[mes],$A107
)</f>
        <v>0</v>
      </c>
      <c r="X107" s="111">
        <f ca="1">SUMIFS(
  m.vb[valor],
  m.vb[nucleo],$N$1,
  m.vb[variavel],X$7,
  m.vb[mes],$A107
)</f>
        <v>0</v>
      </c>
      <c r="Y107" s="111">
        <f ca="1">SUMIFS(
  m.vb[valor],
  m.vb[nucleo],$N$1,
  m.vb[variavel],Y$7,
  m.vb[mes],$A107
)</f>
        <v>0</v>
      </c>
      <c r="Z107" s="122">
        <f>COUNTIFS(
    tb_estq[empresa], Z$6,
    tb_estq[Data da venda / reserva], "&gt;=" &amp; $A107,
    tb_estq[Data da venda / reserva], "&lt;"  &amp; EOMONTH($A107,0) + 1
)</f>
        <v>0</v>
      </c>
      <c r="AA107" s="123">
        <f ca="1">SUMIFS(tb_rec_uni[2029-09-01],
INDIRECT("tb_rec_uni[natureza]"),"pro.soluto",
INDIRECT("tb_rec_uni[empresa]"),AA$6)</f>
        <v>0</v>
      </c>
      <c r="AB107" s="127">
        <f ca="1">SUMIFS(tb_rec_uni[2029-09-01],
INDIRECT("tb_rec_uni[natureza]"),"parcela.fin.total.ik",
INDIRECT("tb_rec_uni[empresa]"),AB$6)</f>
        <v>0</v>
      </c>
      <c r="AC107" s="123">
        <f ca="1">SUMIFS(tb_rec_uni[2029-09-01],
INDIRECT("tb_rec_uni[natureza]"),"taxa.extra",
INDIRECT("tb_rec_uni[empresa]"),AC$6)</f>
        <v>0</v>
      </c>
      <c r="AD107" s="111"/>
      <c r="AE107" s="111">
        <f ca="1">SUMIFS(
  m.vb[valor],
  m.vb[nucleo],$Z$1,
  m.vb[variavel],AE$7,
  m.vb[mes],$A107
)</f>
        <v>0</v>
      </c>
      <c r="AF107" s="111">
        <f ca="1">SUMIFS(
  m.vb[valor],
  m.vb[nucleo],$Z$1,
  m.vb[variavel],AF$7,
  m.vb[mes],$A107
)</f>
        <v>0</v>
      </c>
      <c r="AG107" s="111">
        <f ca="1">SUMIFS(
  m.vb[valor],
  m.vb[nucleo],$Z$1,
  m.vb[variavel],AG$7,
  m.vb[mes],$A107
)</f>
        <v>0</v>
      </c>
      <c r="AH107" s="111">
        <f ca="1">SUMIFS(
  m.vb[valor],
  m.vb[nucleo],$Z$1,
  m.vb[variavel],AH$7,
  m.vb[mes],$A107
)</f>
        <v>0</v>
      </c>
      <c r="AI107" s="111">
        <f ca="1">SUMIFS(
  m.vb[valor],
  m.vb[nucleo],$Z$1,
  m.vb[variavel],AI$7,
  m.vb[mes],$A107
)</f>
        <v>0</v>
      </c>
      <c r="AJ107" s="122">
        <f>COUNTIFS(
    tb_estq[empresa], AJ$6,
    tb_estq[Data da venda / reserva], "&gt;=" &amp; $A107,
    tb_estq[Data da venda / reserva], "&lt;"  &amp; EOMONTH($A107,0) + 1
)</f>
        <v>0</v>
      </c>
      <c r="AK107" s="123">
        <f ca="1">SUMIFS(tb_rec_uni[2029-09-01],
INDIRECT("tb_rec_uni[natureza]"),"pro.soluto",
INDIRECT("tb_rec_uni[empresa]"),AK$6)</f>
        <v>0</v>
      </c>
      <c r="AL107" s="123">
        <f ca="1">SUMIFS(tb_rec_uni[2029-09-01],
INDIRECT("tb_rec_uni[natureza]"),"repasse.cef.obra",
INDIRECT("tb_rec_uni[empresa]"),AL$6)</f>
        <v>0</v>
      </c>
      <c r="AM107" s="126">
        <f ca="1">SUMIFS(tb_rec_uni[2029-09-01],
INDIRECT("tb_rec_uni[natureza]"),"repasse.cef.terreno",
INDIRECT("tb_rec_uni[empresa]"),AM$6)</f>
        <v>0</v>
      </c>
      <c r="AN107" s="127"/>
      <c r="AO107" s="123">
        <f ca="1">SUMIFS(tb_rec_uni[2029-09-01],
INDIRECT("tb_rec_uni[natureza]"),"taxa.extra",
INDIRECT("tb_rec_uni[empresa]"),AO$6)</f>
        <v>0</v>
      </c>
      <c r="AP107" s="111"/>
      <c r="AQ107" s="111">
        <f ca="1">SUMIFS(
  m.vb[valor],
  m.vb[nucleo],$AJ$1,
  m.vb[variavel],AQ$7,
  m.vb[mes],$A107
)</f>
        <v>0</v>
      </c>
      <c r="AR107" s="111">
        <f ca="1">SUMIFS(
  m.vb[valor],
  m.vb[nucleo],$AJ$1,
  m.vb[variavel],AR$7,
  m.vb[mes],$A107
)</f>
        <v>0</v>
      </c>
      <c r="AS107" s="111">
        <f ca="1">SUMIFS(
  m.vb[valor],
  m.vb[nucleo],$AJ$1,
  m.vb[variavel],AS$7,
  m.vb[mes],$A107
)</f>
        <v>0</v>
      </c>
      <c r="AT107" s="111">
        <f ca="1">SUMIFS(
  m.vb[valor],
  m.vb[nucleo],$AJ$1,
  m.vb[variavel],AT$7,
  m.vb[mes],$A107
)</f>
        <v>0</v>
      </c>
      <c r="AU107" s="111">
        <f ca="1">SUMIFS(
  m.vb[valor],
  m.vb[nucleo],$AJ$1,
  m.vb[variavel],AU$7,
  m.vb[mes],$A107
)</f>
        <v>0</v>
      </c>
      <c r="AV107" s="122">
        <f>COUNTIFS(
    tb_estq[empresa], AV$6,
    tb_estq[Data da venda / reserva], "&gt;=" &amp; $A107,
    tb_estq[Data da venda / reserva], "&lt;"  &amp; EOMONTH($A107,0) + 1
)</f>
        <v>0</v>
      </c>
      <c r="AW107" s="123">
        <f ca="1">SUMIFS(tb_rec_uni[2029-09-01],
INDIRECT("tb_rec_uni[natureza]"),"pro.soluto",
INDIRECT("tb_rec_uni[empresa]"),AW$6)</f>
        <v>0</v>
      </c>
      <c r="AX107" s="123">
        <f ca="1">SUMIFS(tb_rec_uni[2029-09-01],
INDIRECT("tb_rec_uni[natureza]"),"repasse.cef.obra",
INDIRECT("tb_rec_uni[empresa]"),AX$6)</f>
        <v>0</v>
      </c>
      <c r="AY107" s="126">
        <f ca="1">SUMIFS(tb_rec_uni[2029-09-01],
INDIRECT("tb_rec_uni[natureza]"),"repasse.cef.terreno",
INDIRECT("tb_rec_uni[empresa]"),AY$6)</f>
        <v>0</v>
      </c>
      <c r="AZ107" s="127"/>
      <c r="BA107" s="123">
        <f ca="1">SUMIFS(tb_rec_uni[2029-09-01],
INDIRECT("tb_rec_uni[natureza]"),"taxa.extra",
INDIRECT("tb_rec_uni[empresa]"),BA$6)</f>
        <v>0</v>
      </c>
      <c r="BB107" s="111"/>
      <c r="BC107" s="111">
        <f ca="1">SUMIFS(
  m.vb[valor],
  m.vb[nucleo],$AV$1,
  m.vb[variavel],BC$7,
  m.vb[mes],$A107
)</f>
        <v>0</v>
      </c>
      <c r="BD107" s="111">
        <f ca="1">SUMIFS(
  m.vb[valor],
  m.vb[nucleo],$AV$1,
  m.vb[variavel],BD$7,
  m.vb[mes],$A107
)</f>
        <v>0</v>
      </c>
      <c r="BE107" s="111">
        <f ca="1">SUMIFS(
  m.vb[valor],
  m.vb[nucleo],$AV$1,
  m.vb[variavel],BE$7,
  m.vb[mes],$A107
)</f>
        <v>0</v>
      </c>
      <c r="BF107" s="111">
        <f ca="1">SUMIFS(
  m.vb[valor],
  m.vb[nucleo],$AV$1,
  m.vb[variavel],BF$7,
  m.vb[mes],$A107
)</f>
        <v>0</v>
      </c>
      <c r="BG107" s="111">
        <f ca="1">SUMIFS(
  m.vb[valor],
  m.vb[nucleo],$AV$1,
  m.vb[variavel],BG$7,
  m.vb[mes],$A107
)</f>
        <v>0</v>
      </c>
      <c r="BH107" s="122">
        <f>COUNTIFS(
    tb_estq[empresa], BH$6,
    tb_estq[Data da venda / reserva], "&gt;=" &amp; $A107,
    tb_estq[Data da venda / reserva], "&lt;"  &amp; EOMONTH($A107,0) + 1
)</f>
        <v>0</v>
      </c>
      <c r="BI107" s="123">
        <f ca="1">SUMIFS(tb_rec_uni[2029-09-01],
INDIRECT("tb_rec_uni[natureza]"),"pro.soluto",
INDIRECT("tb_rec_uni[empresa]"),BI$6)</f>
        <v>0</v>
      </c>
      <c r="BJ107" s="127"/>
      <c r="BK107" s="123">
        <f ca="1">SUMIFS(tb_rec_uni[2029-09-01],
INDIRECT("tb_rec_uni[natureza]"),"taxa.extra",
INDIRECT("tb_rec_uni[empresa]"),BK$6)</f>
        <v>0</v>
      </c>
      <c r="BL107" s="111"/>
      <c r="BM107" s="111">
        <f ca="1">SUMIFS(
  m.vb[valor],
  m.vb[nucleo],$BH$1,
  m.vb[variavel],BM$7,
  m.vb[mes],$A107
)</f>
        <v>0</v>
      </c>
      <c r="BN107" s="111">
        <f ca="1">SUMIFS(
  m.vb[valor],
  m.vb[nucleo],$BH$1,
  m.vb[variavel],BN$7,
  m.vb[mes],$A107
)</f>
        <v>0</v>
      </c>
      <c r="BO107" s="111">
        <f ca="1">SUMIFS(
  m.vb[valor],
  m.vb[nucleo],$BH$1,
  m.vb[variavel],BO$7,
  m.vb[mes],$A107
)</f>
        <v>0</v>
      </c>
      <c r="BP107" s="111">
        <f ca="1">SUMIFS(
  m.vb[valor],
  m.vb[nucleo],$BH$1,
  m.vb[variavel],BP$7,
  m.vb[mes],$A107
)</f>
        <v>0</v>
      </c>
      <c r="BQ107" s="111">
        <f ca="1">SUMIFS(
  m.vb[valor],
  m.vb[nucleo],$BH$1,
  m.vb[variavel],BQ$7,
  m.vb[mes],$A107
)</f>
        <v>0</v>
      </c>
      <c r="BR107" s="122">
        <f>COUNTIFS(
    tb_estq[empresa], BR$6,
    tb_estq[Data da venda / reserva], "&gt;=" &amp; $A107,
    tb_estq[Data da venda / reserva], "&lt;"  &amp; EOMONTH($A107,0) + 1
)</f>
        <v>0</v>
      </c>
      <c r="BS107" s="123">
        <f ca="1">SUMIFS(tb_rec_uni[2029-09-01],
INDIRECT("tb_rec_uni[natureza]"),"pro.soluto",
INDIRECT("tb_rec_uni[empresa]"),BS$6)</f>
        <v>0</v>
      </c>
      <c r="BT107" s="127">
        <f ca="1">SUMIFS(tb_rec_uni[2029-09-01],
INDIRECT("tb_rec_uni[natureza]"),"parcela.fin.total.ik",
INDIRECT("tb_rec_uni[empresa]"),BT$6)</f>
        <v>0</v>
      </c>
      <c r="BU107" s="123">
        <f ca="1">SUMIFS(tb_rec_uni[2029-09-01],
INDIRECT("tb_rec_uni[natureza]"),"taxa.extra",
INDIRECT("tb_rec_uni[empresa]"),BU$6)</f>
        <v>0</v>
      </c>
      <c r="BV107" s="111"/>
      <c r="BW107" s="111">
        <f ca="1">SUMIFS(
  m.vb[valor],
  m.vb[nucleo],$BR$1,
  m.vb[variavel],BW$7,
  m.vb[mes],$A107
)</f>
        <v>0</v>
      </c>
      <c r="BX107" s="111">
        <f ca="1">SUMIFS(
  m.vb[valor],
  m.vb[nucleo],$BR$1,
  m.vb[variavel],BX$7,
  m.vb[mes],$A107
)</f>
        <v>0</v>
      </c>
      <c r="BY107" s="111">
        <f ca="1">SUMIFS(
  m.vb[valor],
  m.vb[nucleo],$BR$1,
  m.vb[variavel],BY$7,
  m.vb[mes],$A107
)</f>
        <v>0</v>
      </c>
      <c r="BZ107" s="111">
        <f ca="1">SUMIFS(
  m.vb[valor],
  m.vb[nucleo],$BR$1,
  m.vb[variavel],BZ$7,
  m.vb[mes],$A107
)</f>
        <v>0</v>
      </c>
      <c r="CA107" s="111">
        <f ca="1">SUMIFS(
  m.vb[valor],
  m.vb[nucleo],$BR$1,
  m.vb[variavel],CA$7,
  m.vb[mes],$A107
)</f>
        <v>0</v>
      </c>
      <c r="CB107" s="122">
        <f>COUNTIFS(
    tb_estq[empresa], CB$6,
    tb_estq[Data da venda / reserva], "&gt;=" &amp; $A107,
    tb_estq[Data da venda / reserva], "&lt;"  &amp; EOMONTH($A107,0) + 1
)</f>
        <v>0</v>
      </c>
      <c r="CC107" s="123">
        <f ca="1">SUMIFS(tb_rec_uni[2029-09-01],
INDIRECT("tb_rec_uni[natureza]"),"pro.soluto",
INDIRECT("tb_rec_uni[empresa]"),CC$6)</f>
        <v>0</v>
      </c>
      <c r="CD107" s="123">
        <f ca="1">SUMIFS(tb_rec_uni[2029-09-01],
INDIRECT("tb_rec_uni[natureza]"),"repasse.cef.obra",
INDIRECT("tb_rec_uni[empresa]"),CD$6)</f>
        <v>0</v>
      </c>
      <c r="CE107" s="126">
        <f ca="1">SUMIFS(tb_rec_uni[2029-09-01],
INDIRECT("tb_rec_uni[natureza]"),"repasse.cef.terreno",
INDIRECT("tb_rec_uni[empresa]"),CE$6)</f>
        <v>0</v>
      </c>
      <c r="CF107" s="127"/>
      <c r="CG107" s="123">
        <f ca="1">SUMIFS(tb_rec_uni[2029-09-01],
INDIRECT("tb_rec_uni[natureza]"),"taxa.extra",
INDIRECT("tb_rec_uni[empresa]"),CG$6)</f>
        <v>0</v>
      </c>
      <c r="CH107" s="111"/>
      <c r="CI107" s="111">
        <f ca="1">SUMIFS(
  m.vb[valor],
  m.vb[nucleo],$CB$1,
  m.vb[variavel],CI$7,
  m.vb[mes],$A107
)</f>
        <v>0</v>
      </c>
      <c r="CJ107" s="111">
        <f ca="1">SUMIFS(
  m.vb[valor],
  m.vb[nucleo],$CB$1,
  m.vb[variavel],CJ$7,
  m.vb[mes],$A107
)</f>
        <v>0</v>
      </c>
      <c r="CK107" s="111">
        <f ca="1">SUMIFS(
  m.vb[valor],
  m.vb[nucleo],$CB$1,
  m.vb[variavel],CK$7,
  m.vb[mes],$A107
)</f>
        <v>0</v>
      </c>
      <c r="CL107" s="111">
        <f ca="1">SUMIFS(
  m.vb[valor],
  m.vb[nucleo],$CB$1,
  m.vb[variavel],CL$7,
  m.vb[mes],$A107
)</f>
        <v>0</v>
      </c>
      <c r="CM107" s="111">
        <f ca="1">SUMIFS(
  m.vb[valor],
  m.vb[nucleo],$CB$1,
  m.vb[variavel],CM$7,
  m.vb[mes],$A107
)</f>
        <v>0</v>
      </c>
      <c r="CN107" s="122">
        <f>COUNTIFS(
    tb_estq[empresa], CN$6,
    tb_estq[Data da venda / reserva], "&gt;=" &amp; $A107,
    tb_estq[Data da venda / reserva], "&lt;"  &amp; EOMONTH($A107,0) + 1
)</f>
        <v>0</v>
      </c>
      <c r="CO107" s="123">
        <f ca="1">SUMIFS(tb_rec_uni[2029-09-01],
INDIRECT("tb_rec_uni[natureza]"),"pro.soluto",
INDIRECT("tb_rec_uni[empresa]"),CO$6)</f>
        <v>0</v>
      </c>
      <c r="CP107" s="123">
        <f ca="1">SUMIFS(tb_rec_uni[2029-09-01],
INDIRECT("tb_rec_uni[natureza]"),"repasse.cef.obra",
INDIRECT("tb_rec_uni[empresa]"),CP$6)</f>
        <v>0</v>
      </c>
      <c r="CQ107" s="126">
        <f ca="1">SUMIFS(tb_rec_uni[2029-09-01],
INDIRECT("tb_rec_uni[natureza]"),"repasse.cef.terreno",
INDIRECT("tb_rec_uni[empresa]"),CQ$6)</f>
        <v>0</v>
      </c>
      <c r="CR107" s="127"/>
      <c r="CS107" s="123">
        <f ca="1">SUMIFS(tb_rec_uni[2029-09-01],
INDIRECT("tb_rec_uni[natureza]"),"taxa.extra",
INDIRECT("tb_rec_uni[empresa]"),CS$6)</f>
        <v>0</v>
      </c>
      <c r="CT107" s="111"/>
      <c r="CU107" s="111">
        <f ca="1">SUMIFS(
  m.vb[valor],
  m.vb[nucleo],$CN$1,
  m.vb[variavel],CU$7,
  m.vb[mes],$A107
)</f>
        <v>0</v>
      </c>
      <c r="CV107" s="111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11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11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4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21">
        <v>47392</v>
      </c>
      <c r="B108" s="122">
        <f>COUNTIFS(
    tb_estq[empresa], B$6,
    tb_estq[Data da venda / reserva], "&gt;=" &amp; $A108,
    tb_estq[Data da venda / reserva], "&lt;"  &amp; EOMONTH($A108,0) + 1
)</f>
        <v>0</v>
      </c>
      <c r="C108" s="123">
        <f ca="1">SUMIFS(tb_rec_uni[2029-10-01],
INDIRECT("tb_rec_uni[natureza]"),"pro.soluto",
INDIRECT("tb_rec_uni[empresa]"),C$6)</f>
        <v>0</v>
      </c>
      <c r="D108" s="123">
        <f ca="1">SUMIFS(tb_rec_uni[2029-10-01],
INDIRECT("tb_rec_uni[natureza]"),"repasse.cef.obra",
INDIRECT("tb_rec_uni[empresa]"),D$6)</f>
        <v>0</v>
      </c>
      <c r="E108" s="123">
        <f ca="1">SUMIFS(tb_rec_uni[2029-10-01],
INDIRECT("tb_rec_uni[natureza]"),"repasse.cef.terreno",
INDIRECT("tb_rec_uni[empresa]"),E$6)</f>
        <v>0</v>
      </c>
      <c r="F108" s="127"/>
      <c r="G108" s="123">
        <f ca="1">SUMIFS(tb_rec_uni[2029-10-01],
INDIRECT("tb_rec_uni[natureza]"),"taxa.extra",
INDIRECT("tb_rec_uni[empresa]"),G$6)</f>
        <v>0</v>
      </c>
      <c r="H108" s="111"/>
      <c r="I108" s="111">
        <f ca="1">SUMIFS(
  m.vb[valor],
  m.vb[nucleo],$B$1,
  m.vb[variavel],I$7,
  m.vb[mes],$A108
)</f>
        <v>0</v>
      </c>
      <c r="J108" s="111">
        <f ca="1">SUMIFS(
  m.vb[valor],
  m.vb[nucleo],$B$1,
  m.vb[variavel],J$7,
  m.vb[mes],$A108
)</f>
        <v>0</v>
      </c>
      <c r="K108" s="111">
        <f ca="1">SUMIFS(
  m.vb[valor],
  m.vb[nucleo],$B$1,
  m.vb[variavel],K$7,
  m.vb[mes],$A108
)</f>
        <v>0</v>
      </c>
      <c r="L108" s="111">
        <f ca="1">SUMIFS(
  m.vb[valor],
  m.vb[nucleo],$B$1,
  m.vb[variavel],L$7,
  m.vb[mes],$A108
)</f>
        <v>0</v>
      </c>
      <c r="M108" s="111">
        <f ca="1">SUMIFS(
  m.vb[valor],
  m.vb[nucleo],$B$1,
  m.vb[variavel],M$7,
  m.vb[mes],$A108
)</f>
        <v>0</v>
      </c>
      <c r="N108" s="122">
        <f>COUNTIFS(
    tb_estq[empresa], N$6,
    tb_estq[Data da venda / reserva], "&gt;=" &amp; $A108,
    tb_estq[Data da venda / reserva], "&lt;"  &amp; EOMONTH($A108,0) + 1
)</f>
        <v>0</v>
      </c>
      <c r="O108" s="123">
        <f ca="1">SUMIFS(tb_rec_uni[2029-10-01],
INDIRECT("tb_rec_uni[natureza]"),"pro.soluto",
INDIRECT("tb_rec_uni[empresa]"),O$6)</f>
        <v>0</v>
      </c>
      <c r="P108" s="123">
        <f ca="1">SUMIFS(tb_rec_uni[2029-10-01],
INDIRECT("tb_rec_uni[natureza]"),"repasse.cef.obra",
INDIRECT("tb_rec_uni[empresa]"),P$6)</f>
        <v>0</v>
      </c>
      <c r="Q108" s="123">
        <f ca="1">SUMIFS(tb_rec_uni[2029-10-01],
INDIRECT("tb_rec_uni[natureza]"),"repasse.cef.terreno",
INDIRECT("tb_rec_uni[empresa]"),Q$6)</f>
        <v>0</v>
      </c>
      <c r="R108" s="127"/>
      <c r="S108" s="123">
        <f ca="1">SUMIFS(tb_rec_uni[2029-10-01],
INDIRECT("tb_rec_uni[natureza]"),"taxa.extra",
INDIRECT("tb_rec_uni[empresa]"),S$6)</f>
        <v>0</v>
      </c>
      <c r="T108" s="111"/>
      <c r="U108" s="111">
        <f ca="1">SUMIFS(
  m.vb[valor],
  m.vb[nucleo],$N$1,
  m.vb[variavel],U$7,
  m.vb[mes],$A108
)</f>
        <v>0</v>
      </c>
      <c r="V108" s="111">
        <f ca="1">SUMIFS(
  m.vb[valor],
  m.vb[nucleo],$N$1,
  m.vb[variavel],V$7,
  m.vb[mes],$A108
)</f>
        <v>0</v>
      </c>
      <c r="W108" s="111">
        <f ca="1">SUMIFS(
  m.vb[valor],
  m.vb[nucleo],$N$1,
  m.vb[variavel],W$7,
  m.vb[mes],$A108
)</f>
        <v>0</v>
      </c>
      <c r="X108" s="111">
        <f ca="1">SUMIFS(
  m.vb[valor],
  m.vb[nucleo],$N$1,
  m.vb[variavel],X$7,
  m.vb[mes],$A108
)</f>
        <v>0</v>
      </c>
      <c r="Y108" s="111">
        <f ca="1">SUMIFS(
  m.vb[valor],
  m.vb[nucleo],$N$1,
  m.vb[variavel],Y$7,
  m.vb[mes],$A108
)</f>
        <v>0</v>
      </c>
      <c r="Z108" s="122">
        <f>COUNTIFS(
    tb_estq[empresa], Z$6,
    tb_estq[Data da venda / reserva], "&gt;=" &amp; $A108,
    tb_estq[Data da venda / reserva], "&lt;"  &amp; EOMONTH($A108,0) + 1
)</f>
        <v>0</v>
      </c>
      <c r="AA108" s="123">
        <f ca="1">SUMIFS(tb_rec_uni[2029-10-01],
INDIRECT("tb_rec_uni[natureza]"),"pro.soluto",
INDIRECT("tb_rec_uni[empresa]"),AA$6)</f>
        <v>0</v>
      </c>
      <c r="AB108" s="127">
        <f ca="1">SUMIFS(tb_rec_uni[2029-10-01],
INDIRECT("tb_rec_uni[natureza]"),"parcela.fin.total.ik",
INDIRECT("tb_rec_uni[empresa]"),AB$6)</f>
        <v>0</v>
      </c>
      <c r="AC108" s="123">
        <f ca="1">SUMIFS(tb_rec_uni[2029-10-01],
INDIRECT("tb_rec_uni[natureza]"),"taxa.extra",
INDIRECT("tb_rec_uni[empresa]"),AC$6)</f>
        <v>0</v>
      </c>
      <c r="AD108" s="111"/>
      <c r="AE108" s="111">
        <f ca="1">SUMIFS(
  m.vb[valor],
  m.vb[nucleo],$Z$1,
  m.vb[variavel],AE$7,
  m.vb[mes],$A108
)</f>
        <v>0</v>
      </c>
      <c r="AF108" s="111">
        <f ca="1">SUMIFS(
  m.vb[valor],
  m.vb[nucleo],$Z$1,
  m.vb[variavel],AF$7,
  m.vb[mes],$A108
)</f>
        <v>0</v>
      </c>
      <c r="AG108" s="111">
        <f ca="1">SUMIFS(
  m.vb[valor],
  m.vb[nucleo],$Z$1,
  m.vb[variavel],AG$7,
  m.vb[mes],$A108
)</f>
        <v>0</v>
      </c>
      <c r="AH108" s="111">
        <f ca="1">SUMIFS(
  m.vb[valor],
  m.vb[nucleo],$Z$1,
  m.vb[variavel],AH$7,
  m.vb[mes],$A108
)</f>
        <v>0</v>
      </c>
      <c r="AI108" s="111">
        <f ca="1">SUMIFS(
  m.vb[valor],
  m.vb[nucleo],$Z$1,
  m.vb[variavel],AI$7,
  m.vb[mes],$A108
)</f>
        <v>0</v>
      </c>
      <c r="AJ108" s="122">
        <f>COUNTIFS(
    tb_estq[empresa], AJ$6,
    tb_estq[Data da venda / reserva], "&gt;=" &amp; $A108,
    tb_estq[Data da venda / reserva], "&lt;"  &amp; EOMONTH($A108,0) + 1
)</f>
        <v>0</v>
      </c>
      <c r="AK108" s="123">
        <f ca="1">SUMIFS(tb_rec_uni[2029-10-01],
INDIRECT("tb_rec_uni[natureza]"),"pro.soluto",
INDIRECT("tb_rec_uni[empresa]"),AK$6)</f>
        <v>0</v>
      </c>
      <c r="AL108" s="123">
        <f ca="1">SUMIFS(tb_rec_uni[2029-10-01],
INDIRECT("tb_rec_uni[natureza]"),"repasse.cef.obra",
INDIRECT("tb_rec_uni[empresa]"),AL$6)</f>
        <v>0</v>
      </c>
      <c r="AM108" s="126">
        <f ca="1">SUMIFS(tb_rec_uni[2029-10-01],
INDIRECT("tb_rec_uni[natureza]"),"repasse.cef.terreno",
INDIRECT("tb_rec_uni[empresa]"),AM$6)</f>
        <v>0</v>
      </c>
      <c r="AN108" s="127"/>
      <c r="AO108" s="123">
        <f ca="1">SUMIFS(tb_rec_uni[2029-10-01],
INDIRECT("tb_rec_uni[natureza]"),"taxa.extra",
INDIRECT("tb_rec_uni[empresa]"),AO$6)</f>
        <v>0</v>
      </c>
      <c r="AP108" s="111"/>
      <c r="AQ108" s="111">
        <f ca="1">SUMIFS(
  m.vb[valor],
  m.vb[nucleo],$AJ$1,
  m.vb[variavel],AQ$7,
  m.vb[mes],$A108
)</f>
        <v>0</v>
      </c>
      <c r="AR108" s="111">
        <f ca="1">SUMIFS(
  m.vb[valor],
  m.vb[nucleo],$AJ$1,
  m.vb[variavel],AR$7,
  m.vb[mes],$A108
)</f>
        <v>0</v>
      </c>
      <c r="AS108" s="111">
        <f ca="1">SUMIFS(
  m.vb[valor],
  m.vb[nucleo],$AJ$1,
  m.vb[variavel],AS$7,
  m.vb[mes],$A108
)</f>
        <v>0</v>
      </c>
      <c r="AT108" s="111">
        <f ca="1">SUMIFS(
  m.vb[valor],
  m.vb[nucleo],$AJ$1,
  m.vb[variavel],AT$7,
  m.vb[mes],$A108
)</f>
        <v>0</v>
      </c>
      <c r="AU108" s="111">
        <f ca="1">SUMIFS(
  m.vb[valor],
  m.vb[nucleo],$AJ$1,
  m.vb[variavel],AU$7,
  m.vb[mes],$A108
)</f>
        <v>0</v>
      </c>
      <c r="AV108" s="122">
        <f>COUNTIFS(
    tb_estq[empresa], AV$6,
    tb_estq[Data da venda / reserva], "&gt;=" &amp; $A108,
    tb_estq[Data da venda / reserva], "&lt;"  &amp; EOMONTH($A108,0) + 1
)</f>
        <v>0</v>
      </c>
      <c r="AW108" s="123">
        <f ca="1">SUMIFS(tb_rec_uni[2029-10-01],
INDIRECT("tb_rec_uni[natureza]"),"pro.soluto",
INDIRECT("tb_rec_uni[empresa]"),AW$6)</f>
        <v>0</v>
      </c>
      <c r="AX108" s="123">
        <f ca="1">SUMIFS(tb_rec_uni[2029-10-01],
INDIRECT("tb_rec_uni[natureza]"),"repasse.cef.obra",
INDIRECT("tb_rec_uni[empresa]"),AX$6)</f>
        <v>0</v>
      </c>
      <c r="AY108" s="126">
        <f ca="1">SUMIFS(tb_rec_uni[2029-10-01],
INDIRECT("tb_rec_uni[natureza]"),"repasse.cef.terreno",
INDIRECT("tb_rec_uni[empresa]"),AY$6)</f>
        <v>0</v>
      </c>
      <c r="AZ108" s="127"/>
      <c r="BA108" s="123">
        <f ca="1">SUMIFS(tb_rec_uni[2029-10-01],
INDIRECT("tb_rec_uni[natureza]"),"taxa.extra",
INDIRECT("tb_rec_uni[empresa]"),BA$6)</f>
        <v>0</v>
      </c>
      <c r="BB108" s="111"/>
      <c r="BC108" s="111">
        <f ca="1">SUMIFS(
  m.vb[valor],
  m.vb[nucleo],$AV$1,
  m.vb[variavel],BC$7,
  m.vb[mes],$A108
)</f>
        <v>0</v>
      </c>
      <c r="BD108" s="111">
        <f ca="1">SUMIFS(
  m.vb[valor],
  m.vb[nucleo],$AV$1,
  m.vb[variavel],BD$7,
  m.vb[mes],$A108
)</f>
        <v>0</v>
      </c>
      <c r="BE108" s="111">
        <f ca="1">SUMIFS(
  m.vb[valor],
  m.vb[nucleo],$AV$1,
  m.vb[variavel],BE$7,
  m.vb[mes],$A108
)</f>
        <v>0</v>
      </c>
      <c r="BF108" s="111">
        <f ca="1">SUMIFS(
  m.vb[valor],
  m.vb[nucleo],$AV$1,
  m.vb[variavel],BF$7,
  m.vb[mes],$A108
)</f>
        <v>0</v>
      </c>
      <c r="BG108" s="111">
        <f ca="1">SUMIFS(
  m.vb[valor],
  m.vb[nucleo],$AV$1,
  m.vb[variavel],BG$7,
  m.vb[mes],$A108
)</f>
        <v>0</v>
      </c>
      <c r="BH108" s="122">
        <f>COUNTIFS(
    tb_estq[empresa], BH$6,
    tb_estq[Data da venda / reserva], "&gt;=" &amp; $A108,
    tb_estq[Data da venda / reserva], "&lt;"  &amp; EOMONTH($A108,0) + 1
)</f>
        <v>0</v>
      </c>
      <c r="BI108" s="123">
        <f ca="1">SUMIFS(tb_rec_uni[2029-10-01],
INDIRECT("tb_rec_uni[natureza]"),"pro.soluto",
INDIRECT("tb_rec_uni[empresa]"),BI$6)</f>
        <v>0</v>
      </c>
      <c r="BJ108" s="127"/>
      <c r="BK108" s="123">
        <f ca="1">SUMIFS(tb_rec_uni[2029-10-01],
INDIRECT("tb_rec_uni[natureza]"),"taxa.extra",
INDIRECT("tb_rec_uni[empresa]"),BK$6)</f>
        <v>0</v>
      </c>
      <c r="BL108" s="111"/>
      <c r="BM108" s="111">
        <f ca="1">SUMIFS(
  m.vb[valor],
  m.vb[nucleo],$BH$1,
  m.vb[variavel],BM$7,
  m.vb[mes],$A108
)</f>
        <v>0</v>
      </c>
      <c r="BN108" s="111">
        <f ca="1">SUMIFS(
  m.vb[valor],
  m.vb[nucleo],$BH$1,
  m.vb[variavel],BN$7,
  m.vb[mes],$A108
)</f>
        <v>0</v>
      </c>
      <c r="BO108" s="111">
        <f ca="1">SUMIFS(
  m.vb[valor],
  m.vb[nucleo],$BH$1,
  m.vb[variavel],BO$7,
  m.vb[mes],$A108
)</f>
        <v>0</v>
      </c>
      <c r="BP108" s="111">
        <f ca="1">SUMIFS(
  m.vb[valor],
  m.vb[nucleo],$BH$1,
  m.vb[variavel],BP$7,
  m.vb[mes],$A108
)</f>
        <v>0</v>
      </c>
      <c r="BQ108" s="111">
        <f ca="1">SUMIFS(
  m.vb[valor],
  m.vb[nucleo],$BH$1,
  m.vb[variavel],BQ$7,
  m.vb[mes],$A108
)</f>
        <v>0</v>
      </c>
      <c r="BR108" s="122">
        <f>COUNTIFS(
    tb_estq[empresa], BR$6,
    tb_estq[Data da venda / reserva], "&gt;=" &amp; $A108,
    tb_estq[Data da venda / reserva], "&lt;"  &amp; EOMONTH($A108,0) + 1
)</f>
        <v>0</v>
      </c>
      <c r="BS108" s="123">
        <f ca="1">SUMIFS(tb_rec_uni[2029-10-01],
INDIRECT("tb_rec_uni[natureza]"),"pro.soluto",
INDIRECT("tb_rec_uni[empresa]"),BS$6)</f>
        <v>0</v>
      </c>
      <c r="BT108" s="127">
        <f ca="1">SUMIFS(tb_rec_uni[2029-10-01],
INDIRECT("tb_rec_uni[natureza]"),"parcela.fin.total.ik",
INDIRECT("tb_rec_uni[empresa]"),BT$6)</f>
        <v>0</v>
      </c>
      <c r="BU108" s="123">
        <f ca="1">SUMIFS(tb_rec_uni[2029-10-01],
INDIRECT("tb_rec_uni[natureza]"),"taxa.extra",
INDIRECT("tb_rec_uni[empresa]"),BU$6)</f>
        <v>0</v>
      </c>
      <c r="BV108" s="111"/>
      <c r="BW108" s="111">
        <f ca="1">SUMIFS(
  m.vb[valor],
  m.vb[nucleo],$BR$1,
  m.vb[variavel],BW$7,
  m.vb[mes],$A108
)</f>
        <v>0</v>
      </c>
      <c r="BX108" s="111">
        <f ca="1">SUMIFS(
  m.vb[valor],
  m.vb[nucleo],$BR$1,
  m.vb[variavel],BX$7,
  m.vb[mes],$A108
)</f>
        <v>0</v>
      </c>
      <c r="BY108" s="111">
        <f ca="1">SUMIFS(
  m.vb[valor],
  m.vb[nucleo],$BR$1,
  m.vb[variavel],BY$7,
  m.vb[mes],$A108
)</f>
        <v>0</v>
      </c>
      <c r="BZ108" s="111">
        <f ca="1">SUMIFS(
  m.vb[valor],
  m.vb[nucleo],$BR$1,
  m.vb[variavel],BZ$7,
  m.vb[mes],$A108
)</f>
        <v>0</v>
      </c>
      <c r="CA108" s="111">
        <f ca="1">SUMIFS(
  m.vb[valor],
  m.vb[nucleo],$BR$1,
  m.vb[variavel],CA$7,
  m.vb[mes],$A108
)</f>
        <v>0</v>
      </c>
      <c r="CB108" s="122">
        <f>COUNTIFS(
    tb_estq[empresa], CB$6,
    tb_estq[Data da venda / reserva], "&gt;=" &amp; $A108,
    tb_estq[Data da venda / reserva], "&lt;"  &amp; EOMONTH($A108,0) + 1
)</f>
        <v>0</v>
      </c>
      <c r="CC108" s="123">
        <f ca="1">SUMIFS(tb_rec_uni[2029-10-01],
INDIRECT("tb_rec_uni[natureza]"),"pro.soluto",
INDIRECT("tb_rec_uni[empresa]"),CC$6)</f>
        <v>0</v>
      </c>
      <c r="CD108" s="123">
        <f ca="1">SUMIFS(tb_rec_uni[2029-10-01],
INDIRECT("tb_rec_uni[natureza]"),"repasse.cef.obra",
INDIRECT("tb_rec_uni[empresa]"),CD$6)</f>
        <v>0</v>
      </c>
      <c r="CE108" s="126">
        <f ca="1">SUMIFS(tb_rec_uni[2029-10-01],
INDIRECT("tb_rec_uni[natureza]"),"repasse.cef.terreno",
INDIRECT("tb_rec_uni[empresa]"),CE$6)</f>
        <v>0</v>
      </c>
      <c r="CF108" s="127"/>
      <c r="CG108" s="123">
        <f ca="1">SUMIFS(tb_rec_uni[2029-10-01],
INDIRECT("tb_rec_uni[natureza]"),"taxa.extra",
INDIRECT("tb_rec_uni[empresa]"),CG$6)</f>
        <v>0</v>
      </c>
      <c r="CH108" s="111"/>
      <c r="CI108" s="111">
        <f ca="1">SUMIFS(
  m.vb[valor],
  m.vb[nucleo],$CB$1,
  m.vb[variavel],CI$7,
  m.vb[mes],$A108
)</f>
        <v>0</v>
      </c>
      <c r="CJ108" s="111">
        <f ca="1">SUMIFS(
  m.vb[valor],
  m.vb[nucleo],$CB$1,
  m.vb[variavel],CJ$7,
  m.vb[mes],$A108
)</f>
        <v>0</v>
      </c>
      <c r="CK108" s="111">
        <f ca="1">SUMIFS(
  m.vb[valor],
  m.vb[nucleo],$CB$1,
  m.vb[variavel],CK$7,
  m.vb[mes],$A108
)</f>
        <v>0</v>
      </c>
      <c r="CL108" s="111">
        <f ca="1">SUMIFS(
  m.vb[valor],
  m.vb[nucleo],$CB$1,
  m.vb[variavel],CL$7,
  m.vb[mes],$A108
)</f>
        <v>0</v>
      </c>
      <c r="CM108" s="111">
        <f ca="1">SUMIFS(
  m.vb[valor],
  m.vb[nucleo],$CB$1,
  m.vb[variavel],CM$7,
  m.vb[mes],$A108
)</f>
        <v>0</v>
      </c>
      <c r="CN108" s="122">
        <f>COUNTIFS(
    tb_estq[empresa], CN$6,
    tb_estq[Data da venda / reserva], "&gt;=" &amp; $A108,
    tb_estq[Data da venda / reserva], "&lt;"  &amp; EOMONTH($A108,0) + 1
)</f>
        <v>0</v>
      </c>
      <c r="CO108" s="123">
        <f ca="1">SUMIFS(tb_rec_uni[2029-10-01],
INDIRECT("tb_rec_uni[natureza]"),"pro.soluto",
INDIRECT("tb_rec_uni[empresa]"),CO$6)</f>
        <v>0</v>
      </c>
      <c r="CP108" s="123">
        <f ca="1">SUMIFS(tb_rec_uni[2029-10-01],
INDIRECT("tb_rec_uni[natureza]"),"repasse.cef.obra",
INDIRECT("tb_rec_uni[empresa]"),CP$6)</f>
        <v>0</v>
      </c>
      <c r="CQ108" s="126">
        <f ca="1">SUMIFS(tb_rec_uni[2029-10-01],
INDIRECT("tb_rec_uni[natureza]"),"repasse.cef.terreno",
INDIRECT("tb_rec_uni[empresa]"),CQ$6)</f>
        <v>0</v>
      </c>
      <c r="CR108" s="127"/>
      <c r="CS108" s="123">
        <f ca="1">SUMIFS(tb_rec_uni[2029-10-01],
INDIRECT("tb_rec_uni[natureza]"),"taxa.extra",
INDIRECT("tb_rec_uni[empresa]"),CS$6)</f>
        <v>0</v>
      </c>
      <c r="CT108" s="111"/>
      <c r="CU108" s="111">
        <f ca="1">SUMIFS(
  m.vb[valor],
  m.vb[nucleo],$CN$1,
  m.vb[variavel],CU$7,
  m.vb[mes],$A108
)</f>
        <v>0</v>
      </c>
      <c r="CV108" s="111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11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11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4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21">
        <v>47423</v>
      </c>
      <c r="B109" s="122">
        <f>COUNTIFS(
    tb_estq[empresa], B$6,
    tb_estq[Data da venda / reserva], "&gt;=" &amp; $A109,
    tb_estq[Data da venda / reserva], "&lt;"  &amp; EOMONTH($A109,0) + 1
)</f>
        <v>0</v>
      </c>
      <c r="C109" s="123">
        <f ca="1">SUMIFS(tb_rec_uni[2029-11-01],
INDIRECT("tb_rec_uni[natureza]"),"pro.soluto",
INDIRECT("tb_rec_uni[empresa]"),C$6)</f>
        <v>0</v>
      </c>
      <c r="D109" s="123">
        <f ca="1">SUMIFS(tb_rec_uni[2029-11-01],
INDIRECT("tb_rec_uni[natureza]"),"repasse.cef.obra",
INDIRECT("tb_rec_uni[empresa]"),D$6)</f>
        <v>0</v>
      </c>
      <c r="E109" s="123">
        <f ca="1">SUMIFS(tb_rec_uni[2029-11-01],
INDIRECT("tb_rec_uni[natureza]"),"repasse.cef.terreno",
INDIRECT("tb_rec_uni[empresa]"),E$6)</f>
        <v>0</v>
      </c>
      <c r="F109" s="127"/>
      <c r="G109" s="123">
        <f ca="1">SUMIFS(tb_rec_uni[2029-11-01],
INDIRECT("tb_rec_uni[natureza]"),"taxa.extra",
INDIRECT("tb_rec_uni[empresa]"),G$6)</f>
        <v>0</v>
      </c>
      <c r="H109" s="111"/>
      <c r="I109" s="111">
        <f ca="1">SUMIFS(
  m.vb[valor],
  m.vb[nucleo],$B$1,
  m.vb[variavel],I$7,
  m.vb[mes],$A109
)</f>
        <v>0</v>
      </c>
      <c r="J109" s="111">
        <f ca="1">SUMIFS(
  m.vb[valor],
  m.vb[nucleo],$B$1,
  m.vb[variavel],J$7,
  m.vb[mes],$A109
)</f>
        <v>0</v>
      </c>
      <c r="K109" s="111">
        <f ca="1">SUMIFS(
  m.vb[valor],
  m.vb[nucleo],$B$1,
  m.vb[variavel],K$7,
  m.vb[mes],$A109
)</f>
        <v>0</v>
      </c>
      <c r="L109" s="111">
        <f ca="1">SUMIFS(
  m.vb[valor],
  m.vb[nucleo],$B$1,
  m.vb[variavel],L$7,
  m.vb[mes],$A109
)</f>
        <v>0</v>
      </c>
      <c r="M109" s="111">
        <f ca="1">SUMIFS(
  m.vb[valor],
  m.vb[nucleo],$B$1,
  m.vb[variavel],M$7,
  m.vb[mes],$A109
)</f>
        <v>0</v>
      </c>
      <c r="N109" s="122">
        <f>COUNTIFS(
    tb_estq[empresa], N$6,
    tb_estq[Data da venda / reserva], "&gt;=" &amp; $A109,
    tb_estq[Data da venda / reserva], "&lt;"  &amp; EOMONTH($A109,0) + 1
)</f>
        <v>0</v>
      </c>
      <c r="O109" s="123">
        <f ca="1">SUMIFS(tb_rec_uni[2029-11-01],
INDIRECT("tb_rec_uni[natureza]"),"pro.soluto",
INDIRECT("tb_rec_uni[empresa]"),O$6)</f>
        <v>0</v>
      </c>
      <c r="P109" s="123">
        <f ca="1">SUMIFS(tb_rec_uni[2029-11-01],
INDIRECT("tb_rec_uni[natureza]"),"repasse.cef.obra",
INDIRECT("tb_rec_uni[empresa]"),P$6)</f>
        <v>0</v>
      </c>
      <c r="Q109" s="123">
        <f ca="1">SUMIFS(tb_rec_uni[2029-11-01],
INDIRECT("tb_rec_uni[natureza]"),"repasse.cef.terreno",
INDIRECT("tb_rec_uni[empresa]"),Q$6)</f>
        <v>0</v>
      </c>
      <c r="R109" s="127"/>
      <c r="S109" s="123">
        <f ca="1">SUMIFS(tb_rec_uni[2029-11-01],
INDIRECT("tb_rec_uni[natureza]"),"taxa.extra",
INDIRECT("tb_rec_uni[empresa]"),S$6)</f>
        <v>0</v>
      </c>
      <c r="T109" s="111"/>
      <c r="U109" s="111">
        <f ca="1">SUMIFS(
  m.vb[valor],
  m.vb[nucleo],$N$1,
  m.vb[variavel],U$7,
  m.vb[mes],$A109
)</f>
        <v>0</v>
      </c>
      <c r="V109" s="111">
        <f ca="1">SUMIFS(
  m.vb[valor],
  m.vb[nucleo],$N$1,
  m.vb[variavel],V$7,
  m.vb[mes],$A109
)</f>
        <v>0</v>
      </c>
      <c r="W109" s="111">
        <f ca="1">SUMIFS(
  m.vb[valor],
  m.vb[nucleo],$N$1,
  m.vb[variavel],W$7,
  m.vb[mes],$A109
)</f>
        <v>0</v>
      </c>
      <c r="X109" s="111">
        <f ca="1">SUMIFS(
  m.vb[valor],
  m.vb[nucleo],$N$1,
  m.vb[variavel],X$7,
  m.vb[mes],$A109
)</f>
        <v>0</v>
      </c>
      <c r="Y109" s="111">
        <f ca="1">SUMIFS(
  m.vb[valor],
  m.vb[nucleo],$N$1,
  m.vb[variavel],Y$7,
  m.vb[mes],$A109
)</f>
        <v>0</v>
      </c>
      <c r="Z109" s="122">
        <f>COUNTIFS(
    tb_estq[empresa], Z$6,
    tb_estq[Data da venda / reserva], "&gt;=" &amp; $A109,
    tb_estq[Data da venda / reserva], "&lt;"  &amp; EOMONTH($A109,0) + 1
)</f>
        <v>0</v>
      </c>
      <c r="AA109" s="123">
        <f ca="1">SUMIFS(tb_rec_uni[2029-11-01],
INDIRECT("tb_rec_uni[natureza]"),"pro.soluto",
INDIRECT("tb_rec_uni[empresa]"),AA$6)</f>
        <v>0</v>
      </c>
      <c r="AB109" s="127">
        <f ca="1">SUMIFS(tb_rec_uni[2029-11-01],
INDIRECT("tb_rec_uni[natureza]"),"parcela.fin.total.ik",
INDIRECT("tb_rec_uni[empresa]"),AB$6)</f>
        <v>0</v>
      </c>
      <c r="AC109" s="123">
        <f ca="1">SUMIFS(tb_rec_uni[2029-11-01],
INDIRECT("tb_rec_uni[natureza]"),"taxa.extra",
INDIRECT("tb_rec_uni[empresa]"),AC$6)</f>
        <v>0</v>
      </c>
      <c r="AD109" s="111"/>
      <c r="AE109" s="111">
        <f ca="1">SUMIFS(
  m.vb[valor],
  m.vb[nucleo],$Z$1,
  m.vb[variavel],AE$7,
  m.vb[mes],$A109
)</f>
        <v>0</v>
      </c>
      <c r="AF109" s="111">
        <f ca="1">SUMIFS(
  m.vb[valor],
  m.vb[nucleo],$Z$1,
  m.vb[variavel],AF$7,
  m.vb[mes],$A109
)</f>
        <v>0</v>
      </c>
      <c r="AG109" s="111">
        <f ca="1">SUMIFS(
  m.vb[valor],
  m.vb[nucleo],$Z$1,
  m.vb[variavel],AG$7,
  m.vb[mes],$A109
)</f>
        <v>0</v>
      </c>
      <c r="AH109" s="111">
        <f ca="1">SUMIFS(
  m.vb[valor],
  m.vb[nucleo],$Z$1,
  m.vb[variavel],AH$7,
  m.vb[mes],$A109
)</f>
        <v>0</v>
      </c>
      <c r="AI109" s="111">
        <f ca="1">SUMIFS(
  m.vb[valor],
  m.vb[nucleo],$Z$1,
  m.vb[variavel],AI$7,
  m.vb[mes],$A109
)</f>
        <v>0</v>
      </c>
      <c r="AJ109" s="122">
        <f>COUNTIFS(
    tb_estq[empresa], AJ$6,
    tb_estq[Data da venda / reserva], "&gt;=" &amp; $A109,
    tb_estq[Data da venda / reserva], "&lt;"  &amp; EOMONTH($A109,0) + 1
)</f>
        <v>0</v>
      </c>
      <c r="AK109" s="123">
        <f ca="1">SUMIFS(tb_rec_uni[2029-11-01],
INDIRECT("tb_rec_uni[natureza]"),"pro.soluto",
INDIRECT("tb_rec_uni[empresa]"),AK$6)</f>
        <v>0</v>
      </c>
      <c r="AL109" s="123">
        <f ca="1">SUMIFS(tb_rec_uni[2029-11-01],
INDIRECT("tb_rec_uni[natureza]"),"repasse.cef.obra",
INDIRECT("tb_rec_uni[empresa]"),AL$6)</f>
        <v>0</v>
      </c>
      <c r="AM109" s="126">
        <f ca="1">SUMIFS(tb_rec_uni[2029-11-01],
INDIRECT("tb_rec_uni[natureza]"),"repasse.cef.terreno",
INDIRECT("tb_rec_uni[empresa]"),AM$6)</f>
        <v>0</v>
      </c>
      <c r="AN109" s="127"/>
      <c r="AO109" s="123">
        <f ca="1">SUMIFS(tb_rec_uni[2029-11-01],
INDIRECT("tb_rec_uni[natureza]"),"taxa.extra",
INDIRECT("tb_rec_uni[empresa]"),AO$6)</f>
        <v>0</v>
      </c>
      <c r="AP109" s="111"/>
      <c r="AQ109" s="111">
        <f ca="1">SUMIFS(
  m.vb[valor],
  m.vb[nucleo],$AJ$1,
  m.vb[variavel],AQ$7,
  m.vb[mes],$A109
)</f>
        <v>0</v>
      </c>
      <c r="AR109" s="111">
        <f ca="1">SUMIFS(
  m.vb[valor],
  m.vb[nucleo],$AJ$1,
  m.vb[variavel],AR$7,
  m.vb[mes],$A109
)</f>
        <v>0</v>
      </c>
      <c r="AS109" s="111">
        <f ca="1">SUMIFS(
  m.vb[valor],
  m.vb[nucleo],$AJ$1,
  m.vb[variavel],AS$7,
  m.vb[mes],$A109
)</f>
        <v>0</v>
      </c>
      <c r="AT109" s="111">
        <f ca="1">SUMIFS(
  m.vb[valor],
  m.vb[nucleo],$AJ$1,
  m.vb[variavel],AT$7,
  m.vb[mes],$A109
)</f>
        <v>0</v>
      </c>
      <c r="AU109" s="111">
        <f ca="1">SUMIFS(
  m.vb[valor],
  m.vb[nucleo],$AJ$1,
  m.vb[variavel],AU$7,
  m.vb[mes],$A109
)</f>
        <v>0</v>
      </c>
      <c r="AV109" s="122">
        <f>COUNTIFS(
    tb_estq[empresa], AV$6,
    tb_estq[Data da venda / reserva], "&gt;=" &amp; $A109,
    tb_estq[Data da venda / reserva], "&lt;"  &amp; EOMONTH($A109,0) + 1
)</f>
        <v>0</v>
      </c>
      <c r="AW109" s="123">
        <f ca="1">SUMIFS(tb_rec_uni[2029-11-01],
INDIRECT("tb_rec_uni[natureza]"),"pro.soluto",
INDIRECT("tb_rec_uni[empresa]"),AW$6)</f>
        <v>0</v>
      </c>
      <c r="AX109" s="123">
        <f ca="1">SUMIFS(tb_rec_uni[2029-11-01],
INDIRECT("tb_rec_uni[natureza]"),"repasse.cef.obra",
INDIRECT("tb_rec_uni[empresa]"),AX$6)</f>
        <v>0</v>
      </c>
      <c r="AY109" s="126">
        <f ca="1">SUMIFS(tb_rec_uni[2029-11-01],
INDIRECT("tb_rec_uni[natureza]"),"repasse.cef.terreno",
INDIRECT("tb_rec_uni[empresa]"),AY$6)</f>
        <v>0</v>
      </c>
      <c r="AZ109" s="127"/>
      <c r="BA109" s="123">
        <f ca="1">SUMIFS(tb_rec_uni[2029-11-01],
INDIRECT("tb_rec_uni[natureza]"),"taxa.extra",
INDIRECT("tb_rec_uni[empresa]"),BA$6)</f>
        <v>0</v>
      </c>
      <c r="BB109" s="111"/>
      <c r="BC109" s="111">
        <f ca="1">SUMIFS(
  m.vb[valor],
  m.vb[nucleo],$AV$1,
  m.vb[variavel],BC$7,
  m.vb[mes],$A109
)</f>
        <v>0</v>
      </c>
      <c r="BD109" s="111">
        <f ca="1">SUMIFS(
  m.vb[valor],
  m.vb[nucleo],$AV$1,
  m.vb[variavel],BD$7,
  m.vb[mes],$A109
)</f>
        <v>0</v>
      </c>
      <c r="BE109" s="111">
        <f ca="1">SUMIFS(
  m.vb[valor],
  m.vb[nucleo],$AV$1,
  m.vb[variavel],BE$7,
  m.vb[mes],$A109
)</f>
        <v>0</v>
      </c>
      <c r="BF109" s="111">
        <f ca="1">SUMIFS(
  m.vb[valor],
  m.vb[nucleo],$AV$1,
  m.vb[variavel],BF$7,
  m.vb[mes],$A109
)</f>
        <v>0</v>
      </c>
      <c r="BG109" s="111">
        <f ca="1">SUMIFS(
  m.vb[valor],
  m.vb[nucleo],$AV$1,
  m.vb[variavel],BG$7,
  m.vb[mes],$A109
)</f>
        <v>0</v>
      </c>
      <c r="BH109" s="122">
        <f>COUNTIFS(
    tb_estq[empresa], BH$6,
    tb_estq[Data da venda / reserva], "&gt;=" &amp; $A109,
    tb_estq[Data da venda / reserva], "&lt;"  &amp; EOMONTH($A109,0) + 1
)</f>
        <v>0</v>
      </c>
      <c r="BI109" s="123">
        <f ca="1">SUMIFS(tb_rec_uni[2029-11-01],
INDIRECT("tb_rec_uni[natureza]"),"pro.soluto",
INDIRECT("tb_rec_uni[empresa]"),BI$6)</f>
        <v>0</v>
      </c>
      <c r="BJ109" s="127"/>
      <c r="BK109" s="123">
        <f ca="1">SUMIFS(tb_rec_uni[2029-11-01],
INDIRECT("tb_rec_uni[natureza]"),"taxa.extra",
INDIRECT("tb_rec_uni[empresa]"),BK$6)</f>
        <v>0</v>
      </c>
      <c r="BL109" s="111"/>
      <c r="BM109" s="111">
        <f ca="1">SUMIFS(
  m.vb[valor],
  m.vb[nucleo],$BH$1,
  m.vb[variavel],BM$7,
  m.vb[mes],$A109
)</f>
        <v>0</v>
      </c>
      <c r="BN109" s="111">
        <f ca="1">SUMIFS(
  m.vb[valor],
  m.vb[nucleo],$BH$1,
  m.vb[variavel],BN$7,
  m.vb[mes],$A109
)</f>
        <v>0</v>
      </c>
      <c r="BO109" s="111">
        <f ca="1">SUMIFS(
  m.vb[valor],
  m.vb[nucleo],$BH$1,
  m.vb[variavel],BO$7,
  m.vb[mes],$A109
)</f>
        <v>0</v>
      </c>
      <c r="BP109" s="111">
        <f ca="1">SUMIFS(
  m.vb[valor],
  m.vb[nucleo],$BH$1,
  m.vb[variavel],BP$7,
  m.vb[mes],$A109
)</f>
        <v>0</v>
      </c>
      <c r="BQ109" s="111">
        <f ca="1">SUMIFS(
  m.vb[valor],
  m.vb[nucleo],$BH$1,
  m.vb[variavel],BQ$7,
  m.vb[mes],$A109
)</f>
        <v>0</v>
      </c>
      <c r="BR109" s="122">
        <f>COUNTIFS(
    tb_estq[empresa], BR$6,
    tb_estq[Data da venda / reserva], "&gt;=" &amp; $A109,
    tb_estq[Data da venda / reserva], "&lt;"  &amp; EOMONTH($A109,0) + 1
)</f>
        <v>0</v>
      </c>
      <c r="BS109" s="123">
        <f ca="1">SUMIFS(tb_rec_uni[2029-11-01],
INDIRECT("tb_rec_uni[natureza]"),"pro.soluto",
INDIRECT("tb_rec_uni[empresa]"),BS$6)</f>
        <v>0</v>
      </c>
      <c r="BT109" s="127">
        <f ca="1">SUMIFS(tb_rec_uni[2029-11-01],
INDIRECT("tb_rec_uni[natureza]"),"parcela.fin.total.ik",
INDIRECT("tb_rec_uni[empresa]"),BT$6)</f>
        <v>0</v>
      </c>
      <c r="BU109" s="123">
        <f ca="1">SUMIFS(tb_rec_uni[2029-11-01],
INDIRECT("tb_rec_uni[natureza]"),"taxa.extra",
INDIRECT("tb_rec_uni[empresa]"),BU$6)</f>
        <v>0</v>
      </c>
      <c r="BV109" s="111"/>
      <c r="BW109" s="111">
        <f ca="1">SUMIFS(
  m.vb[valor],
  m.vb[nucleo],$BR$1,
  m.vb[variavel],BW$7,
  m.vb[mes],$A109
)</f>
        <v>0</v>
      </c>
      <c r="BX109" s="111">
        <f ca="1">SUMIFS(
  m.vb[valor],
  m.vb[nucleo],$BR$1,
  m.vb[variavel],BX$7,
  m.vb[mes],$A109
)</f>
        <v>0</v>
      </c>
      <c r="BY109" s="111">
        <f ca="1">SUMIFS(
  m.vb[valor],
  m.vb[nucleo],$BR$1,
  m.vb[variavel],BY$7,
  m.vb[mes],$A109
)</f>
        <v>0</v>
      </c>
      <c r="BZ109" s="111">
        <f ca="1">SUMIFS(
  m.vb[valor],
  m.vb[nucleo],$BR$1,
  m.vb[variavel],BZ$7,
  m.vb[mes],$A109
)</f>
        <v>0</v>
      </c>
      <c r="CA109" s="111">
        <f ca="1">SUMIFS(
  m.vb[valor],
  m.vb[nucleo],$BR$1,
  m.vb[variavel],CA$7,
  m.vb[mes],$A109
)</f>
        <v>0</v>
      </c>
      <c r="CB109" s="122">
        <f>COUNTIFS(
    tb_estq[empresa], CB$6,
    tb_estq[Data da venda / reserva], "&gt;=" &amp; $A109,
    tb_estq[Data da venda / reserva], "&lt;"  &amp; EOMONTH($A109,0) + 1
)</f>
        <v>0</v>
      </c>
      <c r="CC109" s="123">
        <f ca="1">SUMIFS(tb_rec_uni[2029-11-01],
INDIRECT("tb_rec_uni[natureza]"),"pro.soluto",
INDIRECT("tb_rec_uni[empresa]"),CC$6)</f>
        <v>0</v>
      </c>
      <c r="CD109" s="123">
        <f ca="1">SUMIFS(tb_rec_uni[2029-11-01],
INDIRECT("tb_rec_uni[natureza]"),"repasse.cef.obra",
INDIRECT("tb_rec_uni[empresa]"),CD$6)</f>
        <v>0</v>
      </c>
      <c r="CE109" s="126">
        <f ca="1">SUMIFS(tb_rec_uni[2029-11-01],
INDIRECT("tb_rec_uni[natureza]"),"repasse.cef.terreno",
INDIRECT("tb_rec_uni[empresa]"),CE$6)</f>
        <v>0</v>
      </c>
      <c r="CF109" s="127"/>
      <c r="CG109" s="123">
        <f ca="1">SUMIFS(tb_rec_uni[2029-11-01],
INDIRECT("tb_rec_uni[natureza]"),"taxa.extra",
INDIRECT("tb_rec_uni[empresa]"),CG$6)</f>
        <v>0</v>
      </c>
      <c r="CH109" s="111"/>
      <c r="CI109" s="111">
        <f ca="1">SUMIFS(
  m.vb[valor],
  m.vb[nucleo],$CB$1,
  m.vb[variavel],CI$7,
  m.vb[mes],$A109
)</f>
        <v>0</v>
      </c>
      <c r="CJ109" s="111">
        <f ca="1">SUMIFS(
  m.vb[valor],
  m.vb[nucleo],$CB$1,
  m.vb[variavel],CJ$7,
  m.vb[mes],$A109
)</f>
        <v>0</v>
      </c>
      <c r="CK109" s="111">
        <f ca="1">SUMIFS(
  m.vb[valor],
  m.vb[nucleo],$CB$1,
  m.vb[variavel],CK$7,
  m.vb[mes],$A109
)</f>
        <v>0</v>
      </c>
      <c r="CL109" s="111">
        <f ca="1">SUMIFS(
  m.vb[valor],
  m.vb[nucleo],$CB$1,
  m.vb[variavel],CL$7,
  m.vb[mes],$A109
)</f>
        <v>0</v>
      </c>
      <c r="CM109" s="111">
        <f ca="1">SUMIFS(
  m.vb[valor],
  m.vb[nucleo],$CB$1,
  m.vb[variavel],CM$7,
  m.vb[mes],$A109
)</f>
        <v>0</v>
      </c>
      <c r="CN109" s="122">
        <f>COUNTIFS(
    tb_estq[empresa], CN$6,
    tb_estq[Data da venda / reserva], "&gt;=" &amp; $A109,
    tb_estq[Data da venda / reserva], "&lt;"  &amp; EOMONTH($A109,0) + 1
)</f>
        <v>0</v>
      </c>
      <c r="CO109" s="123">
        <f ca="1">SUMIFS(tb_rec_uni[2029-11-01],
INDIRECT("tb_rec_uni[natureza]"),"pro.soluto",
INDIRECT("tb_rec_uni[empresa]"),CO$6)</f>
        <v>0</v>
      </c>
      <c r="CP109" s="123">
        <f ca="1">SUMIFS(tb_rec_uni[2029-11-01],
INDIRECT("tb_rec_uni[natureza]"),"repasse.cef.obra",
INDIRECT("tb_rec_uni[empresa]"),CP$6)</f>
        <v>0</v>
      </c>
      <c r="CQ109" s="126">
        <f ca="1">SUMIFS(tb_rec_uni[2029-11-01],
INDIRECT("tb_rec_uni[natureza]"),"repasse.cef.terreno",
INDIRECT("tb_rec_uni[empresa]"),CQ$6)</f>
        <v>0</v>
      </c>
      <c r="CR109" s="127"/>
      <c r="CS109" s="123">
        <f ca="1">SUMIFS(tb_rec_uni[2029-11-01],
INDIRECT("tb_rec_uni[natureza]"),"taxa.extra",
INDIRECT("tb_rec_uni[empresa]"),CS$6)</f>
        <v>0</v>
      </c>
      <c r="CT109" s="111"/>
      <c r="CU109" s="111">
        <f ca="1">SUMIFS(
  m.vb[valor],
  m.vb[nucleo],$CN$1,
  m.vb[variavel],CU$7,
  m.vb[mes],$A109
)</f>
        <v>0</v>
      </c>
      <c r="CV109" s="111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11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11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4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21">
        <v>47453</v>
      </c>
      <c r="B110" s="122">
        <f>COUNTIFS(
    tb_estq[empresa], B$6,
    tb_estq[Data da venda / reserva], "&gt;=" &amp; $A110,
    tb_estq[Data da venda / reserva], "&lt;"  &amp; EOMONTH($A110,0) + 1
)</f>
        <v>0</v>
      </c>
      <c r="C110" s="123">
        <f ca="1">SUMIFS(tb_rec_uni[2029-12-01],
INDIRECT("tb_rec_uni[natureza]"),"pro.soluto",
INDIRECT("tb_rec_uni[empresa]"),C$6)</f>
        <v>0</v>
      </c>
      <c r="D110" s="123">
        <f ca="1">SUMIFS(tb_rec_uni[2029-12-01],
INDIRECT("tb_rec_uni[natureza]"),"repasse.cef.obra",
INDIRECT("tb_rec_uni[empresa]"),D$6)</f>
        <v>0</v>
      </c>
      <c r="E110" s="123">
        <f ca="1">SUMIFS(tb_rec_uni[2029-12-01],
INDIRECT("tb_rec_uni[natureza]"),"repasse.cef.terreno",
INDIRECT("tb_rec_uni[empresa]"),E$6)</f>
        <v>0</v>
      </c>
      <c r="F110" s="127"/>
      <c r="G110" s="123">
        <f ca="1">SUMIFS(tb_rec_uni[2029-12-01],
INDIRECT("tb_rec_uni[natureza]"),"taxa.extra",
INDIRECT("tb_rec_uni[empresa]"),G$6)</f>
        <v>0</v>
      </c>
      <c r="H110" s="111"/>
      <c r="I110" s="111">
        <f ca="1">SUMIFS(
  m.vb[valor],
  m.vb[nucleo],$B$1,
  m.vb[variavel],I$7,
  m.vb[mes],$A110
)</f>
        <v>0</v>
      </c>
      <c r="J110" s="111">
        <f ca="1">SUMIFS(
  m.vb[valor],
  m.vb[nucleo],$B$1,
  m.vb[variavel],J$7,
  m.vb[mes],$A110
)</f>
        <v>0</v>
      </c>
      <c r="K110" s="111">
        <f ca="1">SUMIFS(
  m.vb[valor],
  m.vb[nucleo],$B$1,
  m.vb[variavel],K$7,
  m.vb[mes],$A110
)</f>
        <v>0</v>
      </c>
      <c r="L110" s="111">
        <f ca="1">SUMIFS(
  m.vb[valor],
  m.vb[nucleo],$B$1,
  m.vb[variavel],L$7,
  m.vb[mes],$A110
)</f>
        <v>0</v>
      </c>
      <c r="M110" s="111">
        <f ca="1">SUMIFS(
  m.vb[valor],
  m.vb[nucleo],$B$1,
  m.vb[variavel],M$7,
  m.vb[mes],$A110
)</f>
        <v>0</v>
      </c>
      <c r="N110" s="122">
        <f>COUNTIFS(
    tb_estq[empresa], N$6,
    tb_estq[Data da venda / reserva], "&gt;=" &amp; $A110,
    tb_estq[Data da venda / reserva], "&lt;"  &amp; EOMONTH($A110,0) + 1
)</f>
        <v>0</v>
      </c>
      <c r="O110" s="123">
        <f ca="1">SUMIFS(tb_rec_uni[2029-12-01],
INDIRECT("tb_rec_uni[natureza]"),"pro.soluto",
INDIRECT("tb_rec_uni[empresa]"),O$6)</f>
        <v>0</v>
      </c>
      <c r="P110" s="123">
        <f ca="1">SUMIFS(tb_rec_uni[2029-12-01],
INDIRECT("tb_rec_uni[natureza]"),"repasse.cef.obra",
INDIRECT("tb_rec_uni[empresa]"),P$6)</f>
        <v>0</v>
      </c>
      <c r="Q110" s="123">
        <f ca="1">SUMIFS(tb_rec_uni[2029-12-01],
INDIRECT("tb_rec_uni[natureza]"),"repasse.cef.terreno",
INDIRECT("tb_rec_uni[empresa]"),Q$6)</f>
        <v>0</v>
      </c>
      <c r="R110" s="127"/>
      <c r="S110" s="123">
        <f ca="1">SUMIFS(tb_rec_uni[2029-12-01],
INDIRECT("tb_rec_uni[natureza]"),"taxa.extra",
INDIRECT("tb_rec_uni[empresa]"),S$6)</f>
        <v>0</v>
      </c>
      <c r="T110" s="111"/>
      <c r="U110" s="111">
        <f ca="1">SUMIFS(
  m.vb[valor],
  m.vb[nucleo],$N$1,
  m.vb[variavel],U$7,
  m.vb[mes],$A110
)</f>
        <v>0</v>
      </c>
      <c r="V110" s="111">
        <f ca="1">SUMIFS(
  m.vb[valor],
  m.vb[nucleo],$N$1,
  m.vb[variavel],V$7,
  m.vb[mes],$A110
)</f>
        <v>0</v>
      </c>
      <c r="W110" s="111">
        <f ca="1">SUMIFS(
  m.vb[valor],
  m.vb[nucleo],$N$1,
  m.vb[variavel],W$7,
  m.vb[mes],$A110
)</f>
        <v>0</v>
      </c>
      <c r="X110" s="111">
        <f ca="1">SUMIFS(
  m.vb[valor],
  m.vb[nucleo],$N$1,
  m.vb[variavel],X$7,
  m.vb[mes],$A110
)</f>
        <v>0</v>
      </c>
      <c r="Y110" s="111">
        <f ca="1">SUMIFS(
  m.vb[valor],
  m.vb[nucleo],$N$1,
  m.vb[variavel],Y$7,
  m.vb[mes],$A110
)</f>
        <v>0</v>
      </c>
      <c r="Z110" s="122">
        <f>COUNTIFS(
    tb_estq[empresa], Z$6,
    tb_estq[Data da venda / reserva], "&gt;=" &amp; $A110,
    tb_estq[Data da venda / reserva], "&lt;"  &amp; EOMONTH($A110,0) + 1
)</f>
        <v>0</v>
      </c>
      <c r="AA110" s="123">
        <f ca="1">SUMIFS(tb_rec_uni[2029-12-01],
INDIRECT("tb_rec_uni[natureza]"),"pro.soluto",
INDIRECT("tb_rec_uni[empresa]"),AA$6)</f>
        <v>0</v>
      </c>
      <c r="AB110" s="127">
        <f ca="1">SUMIFS(tb_rec_uni[2029-12-01],
INDIRECT("tb_rec_uni[natureza]"),"parcela.fin.total.ik",
INDIRECT("tb_rec_uni[empresa]"),AB$6)</f>
        <v>0</v>
      </c>
      <c r="AC110" s="123">
        <f ca="1">SUMIFS(tb_rec_uni[2029-12-01],
INDIRECT("tb_rec_uni[natureza]"),"taxa.extra",
INDIRECT("tb_rec_uni[empresa]"),AC$6)</f>
        <v>0</v>
      </c>
      <c r="AD110" s="111"/>
      <c r="AE110" s="111">
        <f ca="1">SUMIFS(
  m.vb[valor],
  m.vb[nucleo],$Z$1,
  m.vb[variavel],AE$7,
  m.vb[mes],$A110
)</f>
        <v>0</v>
      </c>
      <c r="AF110" s="111">
        <f ca="1">SUMIFS(
  m.vb[valor],
  m.vb[nucleo],$Z$1,
  m.vb[variavel],AF$7,
  m.vb[mes],$A110
)</f>
        <v>0</v>
      </c>
      <c r="AG110" s="111">
        <f ca="1">SUMIFS(
  m.vb[valor],
  m.vb[nucleo],$Z$1,
  m.vb[variavel],AG$7,
  m.vb[mes],$A110
)</f>
        <v>0</v>
      </c>
      <c r="AH110" s="111">
        <f ca="1">SUMIFS(
  m.vb[valor],
  m.vb[nucleo],$Z$1,
  m.vb[variavel],AH$7,
  m.vb[mes],$A110
)</f>
        <v>0</v>
      </c>
      <c r="AI110" s="111">
        <f ca="1">SUMIFS(
  m.vb[valor],
  m.vb[nucleo],$Z$1,
  m.vb[variavel],AI$7,
  m.vb[mes],$A110
)</f>
        <v>0</v>
      </c>
      <c r="AJ110" s="122">
        <f>COUNTIFS(
    tb_estq[empresa], AJ$6,
    tb_estq[Data da venda / reserva], "&gt;=" &amp; $A110,
    tb_estq[Data da venda / reserva], "&lt;"  &amp; EOMONTH($A110,0) + 1
)</f>
        <v>0</v>
      </c>
      <c r="AK110" s="123">
        <f ca="1">SUMIFS(tb_rec_uni[2029-12-01],
INDIRECT("tb_rec_uni[natureza]"),"pro.soluto",
INDIRECT("tb_rec_uni[empresa]"),AK$6)</f>
        <v>0</v>
      </c>
      <c r="AL110" s="123">
        <f ca="1">SUMIFS(tb_rec_uni[2029-12-01],
INDIRECT("tb_rec_uni[natureza]"),"repasse.cef.obra",
INDIRECT("tb_rec_uni[empresa]"),AL$6)</f>
        <v>0</v>
      </c>
      <c r="AM110" s="126">
        <f ca="1">SUMIFS(tb_rec_uni[2029-12-01],
INDIRECT("tb_rec_uni[natureza]"),"repasse.cef.terreno",
INDIRECT("tb_rec_uni[empresa]"),AM$6)</f>
        <v>0</v>
      </c>
      <c r="AN110" s="127"/>
      <c r="AO110" s="123">
        <f ca="1">SUMIFS(tb_rec_uni[2029-12-01],
INDIRECT("tb_rec_uni[natureza]"),"taxa.extra",
INDIRECT("tb_rec_uni[empresa]"),AO$6)</f>
        <v>0</v>
      </c>
      <c r="AP110" s="111"/>
      <c r="AQ110" s="111">
        <f ca="1">SUMIFS(
  m.vb[valor],
  m.vb[nucleo],$AJ$1,
  m.vb[variavel],AQ$7,
  m.vb[mes],$A110
)</f>
        <v>0</v>
      </c>
      <c r="AR110" s="111">
        <f ca="1">SUMIFS(
  m.vb[valor],
  m.vb[nucleo],$AJ$1,
  m.vb[variavel],AR$7,
  m.vb[mes],$A110
)</f>
        <v>0</v>
      </c>
      <c r="AS110" s="111">
        <f ca="1">SUMIFS(
  m.vb[valor],
  m.vb[nucleo],$AJ$1,
  m.vb[variavel],AS$7,
  m.vb[mes],$A110
)</f>
        <v>0</v>
      </c>
      <c r="AT110" s="111">
        <f ca="1">SUMIFS(
  m.vb[valor],
  m.vb[nucleo],$AJ$1,
  m.vb[variavel],AT$7,
  m.vb[mes],$A110
)</f>
        <v>0</v>
      </c>
      <c r="AU110" s="111">
        <f ca="1">SUMIFS(
  m.vb[valor],
  m.vb[nucleo],$AJ$1,
  m.vb[variavel],AU$7,
  m.vb[mes],$A110
)</f>
        <v>0</v>
      </c>
      <c r="AV110" s="122">
        <f>COUNTIFS(
    tb_estq[empresa], AV$6,
    tb_estq[Data da venda / reserva], "&gt;=" &amp; $A110,
    tb_estq[Data da venda / reserva], "&lt;"  &amp; EOMONTH($A110,0) + 1
)</f>
        <v>0</v>
      </c>
      <c r="AW110" s="123">
        <f ca="1">SUMIFS(tb_rec_uni[2029-12-01],
INDIRECT("tb_rec_uni[natureza]"),"pro.soluto",
INDIRECT("tb_rec_uni[empresa]"),AW$6)</f>
        <v>0</v>
      </c>
      <c r="AX110" s="123">
        <f ca="1">SUMIFS(tb_rec_uni[2029-12-01],
INDIRECT("tb_rec_uni[natureza]"),"repasse.cef.obra",
INDIRECT("tb_rec_uni[empresa]"),AX$6)</f>
        <v>0</v>
      </c>
      <c r="AY110" s="126">
        <f ca="1">SUMIFS(tb_rec_uni[2029-12-01],
INDIRECT("tb_rec_uni[natureza]"),"repasse.cef.terreno",
INDIRECT("tb_rec_uni[empresa]"),AY$6)</f>
        <v>0</v>
      </c>
      <c r="AZ110" s="127"/>
      <c r="BA110" s="123">
        <f ca="1">SUMIFS(tb_rec_uni[2029-12-01],
INDIRECT("tb_rec_uni[natureza]"),"taxa.extra",
INDIRECT("tb_rec_uni[empresa]"),BA$6)</f>
        <v>0</v>
      </c>
      <c r="BB110" s="111"/>
      <c r="BC110" s="111">
        <f ca="1">SUMIFS(
  m.vb[valor],
  m.vb[nucleo],$AV$1,
  m.vb[variavel],BC$7,
  m.vb[mes],$A110
)</f>
        <v>0</v>
      </c>
      <c r="BD110" s="111">
        <f ca="1">SUMIFS(
  m.vb[valor],
  m.vb[nucleo],$AV$1,
  m.vb[variavel],BD$7,
  m.vb[mes],$A110
)</f>
        <v>0</v>
      </c>
      <c r="BE110" s="111">
        <f ca="1">SUMIFS(
  m.vb[valor],
  m.vb[nucleo],$AV$1,
  m.vb[variavel],BE$7,
  m.vb[mes],$A110
)</f>
        <v>0</v>
      </c>
      <c r="BF110" s="111">
        <f ca="1">SUMIFS(
  m.vb[valor],
  m.vb[nucleo],$AV$1,
  m.vb[variavel],BF$7,
  m.vb[mes],$A110
)</f>
        <v>0</v>
      </c>
      <c r="BG110" s="111">
        <f ca="1">SUMIFS(
  m.vb[valor],
  m.vb[nucleo],$AV$1,
  m.vb[variavel],BG$7,
  m.vb[mes],$A110
)</f>
        <v>0</v>
      </c>
      <c r="BH110" s="122">
        <f>COUNTIFS(
    tb_estq[empresa], BH$6,
    tb_estq[Data da venda / reserva], "&gt;=" &amp; $A110,
    tb_estq[Data da venda / reserva], "&lt;"  &amp; EOMONTH($A110,0) + 1
)</f>
        <v>0</v>
      </c>
      <c r="BI110" s="123">
        <f ca="1">SUMIFS(tb_rec_uni[2029-12-01],
INDIRECT("tb_rec_uni[natureza]"),"pro.soluto",
INDIRECT("tb_rec_uni[empresa]"),BI$6)</f>
        <v>0</v>
      </c>
      <c r="BJ110" s="127"/>
      <c r="BK110" s="123">
        <f ca="1">SUMIFS(tb_rec_uni[2029-12-01],
INDIRECT("tb_rec_uni[natureza]"),"taxa.extra",
INDIRECT("tb_rec_uni[empresa]"),BK$6)</f>
        <v>0</v>
      </c>
      <c r="BL110" s="111"/>
      <c r="BM110" s="111">
        <f ca="1">SUMIFS(
  m.vb[valor],
  m.vb[nucleo],$BH$1,
  m.vb[variavel],BM$7,
  m.vb[mes],$A110
)</f>
        <v>0</v>
      </c>
      <c r="BN110" s="111">
        <f ca="1">SUMIFS(
  m.vb[valor],
  m.vb[nucleo],$BH$1,
  m.vb[variavel],BN$7,
  m.vb[mes],$A110
)</f>
        <v>0</v>
      </c>
      <c r="BO110" s="111">
        <f ca="1">SUMIFS(
  m.vb[valor],
  m.vb[nucleo],$BH$1,
  m.vb[variavel],BO$7,
  m.vb[mes],$A110
)</f>
        <v>0</v>
      </c>
      <c r="BP110" s="111">
        <f ca="1">SUMIFS(
  m.vb[valor],
  m.vb[nucleo],$BH$1,
  m.vb[variavel],BP$7,
  m.vb[mes],$A110
)</f>
        <v>0</v>
      </c>
      <c r="BQ110" s="111">
        <f ca="1">SUMIFS(
  m.vb[valor],
  m.vb[nucleo],$BH$1,
  m.vb[variavel],BQ$7,
  m.vb[mes],$A110
)</f>
        <v>0</v>
      </c>
      <c r="BR110" s="122">
        <f>COUNTIFS(
    tb_estq[empresa], BR$6,
    tb_estq[Data da venda / reserva], "&gt;=" &amp; $A110,
    tb_estq[Data da venda / reserva], "&lt;"  &amp; EOMONTH($A110,0) + 1
)</f>
        <v>0</v>
      </c>
      <c r="BS110" s="123">
        <f ca="1">SUMIFS(tb_rec_uni[2029-12-01],
INDIRECT("tb_rec_uni[natureza]"),"pro.soluto",
INDIRECT("tb_rec_uni[empresa]"),BS$6)</f>
        <v>0</v>
      </c>
      <c r="BT110" s="127">
        <f ca="1">SUMIFS(tb_rec_uni[2029-12-01],
INDIRECT("tb_rec_uni[natureza]"),"parcela.fin.total.ik",
INDIRECT("tb_rec_uni[empresa]"),BT$6)</f>
        <v>0</v>
      </c>
      <c r="BU110" s="123">
        <f ca="1">SUMIFS(tb_rec_uni[2029-12-01],
INDIRECT("tb_rec_uni[natureza]"),"taxa.extra",
INDIRECT("tb_rec_uni[empresa]"),BU$6)</f>
        <v>0</v>
      </c>
      <c r="BV110" s="111"/>
      <c r="BW110" s="111">
        <f ca="1">SUMIFS(
  m.vb[valor],
  m.vb[nucleo],$BR$1,
  m.vb[variavel],BW$7,
  m.vb[mes],$A110
)</f>
        <v>0</v>
      </c>
      <c r="BX110" s="111">
        <f ca="1">SUMIFS(
  m.vb[valor],
  m.vb[nucleo],$BR$1,
  m.vb[variavel],BX$7,
  m.vb[mes],$A110
)</f>
        <v>0</v>
      </c>
      <c r="BY110" s="111">
        <f ca="1">SUMIFS(
  m.vb[valor],
  m.vb[nucleo],$BR$1,
  m.vb[variavel],BY$7,
  m.vb[mes],$A110
)</f>
        <v>0</v>
      </c>
      <c r="BZ110" s="111">
        <f ca="1">SUMIFS(
  m.vb[valor],
  m.vb[nucleo],$BR$1,
  m.vb[variavel],BZ$7,
  m.vb[mes],$A110
)</f>
        <v>0</v>
      </c>
      <c r="CA110" s="111">
        <f ca="1">SUMIFS(
  m.vb[valor],
  m.vb[nucleo],$BR$1,
  m.vb[variavel],CA$7,
  m.vb[mes],$A110
)</f>
        <v>0</v>
      </c>
      <c r="CB110" s="122">
        <f>COUNTIFS(
    tb_estq[empresa], CB$6,
    tb_estq[Data da venda / reserva], "&gt;=" &amp; $A110,
    tb_estq[Data da venda / reserva], "&lt;"  &amp; EOMONTH($A110,0) + 1
)</f>
        <v>0</v>
      </c>
      <c r="CC110" s="123">
        <f ca="1">SUMIFS(tb_rec_uni[2029-12-01],
INDIRECT("tb_rec_uni[natureza]"),"pro.soluto",
INDIRECT("tb_rec_uni[empresa]"),CC$6)</f>
        <v>0</v>
      </c>
      <c r="CD110" s="123">
        <f ca="1">SUMIFS(tb_rec_uni[2029-12-01],
INDIRECT("tb_rec_uni[natureza]"),"repasse.cef.obra",
INDIRECT("tb_rec_uni[empresa]"),CD$6)</f>
        <v>0</v>
      </c>
      <c r="CE110" s="126">
        <f ca="1">SUMIFS(tb_rec_uni[2029-12-01],
INDIRECT("tb_rec_uni[natureza]"),"repasse.cef.terreno",
INDIRECT("tb_rec_uni[empresa]"),CE$6)</f>
        <v>0</v>
      </c>
      <c r="CF110" s="127"/>
      <c r="CG110" s="123">
        <f ca="1">SUMIFS(tb_rec_uni[2029-12-01],
INDIRECT("tb_rec_uni[natureza]"),"taxa.extra",
INDIRECT("tb_rec_uni[empresa]"),CG$6)</f>
        <v>0</v>
      </c>
      <c r="CH110" s="111"/>
      <c r="CI110" s="111">
        <f ca="1">SUMIFS(
  m.vb[valor],
  m.vb[nucleo],$CB$1,
  m.vb[variavel],CI$7,
  m.vb[mes],$A110
)</f>
        <v>0</v>
      </c>
      <c r="CJ110" s="111">
        <f ca="1">SUMIFS(
  m.vb[valor],
  m.vb[nucleo],$CB$1,
  m.vb[variavel],CJ$7,
  m.vb[mes],$A110
)</f>
        <v>0</v>
      </c>
      <c r="CK110" s="111">
        <f ca="1">SUMIFS(
  m.vb[valor],
  m.vb[nucleo],$CB$1,
  m.vb[variavel],CK$7,
  m.vb[mes],$A110
)</f>
        <v>0</v>
      </c>
      <c r="CL110" s="111">
        <f ca="1">SUMIFS(
  m.vb[valor],
  m.vb[nucleo],$CB$1,
  m.vb[variavel],CL$7,
  m.vb[mes],$A110
)</f>
        <v>0</v>
      </c>
      <c r="CM110" s="111">
        <f ca="1">SUMIFS(
  m.vb[valor],
  m.vb[nucleo],$CB$1,
  m.vb[variavel],CM$7,
  m.vb[mes],$A110
)</f>
        <v>0</v>
      </c>
      <c r="CN110" s="122">
        <f>COUNTIFS(
    tb_estq[empresa], CN$6,
    tb_estq[Data da venda / reserva], "&gt;=" &amp; $A110,
    tb_estq[Data da venda / reserva], "&lt;"  &amp; EOMONTH($A110,0) + 1
)</f>
        <v>0</v>
      </c>
      <c r="CO110" s="123">
        <f ca="1">SUMIFS(tb_rec_uni[2029-12-01],
INDIRECT("tb_rec_uni[natureza]"),"pro.soluto",
INDIRECT("tb_rec_uni[empresa]"),CO$6)</f>
        <v>0</v>
      </c>
      <c r="CP110" s="123">
        <f ca="1">SUMIFS(tb_rec_uni[2029-12-01],
INDIRECT("tb_rec_uni[natureza]"),"repasse.cef.obra",
INDIRECT("tb_rec_uni[empresa]"),CP$6)</f>
        <v>0</v>
      </c>
      <c r="CQ110" s="126">
        <f ca="1">SUMIFS(tb_rec_uni[2029-12-01],
INDIRECT("tb_rec_uni[natureza]"),"repasse.cef.terreno",
INDIRECT("tb_rec_uni[empresa]"),CQ$6)</f>
        <v>0</v>
      </c>
      <c r="CR110" s="127"/>
      <c r="CS110" s="123">
        <f ca="1">SUMIFS(tb_rec_uni[2029-12-01],
INDIRECT("tb_rec_uni[natureza]"),"taxa.extra",
INDIRECT("tb_rec_uni[empresa]"),CS$6)</f>
        <v>0</v>
      </c>
      <c r="CT110" s="111"/>
      <c r="CU110" s="111">
        <f ca="1">SUMIFS(
  m.vb[valor],
  m.vb[nucleo],$CN$1,
  m.vb[variavel],CU$7,
  m.vb[mes],$A110
)</f>
        <v>0</v>
      </c>
      <c r="CV110" s="111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11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11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4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21">
        <v>47484</v>
      </c>
      <c r="B111" s="122">
        <f>COUNTIFS(
    tb_estq[empresa], B$6,
    tb_estq[Data da venda / reserva], "&gt;=" &amp; $A111,
    tb_estq[Data da venda / reserva], "&lt;"  &amp; EOMONTH($A111,0) + 1
)</f>
        <v>0</v>
      </c>
      <c r="C111" s="123">
        <f ca="1">SUMIFS(tb_rec_uni[2030-01-01],
INDIRECT("tb_rec_uni[natureza]"),"pro.soluto",
INDIRECT("tb_rec_uni[empresa]"),C$6)</f>
        <v>0</v>
      </c>
      <c r="D111" s="123">
        <f ca="1">SUMIFS(tb_rec_uni[2030-01-01],
INDIRECT("tb_rec_uni[natureza]"),"repasse.cef.obra",
INDIRECT("tb_rec_uni[empresa]"),D$6)</f>
        <v>0</v>
      </c>
      <c r="E111" s="123">
        <f ca="1">SUMIFS(tb_rec_uni[2030-01-01],
INDIRECT("tb_rec_uni[natureza]"),"repasse.cef.terreno",
INDIRECT("tb_rec_uni[empresa]"),E$6)</f>
        <v>0</v>
      </c>
      <c r="F111" s="127"/>
      <c r="G111" s="123">
        <f ca="1">SUMIFS(tb_rec_uni[2030-01-01],
INDIRECT("tb_rec_uni[natureza]"),"taxa.extra",
INDIRECT("tb_rec_uni[empresa]"),G$6)</f>
        <v>0</v>
      </c>
      <c r="H111" s="111"/>
      <c r="I111" s="111">
        <f ca="1">SUMIFS(
  m.vb[valor],
  m.vb[nucleo],$B$1,
  m.vb[variavel],I$7,
  m.vb[mes],$A111
)</f>
        <v>0</v>
      </c>
      <c r="J111" s="111">
        <f ca="1">SUMIFS(
  m.vb[valor],
  m.vb[nucleo],$B$1,
  m.vb[variavel],J$7,
  m.vb[mes],$A111
)</f>
        <v>0</v>
      </c>
      <c r="K111" s="111">
        <f ca="1">SUMIFS(
  m.vb[valor],
  m.vb[nucleo],$B$1,
  m.vb[variavel],K$7,
  m.vb[mes],$A111
)</f>
        <v>0</v>
      </c>
      <c r="L111" s="111">
        <f ca="1">SUMIFS(
  m.vb[valor],
  m.vb[nucleo],$B$1,
  m.vb[variavel],L$7,
  m.vb[mes],$A111
)</f>
        <v>0</v>
      </c>
      <c r="M111" s="111">
        <f ca="1">SUMIFS(
  m.vb[valor],
  m.vb[nucleo],$B$1,
  m.vb[variavel],M$7,
  m.vb[mes],$A111
)</f>
        <v>0</v>
      </c>
      <c r="N111" s="122">
        <f>COUNTIFS(
    tb_estq[empresa], N$6,
    tb_estq[Data da venda / reserva], "&gt;=" &amp; $A111,
    tb_estq[Data da venda / reserva], "&lt;"  &amp; EOMONTH($A111,0) + 1
)</f>
        <v>0</v>
      </c>
      <c r="O111" s="123">
        <f ca="1">SUMIFS(tb_rec_uni[2030-01-01],
INDIRECT("tb_rec_uni[natureza]"),"pro.soluto",
INDIRECT("tb_rec_uni[empresa]"),O$6)</f>
        <v>0</v>
      </c>
      <c r="P111" s="123">
        <f ca="1">SUMIFS(tb_rec_uni[2030-01-01],
INDIRECT("tb_rec_uni[natureza]"),"repasse.cef.obra",
INDIRECT("tb_rec_uni[empresa]"),P$6)</f>
        <v>0</v>
      </c>
      <c r="Q111" s="123">
        <f ca="1">SUMIFS(tb_rec_uni[2030-01-01],
INDIRECT("tb_rec_uni[natureza]"),"repasse.cef.terreno",
INDIRECT("tb_rec_uni[empresa]"),Q$6)</f>
        <v>0</v>
      </c>
      <c r="R111" s="127"/>
      <c r="S111" s="123">
        <f ca="1">SUMIFS(tb_rec_uni[2030-01-01],
INDIRECT("tb_rec_uni[natureza]"),"taxa.extra",
INDIRECT("tb_rec_uni[empresa]"),S$6)</f>
        <v>0</v>
      </c>
      <c r="T111" s="111"/>
      <c r="U111" s="111">
        <f ca="1">SUMIFS(
  m.vb[valor],
  m.vb[nucleo],$N$1,
  m.vb[variavel],U$7,
  m.vb[mes],$A111
)</f>
        <v>0</v>
      </c>
      <c r="V111" s="111">
        <f ca="1">SUMIFS(
  m.vb[valor],
  m.vb[nucleo],$N$1,
  m.vb[variavel],V$7,
  m.vb[mes],$A111
)</f>
        <v>0</v>
      </c>
      <c r="W111" s="111">
        <f ca="1">SUMIFS(
  m.vb[valor],
  m.vb[nucleo],$N$1,
  m.vb[variavel],W$7,
  m.vb[mes],$A111
)</f>
        <v>0</v>
      </c>
      <c r="X111" s="111">
        <f ca="1">SUMIFS(
  m.vb[valor],
  m.vb[nucleo],$N$1,
  m.vb[variavel],X$7,
  m.vb[mes],$A111
)</f>
        <v>0</v>
      </c>
      <c r="Y111" s="111">
        <f ca="1">SUMIFS(
  m.vb[valor],
  m.vb[nucleo],$N$1,
  m.vb[variavel],Y$7,
  m.vb[mes],$A111
)</f>
        <v>0</v>
      </c>
      <c r="Z111" s="122">
        <f>COUNTIFS(
    tb_estq[empresa], Z$6,
    tb_estq[Data da venda / reserva], "&gt;=" &amp; $A111,
    tb_estq[Data da venda / reserva], "&lt;"  &amp; EOMONTH($A111,0) + 1
)</f>
        <v>0</v>
      </c>
      <c r="AA111" s="123">
        <f ca="1">SUMIFS(tb_rec_uni[2030-01-01],
INDIRECT("tb_rec_uni[natureza]"),"pro.soluto",
INDIRECT("tb_rec_uni[empresa]"),AA$6)</f>
        <v>0</v>
      </c>
      <c r="AB111" s="127">
        <f ca="1">SUMIFS(tb_rec_uni[2030-01-01],
INDIRECT("tb_rec_uni[natureza]"),"parcela.fin.total.ik",
INDIRECT("tb_rec_uni[empresa]"),AB$6)</f>
        <v>0</v>
      </c>
      <c r="AC111" s="123">
        <f ca="1">SUMIFS(tb_rec_uni[2030-01-01],
INDIRECT("tb_rec_uni[natureza]"),"taxa.extra",
INDIRECT("tb_rec_uni[empresa]"),AC$6)</f>
        <v>0</v>
      </c>
      <c r="AD111" s="111"/>
      <c r="AE111" s="111">
        <f ca="1">SUMIFS(
  m.vb[valor],
  m.vb[nucleo],$Z$1,
  m.vb[variavel],AE$7,
  m.vb[mes],$A111
)</f>
        <v>0</v>
      </c>
      <c r="AF111" s="111">
        <f ca="1">SUMIFS(
  m.vb[valor],
  m.vb[nucleo],$Z$1,
  m.vb[variavel],AF$7,
  m.vb[mes],$A111
)</f>
        <v>0</v>
      </c>
      <c r="AG111" s="111">
        <f ca="1">SUMIFS(
  m.vb[valor],
  m.vb[nucleo],$Z$1,
  m.vb[variavel],AG$7,
  m.vb[mes],$A111
)</f>
        <v>0</v>
      </c>
      <c r="AH111" s="111">
        <f ca="1">SUMIFS(
  m.vb[valor],
  m.vb[nucleo],$Z$1,
  m.vb[variavel],AH$7,
  m.vb[mes],$A111
)</f>
        <v>0</v>
      </c>
      <c r="AI111" s="111">
        <f ca="1">SUMIFS(
  m.vb[valor],
  m.vb[nucleo],$Z$1,
  m.vb[variavel],AI$7,
  m.vb[mes],$A111
)</f>
        <v>0</v>
      </c>
      <c r="AJ111" s="122">
        <f>COUNTIFS(
    tb_estq[empresa], AJ$6,
    tb_estq[Data da venda / reserva], "&gt;=" &amp; $A111,
    tb_estq[Data da venda / reserva], "&lt;"  &amp; EOMONTH($A111,0) + 1
)</f>
        <v>0</v>
      </c>
      <c r="AK111" s="123">
        <f ca="1">SUMIFS(tb_rec_uni[2030-01-01],
INDIRECT("tb_rec_uni[natureza]"),"pro.soluto",
INDIRECT("tb_rec_uni[empresa]"),AK$6)</f>
        <v>0</v>
      </c>
      <c r="AL111" s="123">
        <f ca="1">SUMIFS(tb_rec_uni[2030-01-01],
INDIRECT("tb_rec_uni[natureza]"),"repasse.cef.obra",
INDIRECT("tb_rec_uni[empresa]"),AL$6)</f>
        <v>0</v>
      </c>
      <c r="AM111" s="126">
        <f ca="1">SUMIFS(tb_rec_uni[2030-01-01],
INDIRECT("tb_rec_uni[natureza]"),"repasse.cef.terreno",
INDIRECT("tb_rec_uni[empresa]"),AM$6)</f>
        <v>0</v>
      </c>
      <c r="AN111" s="127"/>
      <c r="AO111" s="123">
        <f ca="1">SUMIFS(tb_rec_uni[2030-01-01],
INDIRECT("tb_rec_uni[natureza]"),"taxa.extra",
INDIRECT("tb_rec_uni[empresa]"),AO$6)</f>
        <v>0</v>
      </c>
      <c r="AP111" s="111"/>
      <c r="AQ111" s="111">
        <f ca="1">SUMIFS(
  m.vb[valor],
  m.vb[nucleo],$AJ$1,
  m.vb[variavel],AQ$7,
  m.vb[mes],$A111
)</f>
        <v>0</v>
      </c>
      <c r="AR111" s="111">
        <f ca="1">SUMIFS(
  m.vb[valor],
  m.vb[nucleo],$AJ$1,
  m.vb[variavel],AR$7,
  m.vb[mes],$A111
)</f>
        <v>0</v>
      </c>
      <c r="AS111" s="111">
        <f ca="1">SUMIFS(
  m.vb[valor],
  m.vb[nucleo],$AJ$1,
  m.vb[variavel],AS$7,
  m.vb[mes],$A111
)</f>
        <v>0</v>
      </c>
      <c r="AT111" s="111">
        <f ca="1">SUMIFS(
  m.vb[valor],
  m.vb[nucleo],$AJ$1,
  m.vb[variavel],AT$7,
  m.vb[mes],$A111
)</f>
        <v>0</v>
      </c>
      <c r="AU111" s="111">
        <f ca="1">SUMIFS(
  m.vb[valor],
  m.vb[nucleo],$AJ$1,
  m.vb[variavel],AU$7,
  m.vb[mes],$A111
)</f>
        <v>0</v>
      </c>
      <c r="AV111" s="122">
        <f>COUNTIFS(
    tb_estq[empresa], AV$6,
    tb_estq[Data da venda / reserva], "&gt;=" &amp; $A111,
    tb_estq[Data da venda / reserva], "&lt;"  &amp; EOMONTH($A111,0) + 1
)</f>
        <v>0</v>
      </c>
      <c r="AW111" s="123">
        <f ca="1">SUMIFS(tb_rec_uni[2030-01-01],
INDIRECT("tb_rec_uni[natureza]"),"pro.soluto",
INDIRECT("tb_rec_uni[empresa]"),AW$6)</f>
        <v>0</v>
      </c>
      <c r="AX111" s="123">
        <f ca="1">SUMIFS(tb_rec_uni[2030-01-01],
INDIRECT("tb_rec_uni[natureza]"),"repasse.cef.obra",
INDIRECT("tb_rec_uni[empresa]"),AX$6)</f>
        <v>0</v>
      </c>
      <c r="AY111" s="126">
        <f ca="1">SUMIFS(tb_rec_uni[2030-01-01],
INDIRECT("tb_rec_uni[natureza]"),"repasse.cef.terreno",
INDIRECT("tb_rec_uni[empresa]"),AY$6)</f>
        <v>0</v>
      </c>
      <c r="AZ111" s="127"/>
      <c r="BA111" s="123">
        <f ca="1">SUMIFS(tb_rec_uni[2030-01-01],
INDIRECT("tb_rec_uni[natureza]"),"taxa.extra",
INDIRECT("tb_rec_uni[empresa]"),BA$6)</f>
        <v>0</v>
      </c>
      <c r="BB111" s="111"/>
      <c r="BC111" s="111">
        <f ca="1">SUMIFS(
  m.vb[valor],
  m.vb[nucleo],$AV$1,
  m.vb[variavel],BC$7,
  m.vb[mes],$A111
)</f>
        <v>0</v>
      </c>
      <c r="BD111" s="111">
        <f ca="1">SUMIFS(
  m.vb[valor],
  m.vb[nucleo],$AV$1,
  m.vb[variavel],BD$7,
  m.vb[mes],$A111
)</f>
        <v>0</v>
      </c>
      <c r="BE111" s="111">
        <f ca="1">SUMIFS(
  m.vb[valor],
  m.vb[nucleo],$AV$1,
  m.vb[variavel],BE$7,
  m.vb[mes],$A111
)</f>
        <v>0</v>
      </c>
      <c r="BF111" s="111">
        <f ca="1">SUMIFS(
  m.vb[valor],
  m.vb[nucleo],$AV$1,
  m.vb[variavel],BF$7,
  m.vb[mes],$A111
)</f>
        <v>0</v>
      </c>
      <c r="BG111" s="111">
        <f ca="1">SUMIFS(
  m.vb[valor],
  m.vb[nucleo],$AV$1,
  m.vb[variavel],BG$7,
  m.vb[mes],$A111
)</f>
        <v>0</v>
      </c>
      <c r="BH111" s="122">
        <f>COUNTIFS(
    tb_estq[empresa], BH$6,
    tb_estq[Data da venda / reserva], "&gt;=" &amp; $A111,
    tb_estq[Data da venda / reserva], "&lt;"  &amp; EOMONTH($A111,0) + 1
)</f>
        <v>0</v>
      </c>
      <c r="BI111" s="123">
        <f ca="1">SUMIFS(tb_rec_uni[2030-01-01],
INDIRECT("tb_rec_uni[natureza]"),"pro.soluto",
INDIRECT("tb_rec_uni[empresa]"),BI$6)</f>
        <v>0</v>
      </c>
      <c r="BJ111" s="127"/>
      <c r="BK111" s="123">
        <f ca="1">SUMIFS(tb_rec_uni[2030-01-01],
INDIRECT("tb_rec_uni[natureza]"),"taxa.extra",
INDIRECT("tb_rec_uni[empresa]"),BK$6)</f>
        <v>0</v>
      </c>
      <c r="BL111" s="111"/>
      <c r="BM111" s="111">
        <f ca="1">SUMIFS(
  m.vb[valor],
  m.vb[nucleo],$BH$1,
  m.vb[variavel],BM$7,
  m.vb[mes],$A111
)</f>
        <v>0</v>
      </c>
      <c r="BN111" s="111">
        <f ca="1">SUMIFS(
  m.vb[valor],
  m.vb[nucleo],$BH$1,
  m.vb[variavel],BN$7,
  m.vb[mes],$A111
)</f>
        <v>0</v>
      </c>
      <c r="BO111" s="111">
        <f ca="1">SUMIFS(
  m.vb[valor],
  m.vb[nucleo],$BH$1,
  m.vb[variavel],BO$7,
  m.vb[mes],$A111
)</f>
        <v>0</v>
      </c>
      <c r="BP111" s="111">
        <f ca="1">SUMIFS(
  m.vb[valor],
  m.vb[nucleo],$BH$1,
  m.vb[variavel],BP$7,
  m.vb[mes],$A111
)</f>
        <v>0</v>
      </c>
      <c r="BQ111" s="111">
        <f ca="1">SUMIFS(
  m.vb[valor],
  m.vb[nucleo],$BH$1,
  m.vb[variavel],BQ$7,
  m.vb[mes],$A111
)</f>
        <v>0</v>
      </c>
      <c r="BR111" s="122">
        <f>COUNTIFS(
    tb_estq[empresa], BR$6,
    tb_estq[Data da venda / reserva], "&gt;=" &amp; $A111,
    tb_estq[Data da venda / reserva], "&lt;"  &amp; EOMONTH($A111,0) + 1
)</f>
        <v>0</v>
      </c>
      <c r="BS111" s="123">
        <f ca="1">SUMIFS(tb_rec_uni[2030-01-01],
INDIRECT("tb_rec_uni[natureza]"),"pro.soluto",
INDIRECT("tb_rec_uni[empresa]"),BS$6)</f>
        <v>0</v>
      </c>
      <c r="BT111" s="127">
        <f ca="1">SUMIFS(tb_rec_uni[2030-01-01],
INDIRECT("tb_rec_uni[natureza]"),"parcela.fin.total.ik",
INDIRECT("tb_rec_uni[empresa]"),BT$6)</f>
        <v>0</v>
      </c>
      <c r="BU111" s="123">
        <f ca="1">SUMIFS(tb_rec_uni[2030-01-01],
INDIRECT("tb_rec_uni[natureza]"),"taxa.extra",
INDIRECT("tb_rec_uni[empresa]"),BU$6)</f>
        <v>0</v>
      </c>
      <c r="BV111" s="111"/>
      <c r="BW111" s="111">
        <f ca="1">SUMIFS(
  m.vb[valor],
  m.vb[nucleo],$BR$1,
  m.vb[variavel],BW$7,
  m.vb[mes],$A111
)</f>
        <v>0</v>
      </c>
      <c r="BX111" s="111">
        <f ca="1">SUMIFS(
  m.vb[valor],
  m.vb[nucleo],$BR$1,
  m.vb[variavel],BX$7,
  m.vb[mes],$A111
)</f>
        <v>0</v>
      </c>
      <c r="BY111" s="111">
        <f ca="1">SUMIFS(
  m.vb[valor],
  m.vb[nucleo],$BR$1,
  m.vb[variavel],BY$7,
  m.vb[mes],$A111
)</f>
        <v>0</v>
      </c>
      <c r="BZ111" s="111">
        <f ca="1">SUMIFS(
  m.vb[valor],
  m.vb[nucleo],$BR$1,
  m.vb[variavel],BZ$7,
  m.vb[mes],$A111
)</f>
        <v>0</v>
      </c>
      <c r="CA111" s="111">
        <f ca="1">SUMIFS(
  m.vb[valor],
  m.vb[nucleo],$BR$1,
  m.vb[variavel],CA$7,
  m.vb[mes],$A111
)</f>
        <v>0</v>
      </c>
      <c r="CB111" s="122">
        <f>COUNTIFS(
    tb_estq[empresa], CB$6,
    tb_estq[Data da venda / reserva], "&gt;=" &amp; $A111,
    tb_estq[Data da venda / reserva], "&lt;"  &amp; EOMONTH($A111,0) + 1
)</f>
        <v>0</v>
      </c>
      <c r="CC111" s="123">
        <f ca="1">SUMIFS(tb_rec_uni[2030-01-01],
INDIRECT("tb_rec_uni[natureza]"),"pro.soluto",
INDIRECT("tb_rec_uni[empresa]"),CC$6)</f>
        <v>0</v>
      </c>
      <c r="CD111" s="123">
        <f ca="1">SUMIFS(tb_rec_uni[2030-01-01],
INDIRECT("tb_rec_uni[natureza]"),"repasse.cef.obra",
INDIRECT("tb_rec_uni[empresa]"),CD$6)</f>
        <v>0</v>
      </c>
      <c r="CE111" s="126">
        <f ca="1">SUMIFS(tb_rec_uni[2030-01-01],
INDIRECT("tb_rec_uni[natureza]"),"repasse.cef.terreno",
INDIRECT("tb_rec_uni[empresa]"),CE$6)</f>
        <v>0</v>
      </c>
      <c r="CF111" s="127"/>
      <c r="CG111" s="123">
        <f ca="1">SUMIFS(tb_rec_uni[2030-01-01],
INDIRECT("tb_rec_uni[natureza]"),"taxa.extra",
INDIRECT("tb_rec_uni[empresa]"),CG$6)</f>
        <v>0</v>
      </c>
      <c r="CH111" s="111"/>
      <c r="CI111" s="111">
        <f ca="1">SUMIFS(
  m.vb[valor],
  m.vb[nucleo],$CB$1,
  m.vb[variavel],CI$7,
  m.vb[mes],$A111
)</f>
        <v>0</v>
      </c>
      <c r="CJ111" s="111">
        <f ca="1">SUMIFS(
  m.vb[valor],
  m.vb[nucleo],$CB$1,
  m.vb[variavel],CJ$7,
  m.vb[mes],$A111
)</f>
        <v>0</v>
      </c>
      <c r="CK111" s="111">
        <f ca="1">SUMIFS(
  m.vb[valor],
  m.vb[nucleo],$CB$1,
  m.vb[variavel],CK$7,
  m.vb[mes],$A111
)</f>
        <v>0</v>
      </c>
      <c r="CL111" s="111">
        <f ca="1">SUMIFS(
  m.vb[valor],
  m.vb[nucleo],$CB$1,
  m.vb[variavel],CL$7,
  m.vb[mes],$A111
)</f>
        <v>0</v>
      </c>
      <c r="CM111" s="111">
        <f ca="1">SUMIFS(
  m.vb[valor],
  m.vb[nucleo],$CB$1,
  m.vb[variavel],CM$7,
  m.vb[mes],$A111
)</f>
        <v>0</v>
      </c>
      <c r="CN111" s="122">
        <f>COUNTIFS(
    tb_estq[empresa], CN$6,
    tb_estq[Data da venda / reserva], "&gt;=" &amp; $A111,
    tb_estq[Data da venda / reserva], "&lt;"  &amp; EOMONTH($A111,0) + 1
)</f>
        <v>0</v>
      </c>
      <c r="CO111" s="123">
        <f ca="1">SUMIFS(tb_rec_uni[2030-01-01],
INDIRECT("tb_rec_uni[natureza]"),"pro.soluto",
INDIRECT("tb_rec_uni[empresa]"),CO$6)</f>
        <v>0</v>
      </c>
      <c r="CP111" s="123">
        <f ca="1">SUMIFS(tb_rec_uni[2030-01-01],
INDIRECT("tb_rec_uni[natureza]"),"repasse.cef.obra",
INDIRECT("tb_rec_uni[empresa]"),CP$6)</f>
        <v>0</v>
      </c>
      <c r="CQ111" s="126">
        <f ca="1">SUMIFS(tb_rec_uni[2030-01-01],
INDIRECT("tb_rec_uni[natureza]"),"repasse.cef.terreno",
INDIRECT("tb_rec_uni[empresa]"),CQ$6)</f>
        <v>0</v>
      </c>
      <c r="CR111" s="127"/>
      <c r="CS111" s="123">
        <f ca="1">SUMIFS(tb_rec_uni[2030-01-01],
INDIRECT("tb_rec_uni[natureza]"),"taxa.extra",
INDIRECT("tb_rec_uni[empresa]"),CS$6)</f>
        <v>0</v>
      </c>
      <c r="CT111" s="111"/>
      <c r="CU111" s="111">
        <f ca="1">SUMIFS(
  m.vb[valor],
  m.vb[nucleo],$CN$1,
  m.vb[variavel],CU$7,
  m.vb[mes],$A111
)</f>
        <v>0</v>
      </c>
      <c r="CV111" s="111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11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11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4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21">
        <v>47515</v>
      </c>
      <c r="B112" s="122">
        <f>COUNTIFS(
    tb_estq[empresa], B$6,
    tb_estq[Data da venda / reserva], "&gt;=" &amp; $A112,
    tb_estq[Data da venda / reserva], "&lt;"  &amp; EOMONTH($A112,0) + 1
)</f>
        <v>0</v>
      </c>
      <c r="C112" s="123">
        <f ca="1">SUMIFS(tb_rec_uni[2030-02-01],
INDIRECT("tb_rec_uni[natureza]"),"pro.soluto",
INDIRECT("tb_rec_uni[empresa]"),C$6)</f>
        <v>0</v>
      </c>
      <c r="D112" s="123">
        <f ca="1">SUMIFS(tb_rec_uni[2030-02-01],
INDIRECT("tb_rec_uni[natureza]"),"repasse.cef.obra",
INDIRECT("tb_rec_uni[empresa]"),D$6)</f>
        <v>0</v>
      </c>
      <c r="E112" s="123">
        <f ca="1">SUMIFS(tb_rec_uni[2030-02-01],
INDIRECT("tb_rec_uni[natureza]"),"repasse.cef.terreno",
INDIRECT("tb_rec_uni[empresa]"),E$6)</f>
        <v>0</v>
      </c>
      <c r="F112" s="127"/>
      <c r="G112" s="123">
        <f ca="1">SUMIFS(tb_rec_uni[2030-02-01],
INDIRECT("tb_rec_uni[natureza]"),"taxa.extra",
INDIRECT("tb_rec_uni[empresa]"),G$6)</f>
        <v>0</v>
      </c>
      <c r="H112" s="111"/>
      <c r="I112" s="111">
        <f ca="1">SUMIFS(
  m.vb[valor],
  m.vb[nucleo],$B$1,
  m.vb[variavel],I$7,
  m.vb[mes],$A112
)</f>
        <v>0</v>
      </c>
      <c r="J112" s="111">
        <f ca="1">SUMIFS(
  m.vb[valor],
  m.vb[nucleo],$B$1,
  m.vb[variavel],J$7,
  m.vb[mes],$A112
)</f>
        <v>0</v>
      </c>
      <c r="K112" s="111">
        <f ca="1">SUMIFS(
  m.vb[valor],
  m.vb[nucleo],$B$1,
  m.vb[variavel],K$7,
  m.vb[mes],$A112
)</f>
        <v>0</v>
      </c>
      <c r="L112" s="111">
        <f ca="1">SUMIFS(
  m.vb[valor],
  m.vb[nucleo],$B$1,
  m.vb[variavel],L$7,
  m.vb[mes],$A112
)</f>
        <v>0</v>
      </c>
      <c r="M112" s="111">
        <f ca="1">SUMIFS(
  m.vb[valor],
  m.vb[nucleo],$B$1,
  m.vb[variavel],M$7,
  m.vb[mes],$A112
)</f>
        <v>0</v>
      </c>
      <c r="N112" s="122">
        <f>COUNTIFS(
    tb_estq[empresa], N$6,
    tb_estq[Data da venda / reserva], "&gt;=" &amp; $A112,
    tb_estq[Data da venda / reserva], "&lt;"  &amp; EOMONTH($A112,0) + 1
)</f>
        <v>0</v>
      </c>
      <c r="O112" s="123">
        <f ca="1">SUMIFS(tb_rec_uni[2030-02-01],
INDIRECT("tb_rec_uni[natureza]"),"pro.soluto",
INDIRECT("tb_rec_uni[empresa]"),O$6)</f>
        <v>0</v>
      </c>
      <c r="P112" s="123">
        <f ca="1">SUMIFS(tb_rec_uni[2030-02-01],
INDIRECT("tb_rec_uni[natureza]"),"repasse.cef.obra",
INDIRECT("tb_rec_uni[empresa]"),P$6)</f>
        <v>0</v>
      </c>
      <c r="Q112" s="123">
        <f ca="1">SUMIFS(tb_rec_uni[2030-02-01],
INDIRECT("tb_rec_uni[natureza]"),"repasse.cef.terreno",
INDIRECT("tb_rec_uni[empresa]"),Q$6)</f>
        <v>0</v>
      </c>
      <c r="R112" s="127"/>
      <c r="S112" s="123">
        <f ca="1">SUMIFS(tb_rec_uni[2030-02-01],
INDIRECT("tb_rec_uni[natureza]"),"taxa.extra",
INDIRECT("tb_rec_uni[empresa]"),S$6)</f>
        <v>0</v>
      </c>
      <c r="T112" s="111"/>
      <c r="U112" s="111">
        <f ca="1">SUMIFS(
  m.vb[valor],
  m.vb[nucleo],$N$1,
  m.vb[variavel],U$7,
  m.vb[mes],$A112
)</f>
        <v>0</v>
      </c>
      <c r="V112" s="111">
        <f ca="1">SUMIFS(
  m.vb[valor],
  m.vb[nucleo],$N$1,
  m.vb[variavel],V$7,
  m.vb[mes],$A112
)</f>
        <v>0</v>
      </c>
      <c r="W112" s="111">
        <f ca="1">SUMIFS(
  m.vb[valor],
  m.vb[nucleo],$N$1,
  m.vb[variavel],W$7,
  m.vb[mes],$A112
)</f>
        <v>0</v>
      </c>
      <c r="X112" s="111">
        <f ca="1">SUMIFS(
  m.vb[valor],
  m.vb[nucleo],$N$1,
  m.vb[variavel],X$7,
  m.vb[mes],$A112
)</f>
        <v>0</v>
      </c>
      <c r="Y112" s="111">
        <f ca="1">SUMIFS(
  m.vb[valor],
  m.vb[nucleo],$N$1,
  m.vb[variavel],Y$7,
  m.vb[mes],$A112
)</f>
        <v>0</v>
      </c>
      <c r="Z112" s="122">
        <f>COUNTIFS(
    tb_estq[empresa], Z$6,
    tb_estq[Data da venda / reserva], "&gt;=" &amp; $A112,
    tb_estq[Data da venda / reserva], "&lt;"  &amp; EOMONTH($A112,0) + 1
)</f>
        <v>0</v>
      </c>
      <c r="AA112" s="123">
        <f ca="1">SUMIFS(tb_rec_uni[2030-02-01],
INDIRECT("tb_rec_uni[natureza]"),"pro.soluto",
INDIRECT("tb_rec_uni[empresa]"),AA$6)</f>
        <v>0</v>
      </c>
      <c r="AB112" s="127">
        <f ca="1">SUMIFS(tb_rec_uni[2030-02-01],
INDIRECT("tb_rec_uni[natureza]"),"parcela.fin.total.ik",
INDIRECT("tb_rec_uni[empresa]"),AB$6)</f>
        <v>0</v>
      </c>
      <c r="AC112" s="123">
        <f ca="1">SUMIFS(tb_rec_uni[2030-02-01],
INDIRECT("tb_rec_uni[natureza]"),"taxa.extra",
INDIRECT("tb_rec_uni[empresa]"),AC$6)</f>
        <v>0</v>
      </c>
      <c r="AD112" s="111"/>
      <c r="AE112" s="111">
        <f ca="1">SUMIFS(
  m.vb[valor],
  m.vb[nucleo],$Z$1,
  m.vb[variavel],AE$7,
  m.vb[mes],$A112
)</f>
        <v>0</v>
      </c>
      <c r="AF112" s="111">
        <f ca="1">SUMIFS(
  m.vb[valor],
  m.vb[nucleo],$Z$1,
  m.vb[variavel],AF$7,
  m.vb[mes],$A112
)</f>
        <v>0</v>
      </c>
      <c r="AG112" s="111">
        <f ca="1">SUMIFS(
  m.vb[valor],
  m.vb[nucleo],$Z$1,
  m.vb[variavel],AG$7,
  m.vb[mes],$A112
)</f>
        <v>0</v>
      </c>
      <c r="AH112" s="111">
        <f ca="1">SUMIFS(
  m.vb[valor],
  m.vb[nucleo],$Z$1,
  m.vb[variavel],AH$7,
  m.vb[mes],$A112
)</f>
        <v>0</v>
      </c>
      <c r="AI112" s="111">
        <f ca="1">SUMIFS(
  m.vb[valor],
  m.vb[nucleo],$Z$1,
  m.vb[variavel],AI$7,
  m.vb[mes],$A112
)</f>
        <v>0</v>
      </c>
      <c r="AJ112" s="122">
        <f>COUNTIFS(
    tb_estq[empresa], AJ$6,
    tb_estq[Data da venda / reserva], "&gt;=" &amp; $A112,
    tb_estq[Data da venda / reserva], "&lt;"  &amp; EOMONTH($A112,0) + 1
)</f>
        <v>0</v>
      </c>
      <c r="AK112" s="123">
        <f ca="1">SUMIFS(tb_rec_uni[2030-02-01],
INDIRECT("tb_rec_uni[natureza]"),"pro.soluto",
INDIRECT("tb_rec_uni[empresa]"),AK$6)</f>
        <v>0</v>
      </c>
      <c r="AL112" s="123">
        <f ca="1">SUMIFS(tb_rec_uni[2030-02-01],
INDIRECT("tb_rec_uni[natureza]"),"repasse.cef.obra",
INDIRECT("tb_rec_uni[empresa]"),AL$6)</f>
        <v>0</v>
      </c>
      <c r="AM112" s="126">
        <f ca="1">SUMIFS(tb_rec_uni[2030-02-01],
INDIRECT("tb_rec_uni[natureza]"),"repasse.cef.terreno",
INDIRECT("tb_rec_uni[empresa]"),AM$6)</f>
        <v>0</v>
      </c>
      <c r="AN112" s="127"/>
      <c r="AO112" s="123">
        <f ca="1">SUMIFS(tb_rec_uni[2030-02-01],
INDIRECT("tb_rec_uni[natureza]"),"taxa.extra",
INDIRECT("tb_rec_uni[empresa]"),AO$6)</f>
        <v>0</v>
      </c>
      <c r="AP112" s="111"/>
      <c r="AQ112" s="111">
        <f ca="1">SUMIFS(
  m.vb[valor],
  m.vb[nucleo],$AJ$1,
  m.vb[variavel],AQ$7,
  m.vb[mes],$A112
)</f>
        <v>0</v>
      </c>
      <c r="AR112" s="111">
        <f ca="1">SUMIFS(
  m.vb[valor],
  m.vb[nucleo],$AJ$1,
  m.vb[variavel],AR$7,
  m.vb[mes],$A112
)</f>
        <v>0</v>
      </c>
      <c r="AS112" s="111">
        <f ca="1">SUMIFS(
  m.vb[valor],
  m.vb[nucleo],$AJ$1,
  m.vb[variavel],AS$7,
  m.vb[mes],$A112
)</f>
        <v>0</v>
      </c>
      <c r="AT112" s="111">
        <f ca="1">SUMIFS(
  m.vb[valor],
  m.vb[nucleo],$AJ$1,
  m.vb[variavel],AT$7,
  m.vb[mes],$A112
)</f>
        <v>0</v>
      </c>
      <c r="AU112" s="111">
        <f ca="1">SUMIFS(
  m.vb[valor],
  m.vb[nucleo],$AJ$1,
  m.vb[variavel],AU$7,
  m.vb[mes],$A112
)</f>
        <v>0</v>
      </c>
      <c r="AV112" s="122">
        <f>COUNTIFS(
    tb_estq[empresa], AV$6,
    tb_estq[Data da venda / reserva], "&gt;=" &amp; $A112,
    tb_estq[Data da venda / reserva], "&lt;"  &amp; EOMONTH($A112,0) + 1
)</f>
        <v>0</v>
      </c>
      <c r="AW112" s="123">
        <f ca="1">SUMIFS(tb_rec_uni[2030-02-01],
INDIRECT("tb_rec_uni[natureza]"),"pro.soluto",
INDIRECT("tb_rec_uni[empresa]"),AW$6)</f>
        <v>0</v>
      </c>
      <c r="AX112" s="123">
        <f ca="1">SUMIFS(tb_rec_uni[2030-02-01],
INDIRECT("tb_rec_uni[natureza]"),"repasse.cef.obra",
INDIRECT("tb_rec_uni[empresa]"),AX$6)</f>
        <v>0</v>
      </c>
      <c r="AY112" s="126">
        <f ca="1">SUMIFS(tb_rec_uni[2030-02-01],
INDIRECT("tb_rec_uni[natureza]"),"repasse.cef.terreno",
INDIRECT("tb_rec_uni[empresa]"),AY$6)</f>
        <v>0</v>
      </c>
      <c r="AZ112" s="127"/>
      <c r="BA112" s="123">
        <f ca="1">SUMIFS(tb_rec_uni[2030-02-01],
INDIRECT("tb_rec_uni[natureza]"),"taxa.extra",
INDIRECT("tb_rec_uni[empresa]"),BA$6)</f>
        <v>0</v>
      </c>
      <c r="BB112" s="111"/>
      <c r="BC112" s="111">
        <f ca="1">SUMIFS(
  m.vb[valor],
  m.vb[nucleo],$AV$1,
  m.vb[variavel],BC$7,
  m.vb[mes],$A112
)</f>
        <v>0</v>
      </c>
      <c r="BD112" s="111">
        <f ca="1">SUMIFS(
  m.vb[valor],
  m.vb[nucleo],$AV$1,
  m.vb[variavel],BD$7,
  m.vb[mes],$A112
)</f>
        <v>0</v>
      </c>
      <c r="BE112" s="111">
        <f ca="1">SUMIFS(
  m.vb[valor],
  m.vb[nucleo],$AV$1,
  m.vb[variavel],BE$7,
  m.vb[mes],$A112
)</f>
        <v>0</v>
      </c>
      <c r="BF112" s="111">
        <f ca="1">SUMIFS(
  m.vb[valor],
  m.vb[nucleo],$AV$1,
  m.vb[variavel],BF$7,
  m.vb[mes],$A112
)</f>
        <v>0</v>
      </c>
      <c r="BG112" s="111">
        <f ca="1">SUMIFS(
  m.vb[valor],
  m.vb[nucleo],$AV$1,
  m.vb[variavel],BG$7,
  m.vb[mes],$A112
)</f>
        <v>0</v>
      </c>
      <c r="BH112" s="122">
        <f>COUNTIFS(
    tb_estq[empresa], BH$6,
    tb_estq[Data da venda / reserva], "&gt;=" &amp; $A112,
    tb_estq[Data da venda / reserva], "&lt;"  &amp; EOMONTH($A112,0) + 1
)</f>
        <v>0</v>
      </c>
      <c r="BI112" s="123">
        <f ca="1">SUMIFS(tb_rec_uni[2030-02-01],
INDIRECT("tb_rec_uni[natureza]"),"pro.soluto",
INDIRECT("tb_rec_uni[empresa]"),BI$6)</f>
        <v>0</v>
      </c>
      <c r="BJ112" s="127"/>
      <c r="BK112" s="123">
        <f ca="1">SUMIFS(tb_rec_uni[2030-02-01],
INDIRECT("tb_rec_uni[natureza]"),"taxa.extra",
INDIRECT("tb_rec_uni[empresa]"),BK$6)</f>
        <v>0</v>
      </c>
      <c r="BL112" s="111"/>
      <c r="BM112" s="111">
        <f ca="1">SUMIFS(
  m.vb[valor],
  m.vb[nucleo],$BH$1,
  m.vb[variavel],BM$7,
  m.vb[mes],$A112
)</f>
        <v>0</v>
      </c>
      <c r="BN112" s="111">
        <f ca="1">SUMIFS(
  m.vb[valor],
  m.vb[nucleo],$BH$1,
  m.vb[variavel],BN$7,
  m.vb[mes],$A112
)</f>
        <v>0</v>
      </c>
      <c r="BO112" s="111">
        <f ca="1">SUMIFS(
  m.vb[valor],
  m.vb[nucleo],$BH$1,
  m.vb[variavel],BO$7,
  m.vb[mes],$A112
)</f>
        <v>0</v>
      </c>
      <c r="BP112" s="111">
        <f ca="1">SUMIFS(
  m.vb[valor],
  m.vb[nucleo],$BH$1,
  m.vb[variavel],BP$7,
  m.vb[mes],$A112
)</f>
        <v>0</v>
      </c>
      <c r="BQ112" s="111">
        <f ca="1">SUMIFS(
  m.vb[valor],
  m.vb[nucleo],$BH$1,
  m.vb[variavel],BQ$7,
  m.vb[mes],$A112
)</f>
        <v>0</v>
      </c>
      <c r="BR112" s="122">
        <f>COUNTIFS(
    tb_estq[empresa], BR$6,
    tb_estq[Data da venda / reserva], "&gt;=" &amp; $A112,
    tb_estq[Data da venda / reserva], "&lt;"  &amp; EOMONTH($A112,0) + 1
)</f>
        <v>0</v>
      </c>
      <c r="BS112" s="123">
        <f ca="1">SUMIFS(tb_rec_uni[2030-02-01],
INDIRECT("tb_rec_uni[natureza]"),"pro.soluto",
INDIRECT("tb_rec_uni[empresa]"),BS$6)</f>
        <v>0</v>
      </c>
      <c r="BT112" s="127">
        <f ca="1">SUMIFS(tb_rec_uni[2030-02-01],
INDIRECT("tb_rec_uni[natureza]"),"parcela.fin.total.ik",
INDIRECT("tb_rec_uni[empresa]"),BT$6)</f>
        <v>0</v>
      </c>
      <c r="BU112" s="123">
        <f ca="1">SUMIFS(tb_rec_uni[2030-02-01],
INDIRECT("tb_rec_uni[natureza]"),"taxa.extra",
INDIRECT("tb_rec_uni[empresa]"),BU$6)</f>
        <v>0</v>
      </c>
      <c r="BV112" s="111"/>
      <c r="BW112" s="111">
        <f ca="1">SUMIFS(
  m.vb[valor],
  m.vb[nucleo],$BR$1,
  m.vb[variavel],BW$7,
  m.vb[mes],$A112
)</f>
        <v>0</v>
      </c>
      <c r="BX112" s="111">
        <f ca="1">SUMIFS(
  m.vb[valor],
  m.vb[nucleo],$BR$1,
  m.vb[variavel],BX$7,
  m.vb[mes],$A112
)</f>
        <v>0</v>
      </c>
      <c r="BY112" s="111">
        <f ca="1">SUMIFS(
  m.vb[valor],
  m.vb[nucleo],$BR$1,
  m.vb[variavel],BY$7,
  m.vb[mes],$A112
)</f>
        <v>0</v>
      </c>
      <c r="BZ112" s="111">
        <f ca="1">SUMIFS(
  m.vb[valor],
  m.vb[nucleo],$BR$1,
  m.vb[variavel],BZ$7,
  m.vb[mes],$A112
)</f>
        <v>0</v>
      </c>
      <c r="CA112" s="111">
        <f ca="1">SUMIFS(
  m.vb[valor],
  m.vb[nucleo],$BR$1,
  m.vb[variavel],CA$7,
  m.vb[mes],$A112
)</f>
        <v>0</v>
      </c>
      <c r="CB112" s="122">
        <f>COUNTIFS(
    tb_estq[empresa], CB$6,
    tb_estq[Data da venda / reserva], "&gt;=" &amp; $A112,
    tb_estq[Data da venda / reserva], "&lt;"  &amp; EOMONTH($A112,0) + 1
)</f>
        <v>0</v>
      </c>
      <c r="CC112" s="123">
        <f ca="1">SUMIFS(tb_rec_uni[2030-02-01],
INDIRECT("tb_rec_uni[natureza]"),"pro.soluto",
INDIRECT("tb_rec_uni[empresa]"),CC$6)</f>
        <v>0</v>
      </c>
      <c r="CD112" s="123">
        <f ca="1">SUMIFS(tb_rec_uni[2030-02-01],
INDIRECT("tb_rec_uni[natureza]"),"repasse.cef.obra",
INDIRECT("tb_rec_uni[empresa]"),CD$6)</f>
        <v>0</v>
      </c>
      <c r="CE112" s="126">
        <f ca="1">SUMIFS(tb_rec_uni[2030-02-01],
INDIRECT("tb_rec_uni[natureza]"),"repasse.cef.terreno",
INDIRECT("tb_rec_uni[empresa]"),CE$6)</f>
        <v>0</v>
      </c>
      <c r="CF112" s="127"/>
      <c r="CG112" s="123">
        <f ca="1">SUMIFS(tb_rec_uni[2030-02-01],
INDIRECT("tb_rec_uni[natureza]"),"taxa.extra",
INDIRECT("tb_rec_uni[empresa]"),CG$6)</f>
        <v>0</v>
      </c>
      <c r="CH112" s="111"/>
      <c r="CI112" s="111">
        <f ca="1">SUMIFS(
  m.vb[valor],
  m.vb[nucleo],$CB$1,
  m.vb[variavel],CI$7,
  m.vb[mes],$A112
)</f>
        <v>0</v>
      </c>
      <c r="CJ112" s="111">
        <f ca="1">SUMIFS(
  m.vb[valor],
  m.vb[nucleo],$CB$1,
  m.vb[variavel],CJ$7,
  m.vb[mes],$A112
)</f>
        <v>0</v>
      </c>
      <c r="CK112" s="111">
        <f ca="1">SUMIFS(
  m.vb[valor],
  m.vb[nucleo],$CB$1,
  m.vb[variavel],CK$7,
  m.vb[mes],$A112
)</f>
        <v>0</v>
      </c>
      <c r="CL112" s="111">
        <f ca="1">SUMIFS(
  m.vb[valor],
  m.vb[nucleo],$CB$1,
  m.vb[variavel],CL$7,
  m.vb[mes],$A112
)</f>
        <v>0</v>
      </c>
      <c r="CM112" s="111">
        <f ca="1">SUMIFS(
  m.vb[valor],
  m.vb[nucleo],$CB$1,
  m.vb[variavel],CM$7,
  m.vb[mes],$A112
)</f>
        <v>0</v>
      </c>
      <c r="CN112" s="122">
        <f>COUNTIFS(
    tb_estq[empresa], CN$6,
    tb_estq[Data da venda / reserva], "&gt;=" &amp; $A112,
    tb_estq[Data da venda / reserva], "&lt;"  &amp; EOMONTH($A112,0) + 1
)</f>
        <v>0</v>
      </c>
      <c r="CO112" s="123">
        <f ca="1">SUMIFS(tb_rec_uni[2030-02-01],
INDIRECT("tb_rec_uni[natureza]"),"pro.soluto",
INDIRECT("tb_rec_uni[empresa]"),CO$6)</f>
        <v>0</v>
      </c>
      <c r="CP112" s="123">
        <f ca="1">SUMIFS(tb_rec_uni[2030-02-01],
INDIRECT("tb_rec_uni[natureza]"),"repasse.cef.obra",
INDIRECT("tb_rec_uni[empresa]"),CP$6)</f>
        <v>0</v>
      </c>
      <c r="CQ112" s="126">
        <f ca="1">SUMIFS(tb_rec_uni[2030-02-01],
INDIRECT("tb_rec_uni[natureza]"),"repasse.cef.terreno",
INDIRECT("tb_rec_uni[empresa]"),CQ$6)</f>
        <v>0</v>
      </c>
      <c r="CR112" s="127"/>
      <c r="CS112" s="123">
        <f ca="1">SUMIFS(tb_rec_uni[2030-02-01],
INDIRECT("tb_rec_uni[natureza]"),"taxa.extra",
INDIRECT("tb_rec_uni[empresa]"),CS$6)</f>
        <v>0</v>
      </c>
      <c r="CT112" s="111"/>
      <c r="CU112" s="111">
        <f ca="1">SUMIFS(
  m.vb[valor],
  m.vb[nucleo],$CN$1,
  m.vb[variavel],CU$7,
  m.vb[mes],$A112
)</f>
        <v>0</v>
      </c>
      <c r="CV112" s="111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11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11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4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21">
        <v>47543</v>
      </c>
      <c r="B113" s="122">
        <f>COUNTIFS(
    tb_estq[empresa], B$6,
    tb_estq[Data da venda / reserva], "&gt;=" &amp; $A113,
    tb_estq[Data da venda / reserva], "&lt;"  &amp; EOMONTH($A113,0) + 1
)</f>
        <v>0</v>
      </c>
      <c r="C113" s="123">
        <f ca="1">SUMIFS(tb_rec_uni[2030-03-01],
INDIRECT("tb_rec_uni[natureza]"),"pro.soluto",
INDIRECT("tb_rec_uni[empresa]"),C$6)</f>
        <v>0</v>
      </c>
      <c r="D113" s="123">
        <f ca="1">SUMIFS(tb_rec_uni[2030-03-01],
INDIRECT("tb_rec_uni[natureza]"),"repasse.cef.obra",
INDIRECT("tb_rec_uni[empresa]"),D$6)</f>
        <v>0</v>
      </c>
      <c r="E113" s="123">
        <f ca="1">SUMIFS(tb_rec_uni[2030-03-01],
INDIRECT("tb_rec_uni[natureza]"),"repasse.cef.terreno",
INDIRECT("tb_rec_uni[empresa]"),E$6)</f>
        <v>0</v>
      </c>
      <c r="F113" s="127"/>
      <c r="G113" s="123">
        <f ca="1">SUMIFS(tb_rec_uni[2030-03-01],
INDIRECT("tb_rec_uni[natureza]"),"taxa.extra",
INDIRECT("tb_rec_uni[empresa]"),G$6)</f>
        <v>0</v>
      </c>
      <c r="H113" s="111"/>
      <c r="I113" s="111">
        <f ca="1">SUMIFS(
  m.vb[valor],
  m.vb[nucleo],$B$1,
  m.vb[variavel],I$7,
  m.vb[mes],$A113
)</f>
        <v>0</v>
      </c>
      <c r="J113" s="111">
        <f ca="1">SUMIFS(
  m.vb[valor],
  m.vb[nucleo],$B$1,
  m.vb[variavel],J$7,
  m.vb[mes],$A113
)</f>
        <v>0</v>
      </c>
      <c r="K113" s="111">
        <f ca="1">SUMIFS(
  m.vb[valor],
  m.vb[nucleo],$B$1,
  m.vb[variavel],K$7,
  m.vb[mes],$A113
)</f>
        <v>0</v>
      </c>
      <c r="L113" s="111">
        <f ca="1">SUMIFS(
  m.vb[valor],
  m.vb[nucleo],$B$1,
  m.vb[variavel],L$7,
  m.vb[mes],$A113
)</f>
        <v>0</v>
      </c>
      <c r="M113" s="111">
        <f ca="1">SUMIFS(
  m.vb[valor],
  m.vb[nucleo],$B$1,
  m.vb[variavel],M$7,
  m.vb[mes],$A113
)</f>
        <v>0</v>
      </c>
      <c r="N113" s="122">
        <f>COUNTIFS(
    tb_estq[empresa], N$6,
    tb_estq[Data da venda / reserva], "&gt;=" &amp; $A113,
    tb_estq[Data da venda / reserva], "&lt;"  &amp; EOMONTH($A113,0) + 1
)</f>
        <v>0</v>
      </c>
      <c r="O113" s="123">
        <f ca="1">SUMIFS(tb_rec_uni[2030-03-01],
INDIRECT("tb_rec_uni[natureza]"),"pro.soluto",
INDIRECT("tb_rec_uni[empresa]"),O$6)</f>
        <v>0</v>
      </c>
      <c r="P113" s="123">
        <f ca="1">SUMIFS(tb_rec_uni[2030-03-01],
INDIRECT("tb_rec_uni[natureza]"),"repasse.cef.obra",
INDIRECT("tb_rec_uni[empresa]"),P$6)</f>
        <v>0</v>
      </c>
      <c r="Q113" s="123">
        <f ca="1">SUMIFS(tb_rec_uni[2030-03-01],
INDIRECT("tb_rec_uni[natureza]"),"repasse.cef.terreno",
INDIRECT("tb_rec_uni[empresa]"),Q$6)</f>
        <v>0</v>
      </c>
      <c r="R113" s="127"/>
      <c r="S113" s="123">
        <f ca="1">SUMIFS(tb_rec_uni[2030-03-01],
INDIRECT("tb_rec_uni[natureza]"),"taxa.extra",
INDIRECT("tb_rec_uni[empresa]"),S$6)</f>
        <v>0</v>
      </c>
      <c r="T113" s="111"/>
      <c r="U113" s="111">
        <f ca="1">SUMIFS(
  m.vb[valor],
  m.vb[nucleo],$N$1,
  m.vb[variavel],U$7,
  m.vb[mes],$A113
)</f>
        <v>0</v>
      </c>
      <c r="V113" s="111">
        <f ca="1">SUMIFS(
  m.vb[valor],
  m.vb[nucleo],$N$1,
  m.vb[variavel],V$7,
  m.vb[mes],$A113
)</f>
        <v>0</v>
      </c>
      <c r="W113" s="111">
        <f ca="1">SUMIFS(
  m.vb[valor],
  m.vb[nucleo],$N$1,
  m.vb[variavel],W$7,
  m.vb[mes],$A113
)</f>
        <v>0</v>
      </c>
      <c r="X113" s="111">
        <f ca="1">SUMIFS(
  m.vb[valor],
  m.vb[nucleo],$N$1,
  m.vb[variavel],X$7,
  m.vb[mes],$A113
)</f>
        <v>0</v>
      </c>
      <c r="Y113" s="111">
        <f ca="1">SUMIFS(
  m.vb[valor],
  m.vb[nucleo],$N$1,
  m.vb[variavel],Y$7,
  m.vb[mes],$A113
)</f>
        <v>0</v>
      </c>
      <c r="Z113" s="122">
        <f>COUNTIFS(
    tb_estq[empresa], Z$6,
    tb_estq[Data da venda / reserva], "&gt;=" &amp; $A113,
    tb_estq[Data da venda / reserva], "&lt;"  &amp; EOMONTH($A113,0) + 1
)</f>
        <v>0</v>
      </c>
      <c r="AA113" s="123">
        <f ca="1">SUMIFS(tb_rec_uni[2030-03-01],
INDIRECT("tb_rec_uni[natureza]"),"pro.soluto",
INDIRECT("tb_rec_uni[empresa]"),AA$6)</f>
        <v>0</v>
      </c>
      <c r="AB113" s="127">
        <f ca="1">SUMIFS(tb_rec_uni[2030-03-01],
INDIRECT("tb_rec_uni[natureza]"),"parcela.fin.total.ik",
INDIRECT("tb_rec_uni[empresa]"),AB$6)</f>
        <v>0</v>
      </c>
      <c r="AC113" s="123">
        <f ca="1">SUMIFS(tb_rec_uni[2030-03-01],
INDIRECT("tb_rec_uni[natureza]"),"taxa.extra",
INDIRECT("tb_rec_uni[empresa]"),AC$6)</f>
        <v>0</v>
      </c>
      <c r="AD113" s="111"/>
      <c r="AE113" s="111">
        <f ca="1">SUMIFS(
  m.vb[valor],
  m.vb[nucleo],$Z$1,
  m.vb[variavel],AE$7,
  m.vb[mes],$A113
)</f>
        <v>0</v>
      </c>
      <c r="AF113" s="111">
        <f ca="1">SUMIFS(
  m.vb[valor],
  m.vb[nucleo],$Z$1,
  m.vb[variavel],AF$7,
  m.vb[mes],$A113
)</f>
        <v>0</v>
      </c>
      <c r="AG113" s="111">
        <f ca="1">SUMIFS(
  m.vb[valor],
  m.vb[nucleo],$Z$1,
  m.vb[variavel],AG$7,
  m.vb[mes],$A113
)</f>
        <v>0</v>
      </c>
      <c r="AH113" s="111">
        <f ca="1">SUMIFS(
  m.vb[valor],
  m.vb[nucleo],$Z$1,
  m.vb[variavel],AH$7,
  m.vb[mes],$A113
)</f>
        <v>0</v>
      </c>
      <c r="AI113" s="111">
        <f ca="1">SUMIFS(
  m.vb[valor],
  m.vb[nucleo],$Z$1,
  m.vb[variavel],AI$7,
  m.vb[mes],$A113
)</f>
        <v>0</v>
      </c>
      <c r="AJ113" s="122">
        <f>COUNTIFS(
    tb_estq[empresa], AJ$6,
    tb_estq[Data da venda / reserva], "&gt;=" &amp; $A113,
    tb_estq[Data da venda / reserva], "&lt;"  &amp; EOMONTH($A113,0) + 1
)</f>
        <v>0</v>
      </c>
      <c r="AK113" s="123">
        <f ca="1">SUMIFS(tb_rec_uni[2030-03-01],
INDIRECT("tb_rec_uni[natureza]"),"pro.soluto",
INDIRECT("tb_rec_uni[empresa]"),AK$6)</f>
        <v>0</v>
      </c>
      <c r="AL113" s="123">
        <f ca="1">SUMIFS(tb_rec_uni[2030-03-01],
INDIRECT("tb_rec_uni[natureza]"),"repasse.cef.obra",
INDIRECT("tb_rec_uni[empresa]"),AL$6)</f>
        <v>0</v>
      </c>
      <c r="AM113" s="126">
        <f ca="1">SUMIFS(tb_rec_uni[2030-03-01],
INDIRECT("tb_rec_uni[natureza]"),"repasse.cef.terreno",
INDIRECT("tb_rec_uni[empresa]"),AM$6)</f>
        <v>0</v>
      </c>
      <c r="AN113" s="127"/>
      <c r="AO113" s="123">
        <f ca="1">SUMIFS(tb_rec_uni[2030-03-01],
INDIRECT("tb_rec_uni[natureza]"),"taxa.extra",
INDIRECT("tb_rec_uni[empresa]"),AO$6)</f>
        <v>0</v>
      </c>
      <c r="AP113" s="111"/>
      <c r="AQ113" s="111">
        <f ca="1">SUMIFS(
  m.vb[valor],
  m.vb[nucleo],$AJ$1,
  m.vb[variavel],AQ$7,
  m.vb[mes],$A113
)</f>
        <v>0</v>
      </c>
      <c r="AR113" s="111">
        <f ca="1">SUMIFS(
  m.vb[valor],
  m.vb[nucleo],$AJ$1,
  m.vb[variavel],AR$7,
  m.vb[mes],$A113
)</f>
        <v>0</v>
      </c>
      <c r="AS113" s="111">
        <f ca="1">SUMIFS(
  m.vb[valor],
  m.vb[nucleo],$AJ$1,
  m.vb[variavel],AS$7,
  m.vb[mes],$A113
)</f>
        <v>0</v>
      </c>
      <c r="AT113" s="111">
        <f ca="1">SUMIFS(
  m.vb[valor],
  m.vb[nucleo],$AJ$1,
  m.vb[variavel],AT$7,
  m.vb[mes],$A113
)</f>
        <v>0</v>
      </c>
      <c r="AU113" s="111">
        <f ca="1">SUMIFS(
  m.vb[valor],
  m.vb[nucleo],$AJ$1,
  m.vb[variavel],AU$7,
  m.vb[mes],$A113
)</f>
        <v>0</v>
      </c>
      <c r="AV113" s="122">
        <f>COUNTIFS(
    tb_estq[empresa], AV$6,
    tb_estq[Data da venda / reserva], "&gt;=" &amp; $A113,
    tb_estq[Data da venda / reserva], "&lt;"  &amp; EOMONTH($A113,0) + 1
)</f>
        <v>0</v>
      </c>
      <c r="AW113" s="123">
        <f ca="1">SUMIFS(tb_rec_uni[2030-03-01],
INDIRECT("tb_rec_uni[natureza]"),"pro.soluto",
INDIRECT("tb_rec_uni[empresa]"),AW$6)</f>
        <v>0</v>
      </c>
      <c r="AX113" s="123">
        <f ca="1">SUMIFS(tb_rec_uni[2030-03-01],
INDIRECT("tb_rec_uni[natureza]"),"repasse.cef.obra",
INDIRECT("tb_rec_uni[empresa]"),AX$6)</f>
        <v>0</v>
      </c>
      <c r="AY113" s="126">
        <f ca="1">SUMIFS(tb_rec_uni[2030-03-01],
INDIRECT("tb_rec_uni[natureza]"),"repasse.cef.terreno",
INDIRECT("tb_rec_uni[empresa]"),AY$6)</f>
        <v>0</v>
      </c>
      <c r="AZ113" s="127"/>
      <c r="BA113" s="123">
        <f ca="1">SUMIFS(tb_rec_uni[2030-03-01],
INDIRECT("tb_rec_uni[natureza]"),"taxa.extra",
INDIRECT("tb_rec_uni[empresa]"),BA$6)</f>
        <v>0</v>
      </c>
      <c r="BB113" s="111"/>
      <c r="BC113" s="111">
        <f ca="1">SUMIFS(
  m.vb[valor],
  m.vb[nucleo],$AV$1,
  m.vb[variavel],BC$7,
  m.vb[mes],$A113
)</f>
        <v>0</v>
      </c>
      <c r="BD113" s="111">
        <f ca="1">SUMIFS(
  m.vb[valor],
  m.vb[nucleo],$AV$1,
  m.vb[variavel],BD$7,
  m.vb[mes],$A113
)</f>
        <v>0</v>
      </c>
      <c r="BE113" s="111">
        <f ca="1">SUMIFS(
  m.vb[valor],
  m.vb[nucleo],$AV$1,
  m.vb[variavel],BE$7,
  m.vb[mes],$A113
)</f>
        <v>0</v>
      </c>
      <c r="BF113" s="111">
        <f ca="1">SUMIFS(
  m.vb[valor],
  m.vb[nucleo],$AV$1,
  m.vb[variavel],BF$7,
  m.vb[mes],$A113
)</f>
        <v>0</v>
      </c>
      <c r="BG113" s="111">
        <f ca="1">SUMIFS(
  m.vb[valor],
  m.vb[nucleo],$AV$1,
  m.vb[variavel],BG$7,
  m.vb[mes],$A113
)</f>
        <v>0</v>
      </c>
      <c r="BH113" s="122">
        <f>COUNTIFS(
    tb_estq[empresa], BH$6,
    tb_estq[Data da venda / reserva], "&gt;=" &amp; $A113,
    tb_estq[Data da venda / reserva], "&lt;"  &amp; EOMONTH($A113,0) + 1
)</f>
        <v>0</v>
      </c>
      <c r="BI113" s="123">
        <f ca="1">SUMIFS(tb_rec_uni[2030-03-01],
INDIRECT("tb_rec_uni[natureza]"),"pro.soluto",
INDIRECT("tb_rec_uni[empresa]"),BI$6)</f>
        <v>0</v>
      </c>
      <c r="BJ113" s="127"/>
      <c r="BK113" s="123">
        <f ca="1">SUMIFS(tb_rec_uni[2030-03-01],
INDIRECT("tb_rec_uni[natureza]"),"taxa.extra",
INDIRECT("tb_rec_uni[empresa]"),BK$6)</f>
        <v>0</v>
      </c>
      <c r="BL113" s="111"/>
      <c r="BM113" s="111">
        <f ca="1">SUMIFS(
  m.vb[valor],
  m.vb[nucleo],$BH$1,
  m.vb[variavel],BM$7,
  m.vb[mes],$A113
)</f>
        <v>0</v>
      </c>
      <c r="BN113" s="111">
        <f ca="1">SUMIFS(
  m.vb[valor],
  m.vb[nucleo],$BH$1,
  m.vb[variavel],BN$7,
  m.vb[mes],$A113
)</f>
        <v>0</v>
      </c>
      <c r="BO113" s="111">
        <f ca="1">SUMIFS(
  m.vb[valor],
  m.vb[nucleo],$BH$1,
  m.vb[variavel],BO$7,
  m.vb[mes],$A113
)</f>
        <v>0</v>
      </c>
      <c r="BP113" s="111">
        <f ca="1">SUMIFS(
  m.vb[valor],
  m.vb[nucleo],$BH$1,
  m.vb[variavel],BP$7,
  m.vb[mes],$A113
)</f>
        <v>0</v>
      </c>
      <c r="BQ113" s="111">
        <f ca="1">SUMIFS(
  m.vb[valor],
  m.vb[nucleo],$BH$1,
  m.vb[variavel],BQ$7,
  m.vb[mes],$A113
)</f>
        <v>0</v>
      </c>
      <c r="BR113" s="122">
        <f>COUNTIFS(
    tb_estq[empresa], BR$6,
    tb_estq[Data da venda / reserva], "&gt;=" &amp; $A113,
    tb_estq[Data da venda / reserva], "&lt;"  &amp; EOMONTH($A113,0) + 1
)</f>
        <v>0</v>
      </c>
      <c r="BS113" s="123">
        <f ca="1">SUMIFS(tb_rec_uni[2030-03-01],
INDIRECT("tb_rec_uni[natureza]"),"pro.soluto",
INDIRECT("tb_rec_uni[empresa]"),BS$6)</f>
        <v>0</v>
      </c>
      <c r="BT113" s="127">
        <f ca="1">SUMIFS(tb_rec_uni[2030-03-01],
INDIRECT("tb_rec_uni[natureza]"),"parcela.fin.total.ik",
INDIRECT("tb_rec_uni[empresa]"),BT$6)</f>
        <v>0</v>
      </c>
      <c r="BU113" s="123">
        <f ca="1">SUMIFS(tb_rec_uni[2030-03-01],
INDIRECT("tb_rec_uni[natureza]"),"taxa.extra",
INDIRECT("tb_rec_uni[empresa]"),BU$6)</f>
        <v>0</v>
      </c>
      <c r="BV113" s="111"/>
      <c r="BW113" s="111">
        <f ca="1">SUMIFS(
  m.vb[valor],
  m.vb[nucleo],$BR$1,
  m.vb[variavel],BW$7,
  m.vb[mes],$A113
)</f>
        <v>0</v>
      </c>
      <c r="BX113" s="111">
        <f ca="1">SUMIFS(
  m.vb[valor],
  m.vb[nucleo],$BR$1,
  m.vb[variavel],BX$7,
  m.vb[mes],$A113
)</f>
        <v>0</v>
      </c>
      <c r="BY113" s="111">
        <f ca="1">SUMIFS(
  m.vb[valor],
  m.vb[nucleo],$BR$1,
  m.vb[variavel],BY$7,
  m.vb[mes],$A113
)</f>
        <v>0</v>
      </c>
      <c r="BZ113" s="111">
        <f ca="1">SUMIFS(
  m.vb[valor],
  m.vb[nucleo],$BR$1,
  m.vb[variavel],BZ$7,
  m.vb[mes],$A113
)</f>
        <v>0</v>
      </c>
      <c r="CA113" s="111">
        <f ca="1">SUMIFS(
  m.vb[valor],
  m.vb[nucleo],$BR$1,
  m.vb[variavel],CA$7,
  m.vb[mes],$A113
)</f>
        <v>0</v>
      </c>
      <c r="CB113" s="122">
        <f>COUNTIFS(
    tb_estq[empresa], CB$6,
    tb_estq[Data da venda / reserva], "&gt;=" &amp; $A113,
    tb_estq[Data da venda / reserva], "&lt;"  &amp; EOMONTH($A113,0) + 1
)</f>
        <v>0</v>
      </c>
      <c r="CC113" s="123">
        <f ca="1">SUMIFS(tb_rec_uni[2030-03-01],
INDIRECT("tb_rec_uni[natureza]"),"pro.soluto",
INDIRECT("tb_rec_uni[empresa]"),CC$6)</f>
        <v>0</v>
      </c>
      <c r="CD113" s="123">
        <f ca="1">SUMIFS(tb_rec_uni[2030-03-01],
INDIRECT("tb_rec_uni[natureza]"),"repasse.cef.obra",
INDIRECT("tb_rec_uni[empresa]"),CD$6)</f>
        <v>0</v>
      </c>
      <c r="CE113" s="126">
        <f ca="1">SUMIFS(tb_rec_uni[2030-03-01],
INDIRECT("tb_rec_uni[natureza]"),"repasse.cef.terreno",
INDIRECT("tb_rec_uni[empresa]"),CE$6)</f>
        <v>0</v>
      </c>
      <c r="CF113" s="127"/>
      <c r="CG113" s="123">
        <f ca="1">SUMIFS(tb_rec_uni[2030-03-01],
INDIRECT("tb_rec_uni[natureza]"),"taxa.extra",
INDIRECT("tb_rec_uni[empresa]"),CG$6)</f>
        <v>0</v>
      </c>
      <c r="CH113" s="111"/>
      <c r="CI113" s="111">
        <f ca="1">SUMIFS(
  m.vb[valor],
  m.vb[nucleo],$CB$1,
  m.vb[variavel],CI$7,
  m.vb[mes],$A113
)</f>
        <v>0</v>
      </c>
      <c r="CJ113" s="111">
        <f ca="1">SUMIFS(
  m.vb[valor],
  m.vb[nucleo],$CB$1,
  m.vb[variavel],CJ$7,
  m.vb[mes],$A113
)</f>
        <v>0</v>
      </c>
      <c r="CK113" s="111">
        <f ca="1">SUMIFS(
  m.vb[valor],
  m.vb[nucleo],$CB$1,
  m.vb[variavel],CK$7,
  m.vb[mes],$A113
)</f>
        <v>0</v>
      </c>
      <c r="CL113" s="111">
        <f ca="1">SUMIFS(
  m.vb[valor],
  m.vb[nucleo],$CB$1,
  m.vb[variavel],CL$7,
  m.vb[mes],$A113
)</f>
        <v>0</v>
      </c>
      <c r="CM113" s="111">
        <f ca="1">SUMIFS(
  m.vb[valor],
  m.vb[nucleo],$CB$1,
  m.vb[variavel],CM$7,
  m.vb[mes],$A113
)</f>
        <v>0</v>
      </c>
      <c r="CN113" s="122">
        <f>COUNTIFS(
    tb_estq[empresa], CN$6,
    tb_estq[Data da venda / reserva], "&gt;=" &amp; $A113,
    tb_estq[Data da venda / reserva], "&lt;"  &amp; EOMONTH($A113,0) + 1
)</f>
        <v>0</v>
      </c>
      <c r="CO113" s="123">
        <f ca="1">SUMIFS(tb_rec_uni[2030-03-01],
INDIRECT("tb_rec_uni[natureza]"),"pro.soluto",
INDIRECT("tb_rec_uni[empresa]"),CO$6)</f>
        <v>0</v>
      </c>
      <c r="CP113" s="123">
        <f ca="1">SUMIFS(tb_rec_uni[2030-03-01],
INDIRECT("tb_rec_uni[natureza]"),"repasse.cef.obra",
INDIRECT("tb_rec_uni[empresa]"),CP$6)</f>
        <v>0</v>
      </c>
      <c r="CQ113" s="126">
        <f ca="1">SUMIFS(tb_rec_uni[2030-03-01],
INDIRECT("tb_rec_uni[natureza]"),"repasse.cef.terreno",
INDIRECT("tb_rec_uni[empresa]"),CQ$6)</f>
        <v>0</v>
      </c>
      <c r="CR113" s="127"/>
      <c r="CS113" s="123">
        <f ca="1">SUMIFS(tb_rec_uni[2030-03-01],
INDIRECT("tb_rec_uni[natureza]"),"taxa.extra",
INDIRECT("tb_rec_uni[empresa]"),CS$6)</f>
        <v>0</v>
      </c>
      <c r="CT113" s="111"/>
      <c r="CU113" s="111">
        <f ca="1">SUMIFS(
  m.vb[valor],
  m.vb[nucleo],$CN$1,
  m.vb[variavel],CU$7,
  m.vb[mes],$A113
)</f>
        <v>0</v>
      </c>
      <c r="CV113" s="111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11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11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4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21">
        <v>47574</v>
      </c>
      <c r="B114" s="122">
        <f>COUNTIFS(
    tb_estq[empresa], B$6,
    tb_estq[Data da venda / reserva], "&gt;=" &amp; $A114,
    tb_estq[Data da venda / reserva], "&lt;"  &amp; EOMONTH($A114,0) + 1
)</f>
        <v>0</v>
      </c>
      <c r="C114" s="123">
        <f ca="1">SUMIFS(tb_rec_uni[2030-04-01],
INDIRECT("tb_rec_uni[natureza]"),"pro.soluto",
INDIRECT("tb_rec_uni[empresa]"),C$6)</f>
        <v>0</v>
      </c>
      <c r="D114" s="123">
        <f ca="1">SUMIFS(tb_rec_uni[2030-04-01],
INDIRECT("tb_rec_uni[natureza]"),"repasse.cef.obra",
INDIRECT("tb_rec_uni[empresa]"),D$6)</f>
        <v>0</v>
      </c>
      <c r="E114" s="123">
        <f ca="1">SUMIFS(tb_rec_uni[2030-04-01],
INDIRECT("tb_rec_uni[natureza]"),"repasse.cef.terreno",
INDIRECT("tb_rec_uni[empresa]"),E$6)</f>
        <v>0</v>
      </c>
      <c r="F114" s="127"/>
      <c r="G114" s="123">
        <f ca="1">SUMIFS(tb_rec_uni[2030-04-01],
INDIRECT("tb_rec_uni[natureza]"),"taxa.extra",
INDIRECT("tb_rec_uni[empresa]"),G$6)</f>
        <v>0</v>
      </c>
      <c r="H114" s="111"/>
      <c r="I114" s="111">
        <f ca="1">SUMIFS(
  m.vb[valor],
  m.vb[nucleo],$B$1,
  m.vb[variavel],I$7,
  m.vb[mes],$A114
)</f>
        <v>0</v>
      </c>
      <c r="J114" s="111">
        <f ca="1">SUMIFS(
  m.vb[valor],
  m.vb[nucleo],$B$1,
  m.vb[variavel],J$7,
  m.vb[mes],$A114
)</f>
        <v>0</v>
      </c>
      <c r="K114" s="111">
        <f ca="1">SUMIFS(
  m.vb[valor],
  m.vb[nucleo],$B$1,
  m.vb[variavel],K$7,
  m.vb[mes],$A114
)</f>
        <v>0</v>
      </c>
      <c r="L114" s="111">
        <f ca="1">SUMIFS(
  m.vb[valor],
  m.vb[nucleo],$B$1,
  m.vb[variavel],L$7,
  m.vb[mes],$A114
)</f>
        <v>0</v>
      </c>
      <c r="M114" s="111">
        <f ca="1">SUMIFS(
  m.vb[valor],
  m.vb[nucleo],$B$1,
  m.vb[variavel],M$7,
  m.vb[mes],$A114
)</f>
        <v>0</v>
      </c>
      <c r="N114" s="122">
        <f>COUNTIFS(
    tb_estq[empresa], N$6,
    tb_estq[Data da venda / reserva], "&gt;=" &amp; $A114,
    tb_estq[Data da venda / reserva], "&lt;"  &amp; EOMONTH($A114,0) + 1
)</f>
        <v>0</v>
      </c>
      <c r="O114" s="123">
        <f ca="1">SUMIFS(tb_rec_uni[2030-04-01],
INDIRECT("tb_rec_uni[natureza]"),"pro.soluto",
INDIRECT("tb_rec_uni[empresa]"),O$6)</f>
        <v>0</v>
      </c>
      <c r="P114" s="123">
        <f ca="1">SUMIFS(tb_rec_uni[2030-04-01],
INDIRECT("tb_rec_uni[natureza]"),"repasse.cef.obra",
INDIRECT("tb_rec_uni[empresa]"),P$6)</f>
        <v>0</v>
      </c>
      <c r="Q114" s="123">
        <f ca="1">SUMIFS(tb_rec_uni[2030-04-01],
INDIRECT("tb_rec_uni[natureza]"),"repasse.cef.terreno",
INDIRECT("tb_rec_uni[empresa]"),Q$6)</f>
        <v>0</v>
      </c>
      <c r="R114" s="127"/>
      <c r="S114" s="123">
        <f ca="1">SUMIFS(tb_rec_uni[2030-04-01],
INDIRECT("tb_rec_uni[natureza]"),"taxa.extra",
INDIRECT("tb_rec_uni[empresa]"),S$6)</f>
        <v>0</v>
      </c>
      <c r="T114" s="111"/>
      <c r="U114" s="111">
        <f ca="1">SUMIFS(
  m.vb[valor],
  m.vb[nucleo],$N$1,
  m.vb[variavel],U$7,
  m.vb[mes],$A114
)</f>
        <v>0</v>
      </c>
      <c r="V114" s="111">
        <f ca="1">SUMIFS(
  m.vb[valor],
  m.vb[nucleo],$N$1,
  m.vb[variavel],V$7,
  m.vb[mes],$A114
)</f>
        <v>0</v>
      </c>
      <c r="W114" s="111">
        <f ca="1">SUMIFS(
  m.vb[valor],
  m.vb[nucleo],$N$1,
  m.vb[variavel],W$7,
  m.vb[mes],$A114
)</f>
        <v>0</v>
      </c>
      <c r="X114" s="111">
        <f ca="1">SUMIFS(
  m.vb[valor],
  m.vb[nucleo],$N$1,
  m.vb[variavel],X$7,
  m.vb[mes],$A114
)</f>
        <v>0</v>
      </c>
      <c r="Y114" s="111">
        <f ca="1">SUMIFS(
  m.vb[valor],
  m.vb[nucleo],$N$1,
  m.vb[variavel],Y$7,
  m.vb[mes],$A114
)</f>
        <v>0</v>
      </c>
      <c r="Z114" s="122">
        <f>COUNTIFS(
    tb_estq[empresa], Z$6,
    tb_estq[Data da venda / reserva], "&gt;=" &amp; $A114,
    tb_estq[Data da venda / reserva], "&lt;"  &amp; EOMONTH($A114,0) + 1
)</f>
        <v>0</v>
      </c>
      <c r="AA114" s="123">
        <f ca="1">SUMIFS(tb_rec_uni[2030-04-01],
INDIRECT("tb_rec_uni[natureza]"),"pro.soluto",
INDIRECT("tb_rec_uni[empresa]"),AA$6)</f>
        <v>0</v>
      </c>
      <c r="AB114" s="127">
        <f ca="1">SUMIFS(tb_rec_uni[2030-04-01],
INDIRECT("tb_rec_uni[natureza]"),"parcela.fin.total.ik",
INDIRECT("tb_rec_uni[empresa]"),AB$6)</f>
        <v>0</v>
      </c>
      <c r="AC114" s="123">
        <f ca="1">SUMIFS(tb_rec_uni[2030-04-01],
INDIRECT("tb_rec_uni[natureza]"),"taxa.extra",
INDIRECT("tb_rec_uni[empresa]"),AC$6)</f>
        <v>0</v>
      </c>
      <c r="AD114" s="111"/>
      <c r="AE114" s="111">
        <f ca="1">SUMIFS(
  m.vb[valor],
  m.vb[nucleo],$Z$1,
  m.vb[variavel],AE$7,
  m.vb[mes],$A114
)</f>
        <v>0</v>
      </c>
      <c r="AF114" s="111">
        <f ca="1">SUMIFS(
  m.vb[valor],
  m.vb[nucleo],$Z$1,
  m.vb[variavel],AF$7,
  m.vb[mes],$A114
)</f>
        <v>0</v>
      </c>
      <c r="AG114" s="111">
        <f ca="1">SUMIFS(
  m.vb[valor],
  m.vb[nucleo],$Z$1,
  m.vb[variavel],AG$7,
  m.vb[mes],$A114
)</f>
        <v>0</v>
      </c>
      <c r="AH114" s="111">
        <f ca="1">SUMIFS(
  m.vb[valor],
  m.vb[nucleo],$Z$1,
  m.vb[variavel],AH$7,
  m.vb[mes],$A114
)</f>
        <v>0</v>
      </c>
      <c r="AI114" s="111">
        <f ca="1">SUMIFS(
  m.vb[valor],
  m.vb[nucleo],$Z$1,
  m.vb[variavel],AI$7,
  m.vb[mes],$A114
)</f>
        <v>0</v>
      </c>
      <c r="AJ114" s="122">
        <f>COUNTIFS(
    tb_estq[empresa], AJ$6,
    tb_estq[Data da venda / reserva], "&gt;=" &amp; $A114,
    tb_estq[Data da venda / reserva], "&lt;"  &amp; EOMONTH($A114,0) + 1
)</f>
        <v>0</v>
      </c>
      <c r="AK114" s="123">
        <f ca="1">SUMIFS(tb_rec_uni[2030-04-01],
INDIRECT("tb_rec_uni[natureza]"),"pro.soluto",
INDIRECT("tb_rec_uni[empresa]"),AK$6)</f>
        <v>0</v>
      </c>
      <c r="AL114" s="123">
        <f ca="1">SUMIFS(tb_rec_uni[2030-04-01],
INDIRECT("tb_rec_uni[natureza]"),"repasse.cef.obra",
INDIRECT("tb_rec_uni[empresa]"),AL$6)</f>
        <v>0</v>
      </c>
      <c r="AM114" s="126">
        <f ca="1">SUMIFS(tb_rec_uni[2030-04-01],
INDIRECT("tb_rec_uni[natureza]"),"repasse.cef.terreno",
INDIRECT("tb_rec_uni[empresa]"),AM$6)</f>
        <v>0</v>
      </c>
      <c r="AN114" s="127"/>
      <c r="AO114" s="123">
        <f ca="1">SUMIFS(tb_rec_uni[2030-04-01],
INDIRECT("tb_rec_uni[natureza]"),"taxa.extra",
INDIRECT("tb_rec_uni[empresa]"),AO$6)</f>
        <v>0</v>
      </c>
      <c r="AP114" s="111"/>
      <c r="AQ114" s="111">
        <f ca="1">SUMIFS(
  m.vb[valor],
  m.vb[nucleo],$AJ$1,
  m.vb[variavel],AQ$7,
  m.vb[mes],$A114
)</f>
        <v>0</v>
      </c>
      <c r="AR114" s="111">
        <f ca="1">SUMIFS(
  m.vb[valor],
  m.vb[nucleo],$AJ$1,
  m.vb[variavel],AR$7,
  m.vb[mes],$A114
)</f>
        <v>0</v>
      </c>
      <c r="AS114" s="111">
        <f ca="1">SUMIFS(
  m.vb[valor],
  m.vb[nucleo],$AJ$1,
  m.vb[variavel],AS$7,
  m.vb[mes],$A114
)</f>
        <v>0</v>
      </c>
      <c r="AT114" s="111">
        <f ca="1">SUMIFS(
  m.vb[valor],
  m.vb[nucleo],$AJ$1,
  m.vb[variavel],AT$7,
  m.vb[mes],$A114
)</f>
        <v>0</v>
      </c>
      <c r="AU114" s="111">
        <f ca="1">SUMIFS(
  m.vb[valor],
  m.vb[nucleo],$AJ$1,
  m.vb[variavel],AU$7,
  m.vb[mes],$A114
)</f>
        <v>0</v>
      </c>
      <c r="AV114" s="122">
        <f>COUNTIFS(
    tb_estq[empresa], AV$6,
    tb_estq[Data da venda / reserva], "&gt;=" &amp; $A114,
    tb_estq[Data da venda / reserva], "&lt;"  &amp; EOMONTH($A114,0) + 1
)</f>
        <v>0</v>
      </c>
      <c r="AW114" s="123">
        <f ca="1">SUMIFS(tb_rec_uni[2030-04-01],
INDIRECT("tb_rec_uni[natureza]"),"pro.soluto",
INDIRECT("tb_rec_uni[empresa]"),AW$6)</f>
        <v>0</v>
      </c>
      <c r="AX114" s="123">
        <f ca="1">SUMIFS(tb_rec_uni[2030-04-01],
INDIRECT("tb_rec_uni[natureza]"),"repasse.cef.obra",
INDIRECT("tb_rec_uni[empresa]"),AX$6)</f>
        <v>0</v>
      </c>
      <c r="AY114" s="126">
        <f ca="1">SUMIFS(tb_rec_uni[2030-04-01],
INDIRECT("tb_rec_uni[natureza]"),"repasse.cef.terreno",
INDIRECT("tb_rec_uni[empresa]"),AY$6)</f>
        <v>0</v>
      </c>
      <c r="AZ114" s="127"/>
      <c r="BA114" s="123">
        <f ca="1">SUMIFS(tb_rec_uni[2030-04-01],
INDIRECT("tb_rec_uni[natureza]"),"taxa.extra",
INDIRECT("tb_rec_uni[empresa]"),BA$6)</f>
        <v>0</v>
      </c>
      <c r="BB114" s="111"/>
      <c r="BC114" s="111">
        <f ca="1">SUMIFS(
  m.vb[valor],
  m.vb[nucleo],$AV$1,
  m.vb[variavel],BC$7,
  m.vb[mes],$A114
)</f>
        <v>0</v>
      </c>
      <c r="BD114" s="111">
        <f ca="1">SUMIFS(
  m.vb[valor],
  m.vb[nucleo],$AV$1,
  m.vb[variavel],BD$7,
  m.vb[mes],$A114
)</f>
        <v>0</v>
      </c>
      <c r="BE114" s="111">
        <f ca="1">SUMIFS(
  m.vb[valor],
  m.vb[nucleo],$AV$1,
  m.vb[variavel],BE$7,
  m.vb[mes],$A114
)</f>
        <v>0</v>
      </c>
      <c r="BF114" s="111">
        <f ca="1">SUMIFS(
  m.vb[valor],
  m.vb[nucleo],$AV$1,
  m.vb[variavel],BF$7,
  m.vb[mes],$A114
)</f>
        <v>0</v>
      </c>
      <c r="BG114" s="111">
        <f ca="1">SUMIFS(
  m.vb[valor],
  m.vb[nucleo],$AV$1,
  m.vb[variavel],BG$7,
  m.vb[mes],$A114
)</f>
        <v>0</v>
      </c>
      <c r="BH114" s="122">
        <f>COUNTIFS(
    tb_estq[empresa], BH$6,
    tb_estq[Data da venda / reserva], "&gt;=" &amp; $A114,
    tb_estq[Data da venda / reserva], "&lt;"  &amp; EOMONTH($A114,0) + 1
)</f>
        <v>0</v>
      </c>
      <c r="BI114" s="123">
        <f ca="1">SUMIFS(tb_rec_uni[2030-04-01],
INDIRECT("tb_rec_uni[natureza]"),"pro.soluto",
INDIRECT("tb_rec_uni[empresa]"),BI$6)</f>
        <v>0</v>
      </c>
      <c r="BJ114" s="127"/>
      <c r="BK114" s="123">
        <f ca="1">SUMIFS(tb_rec_uni[2030-04-01],
INDIRECT("tb_rec_uni[natureza]"),"taxa.extra",
INDIRECT("tb_rec_uni[empresa]"),BK$6)</f>
        <v>0</v>
      </c>
      <c r="BL114" s="111"/>
      <c r="BM114" s="111">
        <f ca="1">SUMIFS(
  m.vb[valor],
  m.vb[nucleo],$BH$1,
  m.vb[variavel],BM$7,
  m.vb[mes],$A114
)</f>
        <v>0</v>
      </c>
      <c r="BN114" s="111">
        <f ca="1">SUMIFS(
  m.vb[valor],
  m.vb[nucleo],$BH$1,
  m.vb[variavel],BN$7,
  m.vb[mes],$A114
)</f>
        <v>0</v>
      </c>
      <c r="BO114" s="111">
        <f ca="1">SUMIFS(
  m.vb[valor],
  m.vb[nucleo],$BH$1,
  m.vb[variavel],BO$7,
  m.vb[mes],$A114
)</f>
        <v>0</v>
      </c>
      <c r="BP114" s="111">
        <f ca="1">SUMIFS(
  m.vb[valor],
  m.vb[nucleo],$BH$1,
  m.vb[variavel],BP$7,
  m.vb[mes],$A114
)</f>
        <v>0</v>
      </c>
      <c r="BQ114" s="111">
        <f ca="1">SUMIFS(
  m.vb[valor],
  m.vb[nucleo],$BH$1,
  m.vb[variavel],BQ$7,
  m.vb[mes],$A114
)</f>
        <v>0</v>
      </c>
      <c r="BR114" s="122">
        <f>COUNTIFS(
    tb_estq[empresa], BR$6,
    tb_estq[Data da venda / reserva], "&gt;=" &amp; $A114,
    tb_estq[Data da venda / reserva], "&lt;"  &amp; EOMONTH($A114,0) + 1
)</f>
        <v>0</v>
      </c>
      <c r="BS114" s="123">
        <f ca="1">SUMIFS(tb_rec_uni[2030-04-01],
INDIRECT("tb_rec_uni[natureza]"),"pro.soluto",
INDIRECT("tb_rec_uni[empresa]"),BS$6)</f>
        <v>0</v>
      </c>
      <c r="BT114" s="127">
        <f ca="1">SUMIFS(tb_rec_uni[2030-04-01],
INDIRECT("tb_rec_uni[natureza]"),"parcela.fin.total.ik",
INDIRECT("tb_rec_uni[empresa]"),BT$6)</f>
        <v>0</v>
      </c>
      <c r="BU114" s="123">
        <f ca="1">SUMIFS(tb_rec_uni[2030-04-01],
INDIRECT("tb_rec_uni[natureza]"),"taxa.extra",
INDIRECT("tb_rec_uni[empresa]"),BU$6)</f>
        <v>0</v>
      </c>
      <c r="BV114" s="111"/>
      <c r="BW114" s="111">
        <f ca="1">SUMIFS(
  m.vb[valor],
  m.vb[nucleo],$BR$1,
  m.vb[variavel],BW$7,
  m.vb[mes],$A114
)</f>
        <v>0</v>
      </c>
      <c r="BX114" s="111">
        <f ca="1">SUMIFS(
  m.vb[valor],
  m.vb[nucleo],$BR$1,
  m.vb[variavel],BX$7,
  m.vb[mes],$A114
)</f>
        <v>0</v>
      </c>
      <c r="BY114" s="111">
        <f ca="1">SUMIFS(
  m.vb[valor],
  m.vb[nucleo],$BR$1,
  m.vb[variavel],BY$7,
  m.vb[mes],$A114
)</f>
        <v>0</v>
      </c>
      <c r="BZ114" s="111">
        <f ca="1">SUMIFS(
  m.vb[valor],
  m.vb[nucleo],$BR$1,
  m.vb[variavel],BZ$7,
  m.vb[mes],$A114
)</f>
        <v>0</v>
      </c>
      <c r="CA114" s="111">
        <f ca="1">SUMIFS(
  m.vb[valor],
  m.vb[nucleo],$BR$1,
  m.vb[variavel],CA$7,
  m.vb[mes],$A114
)</f>
        <v>0</v>
      </c>
      <c r="CB114" s="122">
        <f>COUNTIFS(
    tb_estq[empresa], CB$6,
    tb_estq[Data da venda / reserva], "&gt;=" &amp; $A114,
    tb_estq[Data da venda / reserva], "&lt;"  &amp; EOMONTH($A114,0) + 1
)</f>
        <v>0</v>
      </c>
      <c r="CC114" s="123">
        <f ca="1">SUMIFS(tb_rec_uni[2030-04-01],
INDIRECT("tb_rec_uni[natureza]"),"pro.soluto",
INDIRECT("tb_rec_uni[empresa]"),CC$6)</f>
        <v>0</v>
      </c>
      <c r="CD114" s="123">
        <f ca="1">SUMIFS(tb_rec_uni[2030-04-01],
INDIRECT("tb_rec_uni[natureza]"),"repasse.cef.obra",
INDIRECT("tb_rec_uni[empresa]"),CD$6)</f>
        <v>0</v>
      </c>
      <c r="CE114" s="126">
        <f ca="1">SUMIFS(tb_rec_uni[2030-04-01],
INDIRECT("tb_rec_uni[natureza]"),"repasse.cef.terreno",
INDIRECT("tb_rec_uni[empresa]"),CE$6)</f>
        <v>0</v>
      </c>
      <c r="CF114" s="127"/>
      <c r="CG114" s="123">
        <f ca="1">SUMIFS(tb_rec_uni[2030-04-01],
INDIRECT("tb_rec_uni[natureza]"),"taxa.extra",
INDIRECT("tb_rec_uni[empresa]"),CG$6)</f>
        <v>0</v>
      </c>
      <c r="CH114" s="111"/>
      <c r="CI114" s="111">
        <f ca="1">SUMIFS(
  m.vb[valor],
  m.vb[nucleo],$CB$1,
  m.vb[variavel],CI$7,
  m.vb[mes],$A114
)</f>
        <v>0</v>
      </c>
      <c r="CJ114" s="111">
        <f ca="1">SUMIFS(
  m.vb[valor],
  m.vb[nucleo],$CB$1,
  m.vb[variavel],CJ$7,
  m.vb[mes],$A114
)</f>
        <v>0</v>
      </c>
      <c r="CK114" s="111">
        <f ca="1">SUMIFS(
  m.vb[valor],
  m.vb[nucleo],$CB$1,
  m.vb[variavel],CK$7,
  m.vb[mes],$A114
)</f>
        <v>0</v>
      </c>
      <c r="CL114" s="111">
        <f ca="1">SUMIFS(
  m.vb[valor],
  m.vb[nucleo],$CB$1,
  m.vb[variavel],CL$7,
  m.vb[mes],$A114
)</f>
        <v>0</v>
      </c>
      <c r="CM114" s="111">
        <f ca="1">SUMIFS(
  m.vb[valor],
  m.vb[nucleo],$CB$1,
  m.vb[variavel],CM$7,
  m.vb[mes],$A114
)</f>
        <v>0</v>
      </c>
      <c r="CN114" s="122">
        <f>COUNTIFS(
    tb_estq[empresa], CN$6,
    tb_estq[Data da venda / reserva], "&gt;=" &amp; $A114,
    tb_estq[Data da venda / reserva], "&lt;"  &amp; EOMONTH($A114,0) + 1
)</f>
        <v>0</v>
      </c>
      <c r="CO114" s="123">
        <f ca="1">SUMIFS(tb_rec_uni[2030-04-01],
INDIRECT("tb_rec_uni[natureza]"),"pro.soluto",
INDIRECT("tb_rec_uni[empresa]"),CO$6)</f>
        <v>0</v>
      </c>
      <c r="CP114" s="123">
        <f ca="1">SUMIFS(tb_rec_uni[2030-04-01],
INDIRECT("tb_rec_uni[natureza]"),"repasse.cef.obra",
INDIRECT("tb_rec_uni[empresa]"),CP$6)</f>
        <v>0</v>
      </c>
      <c r="CQ114" s="126">
        <f ca="1">SUMIFS(tb_rec_uni[2030-04-01],
INDIRECT("tb_rec_uni[natureza]"),"repasse.cef.terreno",
INDIRECT("tb_rec_uni[empresa]"),CQ$6)</f>
        <v>0</v>
      </c>
      <c r="CR114" s="127"/>
      <c r="CS114" s="123">
        <f ca="1">SUMIFS(tb_rec_uni[2030-04-01],
INDIRECT("tb_rec_uni[natureza]"),"taxa.extra",
INDIRECT("tb_rec_uni[empresa]"),CS$6)</f>
        <v>0</v>
      </c>
      <c r="CT114" s="111"/>
      <c r="CU114" s="111">
        <f ca="1">SUMIFS(
  m.vb[valor],
  m.vb[nucleo],$CN$1,
  m.vb[variavel],CU$7,
  m.vb[mes],$A114
)</f>
        <v>0</v>
      </c>
      <c r="CV114" s="111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11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11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4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21">
        <v>47604</v>
      </c>
      <c r="B115" s="122">
        <f>COUNTIFS(
    tb_estq[empresa], B$6,
    tb_estq[Data da venda / reserva], "&gt;=" &amp; $A115,
    tb_estq[Data da venda / reserva], "&lt;"  &amp; EOMONTH($A115,0) + 1
)</f>
        <v>0</v>
      </c>
      <c r="C115" s="123">
        <f ca="1">SUMIFS(tb_rec_uni[2030-05-01],
INDIRECT("tb_rec_uni[natureza]"),"pro.soluto",
INDIRECT("tb_rec_uni[empresa]"),C$6)</f>
        <v>0</v>
      </c>
      <c r="D115" s="123">
        <f ca="1">SUMIFS(tb_rec_uni[2030-05-01],
INDIRECT("tb_rec_uni[natureza]"),"repasse.cef.obra",
INDIRECT("tb_rec_uni[empresa]"),D$6)</f>
        <v>0</v>
      </c>
      <c r="E115" s="123">
        <f ca="1">SUMIFS(tb_rec_uni[2030-05-01],
INDIRECT("tb_rec_uni[natureza]"),"repasse.cef.terreno",
INDIRECT("tb_rec_uni[empresa]"),E$6)</f>
        <v>0</v>
      </c>
      <c r="F115" s="127"/>
      <c r="G115" s="123">
        <f ca="1">SUMIFS(tb_rec_uni[2030-05-01],
INDIRECT("tb_rec_uni[natureza]"),"taxa.extra",
INDIRECT("tb_rec_uni[empresa]"),G$6)</f>
        <v>0</v>
      </c>
      <c r="H115" s="111"/>
      <c r="I115" s="111">
        <f ca="1">SUMIFS(
  m.vb[valor],
  m.vb[nucleo],$B$1,
  m.vb[variavel],I$7,
  m.vb[mes],$A115
)</f>
        <v>0</v>
      </c>
      <c r="J115" s="111">
        <f ca="1">SUMIFS(
  m.vb[valor],
  m.vb[nucleo],$B$1,
  m.vb[variavel],J$7,
  m.vb[mes],$A115
)</f>
        <v>0</v>
      </c>
      <c r="K115" s="111">
        <f ca="1">SUMIFS(
  m.vb[valor],
  m.vb[nucleo],$B$1,
  m.vb[variavel],K$7,
  m.vb[mes],$A115
)</f>
        <v>0</v>
      </c>
      <c r="L115" s="111">
        <f ca="1">SUMIFS(
  m.vb[valor],
  m.vb[nucleo],$B$1,
  m.vb[variavel],L$7,
  m.vb[mes],$A115
)</f>
        <v>0</v>
      </c>
      <c r="M115" s="111">
        <f ca="1">SUMIFS(
  m.vb[valor],
  m.vb[nucleo],$B$1,
  m.vb[variavel],M$7,
  m.vb[mes],$A115
)</f>
        <v>0</v>
      </c>
      <c r="N115" s="122">
        <f>COUNTIFS(
    tb_estq[empresa], N$6,
    tb_estq[Data da venda / reserva], "&gt;=" &amp; $A115,
    tb_estq[Data da venda / reserva], "&lt;"  &amp; EOMONTH($A115,0) + 1
)</f>
        <v>0</v>
      </c>
      <c r="O115" s="123">
        <f ca="1">SUMIFS(tb_rec_uni[2030-05-01],
INDIRECT("tb_rec_uni[natureza]"),"pro.soluto",
INDIRECT("tb_rec_uni[empresa]"),O$6)</f>
        <v>0</v>
      </c>
      <c r="P115" s="123">
        <f ca="1">SUMIFS(tb_rec_uni[2030-05-01],
INDIRECT("tb_rec_uni[natureza]"),"repasse.cef.obra",
INDIRECT("tb_rec_uni[empresa]"),P$6)</f>
        <v>0</v>
      </c>
      <c r="Q115" s="123">
        <f ca="1">SUMIFS(tb_rec_uni[2030-05-01],
INDIRECT("tb_rec_uni[natureza]"),"repasse.cef.terreno",
INDIRECT("tb_rec_uni[empresa]"),Q$6)</f>
        <v>0</v>
      </c>
      <c r="R115" s="127"/>
      <c r="S115" s="123">
        <f ca="1">SUMIFS(tb_rec_uni[2030-05-01],
INDIRECT("tb_rec_uni[natureza]"),"taxa.extra",
INDIRECT("tb_rec_uni[empresa]"),S$6)</f>
        <v>0</v>
      </c>
      <c r="T115" s="111"/>
      <c r="U115" s="111">
        <f ca="1">SUMIFS(
  m.vb[valor],
  m.vb[nucleo],$N$1,
  m.vb[variavel],U$7,
  m.vb[mes],$A115
)</f>
        <v>0</v>
      </c>
      <c r="V115" s="111">
        <f ca="1">SUMIFS(
  m.vb[valor],
  m.vb[nucleo],$N$1,
  m.vb[variavel],V$7,
  m.vb[mes],$A115
)</f>
        <v>0</v>
      </c>
      <c r="W115" s="111">
        <f ca="1">SUMIFS(
  m.vb[valor],
  m.vb[nucleo],$N$1,
  m.vb[variavel],W$7,
  m.vb[mes],$A115
)</f>
        <v>0</v>
      </c>
      <c r="X115" s="111">
        <f ca="1">SUMIFS(
  m.vb[valor],
  m.vb[nucleo],$N$1,
  m.vb[variavel],X$7,
  m.vb[mes],$A115
)</f>
        <v>0</v>
      </c>
      <c r="Y115" s="111">
        <f ca="1">SUMIFS(
  m.vb[valor],
  m.vb[nucleo],$N$1,
  m.vb[variavel],Y$7,
  m.vb[mes],$A115
)</f>
        <v>0</v>
      </c>
      <c r="Z115" s="122">
        <f>COUNTIFS(
    tb_estq[empresa], Z$6,
    tb_estq[Data da venda / reserva], "&gt;=" &amp; $A115,
    tb_estq[Data da venda / reserva], "&lt;"  &amp; EOMONTH($A115,0) + 1
)</f>
        <v>0</v>
      </c>
      <c r="AA115" s="123">
        <f ca="1">SUMIFS(tb_rec_uni[2030-05-01],
INDIRECT("tb_rec_uni[natureza]"),"pro.soluto",
INDIRECT("tb_rec_uni[empresa]"),AA$6)</f>
        <v>0</v>
      </c>
      <c r="AB115" s="127">
        <f ca="1">SUMIFS(tb_rec_uni[2030-05-01],
INDIRECT("tb_rec_uni[natureza]"),"parcela.fin.total.ik",
INDIRECT("tb_rec_uni[empresa]"),AB$6)</f>
        <v>0</v>
      </c>
      <c r="AC115" s="123">
        <f ca="1">SUMIFS(tb_rec_uni[2030-05-01],
INDIRECT("tb_rec_uni[natureza]"),"taxa.extra",
INDIRECT("tb_rec_uni[empresa]"),AC$6)</f>
        <v>0</v>
      </c>
      <c r="AD115" s="111"/>
      <c r="AE115" s="111">
        <f ca="1">SUMIFS(
  m.vb[valor],
  m.vb[nucleo],$Z$1,
  m.vb[variavel],AE$7,
  m.vb[mes],$A115
)</f>
        <v>0</v>
      </c>
      <c r="AF115" s="111">
        <f ca="1">SUMIFS(
  m.vb[valor],
  m.vb[nucleo],$Z$1,
  m.vb[variavel],AF$7,
  m.vb[mes],$A115
)</f>
        <v>0</v>
      </c>
      <c r="AG115" s="111">
        <f ca="1">SUMIFS(
  m.vb[valor],
  m.vb[nucleo],$Z$1,
  m.vb[variavel],AG$7,
  m.vb[mes],$A115
)</f>
        <v>0</v>
      </c>
      <c r="AH115" s="111">
        <f ca="1">SUMIFS(
  m.vb[valor],
  m.vb[nucleo],$Z$1,
  m.vb[variavel],AH$7,
  m.vb[mes],$A115
)</f>
        <v>0</v>
      </c>
      <c r="AI115" s="111">
        <f ca="1">SUMIFS(
  m.vb[valor],
  m.vb[nucleo],$Z$1,
  m.vb[variavel],AI$7,
  m.vb[mes],$A115
)</f>
        <v>0</v>
      </c>
      <c r="AJ115" s="122">
        <f>COUNTIFS(
    tb_estq[empresa], AJ$6,
    tb_estq[Data da venda / reserva], "&gt;=" &amp; $A115,
    tb_estq[Data da venda / reserva], "&lt;"  &amp; EOMONTH($A115,0) + 1
)</f>
        <v>0</v>
      </c>
      <c r="AK115" s="123">
        <f ca="1">SUMIFS(tb_rec_uni[2030-05-01],
INDIRECT("tb_rec_uni[natureza]"),"pro.soluto",
INDIRECT("tb_rec_uni[empresa]"),AK$6)</f>
        <v>0</v>
      </c>
      <c r="AL115" s="123">
        <f ca="1">SUMIFS(tb_rec_uni[2030-05-01],
INDIRECT("tb_rec_uni[natureza]"),"repasse.cef.obra",
INDIRECT("tb_rec_uni[empresa]"),AL$6)</f>
        <v>0</v>
      </c>
      <c r="AM115" s="126">
        <f ca="1">SUMIFS(tb_rec_uni[2030-05-01],
INDIRECT("tb_rec_uni[natureza]"),"repasse.cef.terreno",
INDIRECT("tb_rec_uni[empresa]"),AM$6)</f>
        <v>0</v>
      </c>
      <c r="AN115" s="127"/>
      <c r="AO115" s="123">
        <f ca="1">SUMIFS(tb_rec_uni[2030-05-01],
INDIRECT("tb_rec_uni[natureza]"),"taxa.extra",
INDIRECT("tb_rec_uni[empresa]"),AO$6)</f>
        <v>0</v>
      </c>
      <c r="AP115" s="111"/>
      <c r="AQ115" s="111">
        <f ca="1">SUMIFS(
  m.vb[valor],
  m.vb[nucleo],$AJ$1,
  m.vb[variavel],AQ$7,
  m.vb[mes],$A115
)</f>
        <v>0</v>
      </c>
      <c r="AR115" s="111">
        <f ca="1">SUMIFS(
  m.vb[valor],
  m.vb[nucleo],$AJ$1,
  m.vb[variavel],AR$7,
  m.vb[mes],$A115
)</f>
        <v>0</v>
      </c>
      <c r="AS115" s="111">
        <f ca="1">SUMIFS(
  m.vb[valor],
  m.vb[nucleo],$AJ$1,
  m.vb[variavel],AS$7,
  m.vb[mes],$A115
)</f>
        <v>0</v>
      </c>
      <c r="AT115" s="111">
        <f ca="1">SUMIFS(
  m.vb[valor],
  m.vb[nucleo],$AJ$1,
  m.vb[variavel],AT$7,
  m.vb[mes],$A115
)</f>
        <v>0</v>
      </c>
      <c r="AU115" s="111">
        <f ca="1">SUMIFS(
  m.vb[valor],
  m.vb[nucleo],$AJ$1,
  m.vb[variavel],AU$7,
  m.vb[mes],$A115
)</f>
        <v>0</v>
      </c>
      <c r="AV115" s="122">
        <f>COUNTIFS(
    tb_estq[empresa], AV$6,
    tb_estq[Data da venda / reserva], "&gt;=" &amp; $A115,
    tb_estq[Data da venda / reserva], "&lt;"  &amp; EOMONTH($A115,0) + 1
)</f>
        <v>0</v>
      </c>
      <c r="AW115" s="123">
        <f ca="1">SUMIFS(tb_rec_uni[2030-05-01],
INDIRECT("tb_rec_uni[natureza]"),"pro.soluto",
INDIRECT("tb_rec_uni[empresa]"),AW$6)</f>
        <v>0</v>
      </c>
      <c r="AX115" s="123">
        <f ca="1">SUMIFS(tb_rec_uni[2030-05-01],
INDIRECT("tb_rec_uni[natureza]"),"repasse.cef.obra",
INDIRECT("tb_rec_uni[empresa]"),AX$6)</f>
        <v>0</v>
      </c>
      <c r="AY115" s="126">
        <f ca="1">SUMIFS(tb_rec_uni[2030-05-01],
INDIRECT("tb_rec_uni[natureza]"),"repasse.cef.terreno",
INDIRECT("tb_rec_uni[empresa]"),AY$6)</f>
        <v>0</v>
      </c>
      <c r="AZ115" s="127"/>
      <c r="BA115" s="123">
        <f ca="1">SUMIFS(tb_rec_uni[2030-05-01],
INDIRECT("tb_rec_uni[natureza]"),"taxa.extra",
INDIRECT("tb_rec_uni[empresa]"),BA$6)</f>
        <v>0</v>
      </c>
      <c r="BB115" s="111"/>
      <c r="BC115" s="111">
        <f ca="1">SUMIFS(
  m.vb[valor],
  m.vb[nucleo],$AV$1,
  m.vb[variavel],BC$7,
  m.vb[mes],$A115
)</f>
        <v>0</v>
      </c>
      <c r="BD115" s="111">
        <f ca="1">SUMIFS(
  m.vb[valor],
  m.vb[nucleo],$AV$1,
  m.vb[variavel],BD$7,
  m.vb[mes],$A115
)</f>
        <v>0</v>
      </c>
      <c r="BE115" s="111">
        <f ca="1">SUMIFS(
  m.vb[valor],
  m.vb[nucleo],$AV$1,
  m.vb[variavel],BE$7,
  m.vb[mes],$A115
)</f>
        <v>0</v>
      </c>
      <c r="BF115" s="111">
        <f ca="1">SUMIFS(
  m.vb[valor],
  m.vb[nucleo],$AV$1,
  m.vb[variavel],BF$7,
  m.vb[mes],$A115
)</f>
        <v>0</v>
      </c>
      <c r="BG115" s="111">
        <f ca="1">SUMIFS(
  m.vb[valor],
  m.vb[nucleo],$AV$1,
  m.vb[variavel],BG$7,
  m.vb[mes],$A115
)</f>
        <v>0</v>
      </c>
      <c r="BH115" s="122">
        <f>COUNTIFS(
    tb_estq[empresa], BH$6,
    tb_estq[Data da venda / reserva], "&gt;=" &amp; $A115,
    tb_estq[Data da venda / reserva], "&lt;"  &amp; EOMONTH($A115,0) + 1
)</f>
        <v>0</v>
      </c>
      <c r="BI115" s="123">
        <f ca="1">SUMIFS(tb_rec_uni[2030-05-01],
INDIRECT("tb_rec_uni[natureza]"),"pro.soluto",
INDIRECT("tb_rec_uni[empresa]"),BI$6)</f>
        <v>0</v>
      </c>
      <c r="BJ115" s="127"/>
      <c r="BK115" s="123">
        <f ca="1">SUMIFS(tb_rec_uni[2030-05-01],
INDIRECT("tb_rec_uni[natureza]"),"taxa.extra",
INDIRECT("tb_rec_uni[empresa]"),BK$6)</f>
        <v>0</v>
      </c>
      <c r="BL115" s="111"/>
      <c r="BM115" s="111">
        <f ca="1">SUMIFS(
  m.vb[valor],
  m.vb[nucleo],$BH$1,
  m.vb[variavel],BM$7,
  m.vb[mes],$A115
)</f>
        <v>0</v>
      </c>
      <c r="BN115" s="111">
        <f ca="1">SUMIFS(
  m.vb[valor],
  m.vb[nucleo],$BH$1,
  m.vb[variavel],BN$7,
  m.vb[mes],$A115
)</f>
        <v>0</v>
      </c>
      <c r="BO115" s="111">
        <f ca="1">SUMIFS(
  m.vb[valor],
  m.vb[nucleo],$BH$1,
  m.vb[variavel],BO$7,
  m.vb[mes],$A115
)</f>
        <v>0</v>
      </c>
      <c r="BP115" s="111">
        <f ca="1">SUMIFS(
  m.vb[valor],
  m.vb[nucleo],$BH$1,
  m.vb[variavel],BP$7,
  m.vb[mes],$A115
)</f>
        <v>0</v>
      </c>
      <c r="BQ115" s="111">
        <f ca="1">SUMIFS(
  m.vb[valor],
  m.vb[nucleo],$BH$1,
  m.vb[variavel],BQ$7,
  m.vb[mes],$A115
)</f>
        <v>0</v>
      </c>
      <c r="BR115" s="122">
        <f>COUNTIFS(
    tb_estq[empresa], BR$6,
    tb_estq[Data da venda / reserva], "&gt;=" &amp; $A115,
    tb_estq[Data da venda / reserva], "&lt;"  &amp; EOMONTH($A115,0) + 1
)</f>
        <v>0</v>
      </c>
      <c r="BS115" s="123">
        <f ca="1">SUMIFS(tb_rec_uni[2030-05-01],
INDIRECT("tb_rec_uni[natureza]"),"pro.soluto",
INDIRECT("tb_rec_uni[empresa]"),BS$6)</f>
        <v>0</v>
      </c>
      <c r="BT115" s="127">
        <f ca="1">SUMIFS(tb_rec_uni[2030-05-01],
INDIRECT("tb_rec_uni[natureza]"),"parcela.fin.total.ik",
INDIRECT("tb_rec_uni[empresa]"),BT$6)</f>
        <v>0</v>
      </c>
      <c r="BU115" s="123">
        <f ca="1">SUMIFS(tb_rec_uni[2030-05-01],
INDIRECT("tb_rec_uni[natureza]"),"taxa.extra",
INDIRECT("tb_rec_uni[empresa]"),BU$6)</f>
        <v>0</v>
      </c>
      <c r="BV115" s="111"/>
      <c r="BW115" s="111">
        <f ca="1">SUMIFS(
  m.vb[valor],
  m.vb[nucleo],$BR$1,
  m.vb[variavel],BW$7,
  m.vb[mes],$A115
)</f>
        <v>0</v>
      </c>
      <c r="BX115" s="111">
        <f ca="1">SUMIFS(
  m.vb[valor],
  m.vb[nucleo],$BR$1,
  m.vb[variavel],BX$7,
  m.vb[mes],$A115
)</f>
        <v>0</v>
      </c>
      <c r="BY115" s="111">
        <f ca="1">SUMIFS(
  m.vb[valor],
  m.vb[nucleo],$BR$1,
  m.vb[variavel],BY$7,
  m.vb[mes],$A115
)</f>
        <v>0</v>
      </c>
      <c r="BZ115" s="111">
        <f ca="1">SUMIFS(
  m.vb[valor],
  m.vb[nucleo],$BR$1,
  m.vb[variavel],BZ$7,
  m.vb[mes],$A115
)</f>
        <v>0</v>
      </c>
      <c r="CA115" s="111">
        <f ca="1">SUMIFS(
  m.vb[valor],
  m.vb[nucleo],$BR$1,
  m.vb[variavel],CA$7,
  m.vb[mes],$A115
)</f>
        <v>0</v>
      </c>
      <c r="CB115" s="122">
        <f>COUNTIFS(
    tb_estq[empresa], CB$6,
    tb_estq[Data da venda / reserva], "&gt;=" &amp; $A115,
    tb_estq[Data da venda / reserva], "&lt;"  &amp; EOMONTH($A115,0) + 1
)</f>
        <v>0</v>
      </c>
      <c r="CC115" s="123">
        <f ca="1">SUMIFS(tb_rec_uni[2030-05-01],
INDIRECT("tb_rec_uni[natureza]"),"pro.soluto",
INDIRECT("tb_rec_uni[empresa]"),CC$6)</f>
        <v>0</v>
      </c>
      <c r="CD115" s="123">
        <f ca="1">SUMIFS(tb_rec_uni[2030-05-01],
INDIRECT("tb_rec_uni[natureza]"),"repasse.cef.obra",
INDIRECT("tb_rec_uni[empresa]"),CD$6)</f>
        <v>0</v>
      </c>
      <c r="CE115" s="126">
        <f ca="1">SUMIFS(tb_rec_uni[2030-05-01],
INDIRECT("tb_rec_uni[natureza]"),"repasse.cef.terreno",
INDIRECT("tb_rec_uni[empresa]"),CE$6)</f>
        <v>0</v>
      </c>
      <c r="CF115" s="127"/>
      <c r="CG115" s="123">
        <f ca="1">SUMIFS(tb_rec_uni[2030-05-01],
INDIRECT("tb_rec_uni[natureza]"),"taxa.extra",
INDIRECT("tb_rec_uni[empresa]"),CG$6)</f>
        <v>0</v>
      </c>
      <c r="CH115" s="111"/>
      <c r="CI115" s="111">
        <f ca="1">SUMIFS(
  m.vb[valor],
  m.vb[nucleo],$CB$1,
  m.vb[variavel],CI$7,
  m.vb[mes],$A115
)</f>
        <v>0</v>
      </c>
      <c r="CJ115" s="111">
        <f ca="1">SUMIFS(
  m.vb[valor],
  m.vb[nucleo],$CB$1,
  m.vb[variavel],CJ$7,
  m.vb[mes],$A115
)</f>
        <v>0</v>
      </c>
      <c r="CK115" s="111">
        <f ca="1">SUMIFS(
  m.vb[valor],
  m.vb[nucleo],$CB$1,
  m.vb[variavel],CK$7,
  m.vb[mes],$A115
)</f>
        <v>0</v>
      </c>
      <c r="CL115" s="111">
        <f ca="1">SUMIFS(
  m.vb[valor],
  m.vb[nucleo],$CB$1,
  m.vb[variavel],CL$7,
  m.vb[mes],$A115
)</f>
        <v>0</v>
      </c>
      <c r="CM115" s="111">
        <f ca="1">SUMIFS(
  m.vb[valor],
  m.vb[nucleo],$CB$1,
  m.vb[variavel],CM$7,
  m.vb[mes],$A115
)</f>
        <v>0</v>
      </c>
      <c r="CN115" s="122">
        <f>COUNTIFS(
    tb_estq[empresa], CN$6,
    tb_estq[Data da venda / reserva], "&gt;=" &amp; $A115,
    tb_estq[Data da venda / reserva], "&lt;"  &amp; EOMONTH($A115,0) + 1
)</f>
        <v>0</v>
      </c>
      <c r="CO115" s="123">
        <f ca="1">SUMIFS(tb_rec_uni[2030-05-01],
INDIRECT("tb_rec_uni[natureza]"),"pro.soluto",
INDIRECT("tb_rec_uni[empresa]"),CO$6)</f>
        <v>0</v>
      </c>
      <c r="CP115" s="123">
        <f ca="1">SUMIFS(tb_rec_uni[2030-05-01],
INDIRECT("tb_rec_uni[natureza]"),"repasse.cef.obra",
INDIRECT("tb_rec_uni[empresa]"),CP$6)</f>
        <v>0</v>
      </c>
      <c r="CQ115" s="126">
        <f ca="1">SUMIFS(tb_rec_uni[2030-05-01],
INDIRECT("tb_rec_uni[natureza]"),"repasse.cef.terreno",
INDIRECT("tb_rec_uni[empresa]"),CQ$6)</f>
        <v>0</v>
      </c>
      <c r="CR115" s="127"/>
      <c r="CS115" s="123">
        <f ca="1">SUMIFS(tb_rec_uni[2030-05-01],
INDIRECT("tb_rec_uni[natureza]"),"taxa.extra",
INDIRECT("tb_rec_uni[empresa]"),CS$6)</f>
        <v>0</v>
      </c>
      <c r="CT115" s="111"/>
      <c r="CU115" s="111">
        <f ca="1">SUMIFS(
  m.vb[valor],
  m.vb[nucleo],$CN$1,
  m.vb[variavel],CU$7,
  m.vb[mes],$A115
)</f>
        <v>0</v>
      </c>
      <c r="CV115" s="111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11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11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4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21">
        <v>47635</v>
      </c>
      <c r="B116" s="122">
        <f>COUNTIFS(
    tb_estq[empresa], B$6,
    tb_estq[Data da venda / reserva], "&gt;=" &amp; $A116,
    tb_estq[Data da venda / reserva], "&lt;"  &amp; EOMONTH($A116,0) + 1
)</f>
        <v>0</v>
      </c>
      <c r="C116" s="123">
        <f ca="1">SUMIFS(tb_rec_uni[2030-06-01],
INDIRECT("tb_rec_uni[natureza]"),"pro.soluto",
INDIRECT("tb_rec_uni[empresa]"),C$6)</f>
        <v>0</v>
      </c>
      <c r="D116" s="123">
        <f ca="1">SUMIFS(tb_rec_uni[2030-06-01],
INDIRECT("tb_rec_uni[natureza]"),"repasse.cef.obra",
INDIRECT("tb_rec_uni[empresa]"),D$6)</f>
        <v>0</v>
      </c>
      <c r="E116" s="123">
        <f ca="1">SUMIFS(tb_rec_uni[2030-06-01],
INDIRECT("tb_rec_uni[natureza]"),"repasse.cef.terreno",
INDIRECT("tb_rec_uni[empresa]"),E$6)</f>
        <v>0</v>
      </c>
      <c r="F116" s="127"/>
      <c r="G116" s="123">
        <f ca="1">SUMIFS(tb_rec_uni[2030-06-01],
INDIRECT("tb_rec_uni[natureza]"),"taxa.extra",
INDIRECT("tb_rec_uni[empresa]"),G$6)</f>
        <v>0</v>
      </c>
      <c r="H116" s="111"/>
      <c r="I116" s="111">
        <f ca="1">SUMIFS(
  m.vb[valor],
  m.vb[nucleo],$B$1,
  m.vb[variavel],I$7,
  m.vb[mes],$A116
)</f>
        <v>0</v>
      </c>
      <c r="J116" s="111">
        <f ca="1">SUMIFS(
  m.vb[valor],
  m.vb[nucleo],$B$1,
  m.vb[variavel],J$7,
  m.vb[mes],$A116
)</f>
        <v>0</v>
      </c>
      <c r="K116" s="111">
        <f ca="1">SUMIFS(
  m.vb[valor],
  m.vb[nucleo],$B$1,
  m.vb[variavel],K$7,
  m.vb[mes],$A116
)</f>
        <v>0</v>
      </c>
      <c r="L116" s="111">
        <f ca="1">SUMIFS(
  m.vb[valor],
  m.vb[nucleo],$B$1,
  m.vb[variavel],L$7,
  m.vb[mes],$A116
)</f>
        <v>0</v>
      </c>
      <c r="M116" s="111">
        <f ca="1">SUMIFS(
  m.vb[valor],
  m.vb[nucleo],$B$1,
  m.vb[variavel],M$7,
  m.vb[mes],$A116
)</f>
        <v>0</v>
      </c>
      <c r="N116" s="122">
        <f>COUNTIFS(
    tb_estq[empresa], N$6,
    tb_estq[Data da venda / reserva], "&gt;=" &amp; $A116,
    tb_estq[Data da venda / reserva], "&lt;"  &amp; EOMONTH($A116,0) + 1
)</f>
        <v>0</v>
      </c>
      <c r="O116" s="123">
        <f ca="1">SUMIFS(tb_rec_uni[2030-06-01],
INDIRECT("tb_rec_uni[natureza]"),"pro.soluto",
INDIRECT("tb_rec_uni[empresa]"),O$6)</f>
        <v>0</v>
      </c>
      <c r="P116" s="123">
        <f ca="1">SUMIFS(tb_rec_uni[2030-06-01],
INDIRECT("tb_rec_uni[natureza]"),"repasse.cef.obra",
INDIRECT("tb_rec_uni[empresa]"),P$6)</f>
        <v>0</v>
      </c>
      <c r="Q116" s="123">
        <f ca="1">SUMIFS(tb_rec_uni[2030-06-01],
INDIRECT("tb_rec_uni[natureza]"),"repasse.cef.terreno",
INDIRECT("tb_rec_uni[empresa]"),Q$6)</f>
        <v>0</v>
      </c>
      <c r="R116" s="127"/>
      <c r="S116" s="123">
        <f ca="1">SUMIFS(tb_rec_uni[2030-06-01],
INDIRECT("tb_rec_uni[natureza]"),"taxa.extra",
INDIRECT("tb_rec_uni[empresa]"),S$6)</f>
        <v>0</v>
      </c>
      <c r="T116" s="111"/>
      <c r="U116" s="111">
        <f ca="1">SUMIFS(
  m.vb[valor],
  m.vb[nucleo],$N$1,
  m.vb[variavel],U$7,
  m.vb[mes],$A116
)</f>
        <v>0</v>
      </c>
      <c r="V116" s="111">
        <f ca="1">SUMIFS(
  m.vb[valor],
  m.vb[nucleo],$N$1,
  m.vb[variavel],V$7,
  m.vb[mes],$A116
)</f>
        <v>0</v>
      </c>
      <c r="W116" s="111">
        <f ca="1">SUMIFS(
  m.vb[valor],
  m.vb[nucleo],$N$1,
  m.vb[variavel],W$7,
  m.vb[mes],$A116
)</f>
        <v>0</v>
      </c>
      <c r="X116" s="111">
        <f ca="1">SUMIFS(
  m.vb[valor],
  m.vb[nucleo],$N$1,
  m.vb[variavel],X$7,
  m.vb[mes],$A116
)</f>
        <v>0</v>
      </c>
      <c r="Y116" s="111">
        <f ca="1">SUMIFS(
  m.vb[valor],
  m.vb[nucleo],$N$1,
  m.vb[variavel],Y$7,
  m.vb[mes],$A116
)</f>
        <v>0</v>
      </c>
      <c r="Z116" s="122">
        <f>COUNTIFS(
    tb_estq[empresa], Z$6,
    tb_estq[Data da venda / reserva], "&gt;=" &amp; $A116,
    tb_estq[Data da venda / reserva], "&lt;"  &amp; EOMONTH($A116,0) + 1
)</f>
        <v>0</v>
      </c>
      <c r="AA116" s="123">
        <f ca="1">SUMIFS(tb_rec_uni[2030-06-01],
INDIRECT("tb_rec_uni[natureza]"),"pro.soluto",
INDIRECT("tb_rec_uni[empresa]"),AA$6)</f>
        <v>0</v>
      </c>
      <c r="AB116" s="127">
        <f ca="1">SUMIFS(tb_rec_uni[2030-06-01],
INDIRECT("tb_rec_uni[natureza]"),"parcela.fin.total.ik",
INDIRECT("tb_rec_uni[empresa]"),AB$6)</f>
        <v>0</v>
      </c>
      <c r="AC116" s="123">
        <f ca="1">SUMIFS(tb_rec_uni[2030-06-01],
INDIRECT("tb_rec_uni[natureza]"),"taxa.extra",
INDIRECT("tb_rec_uni[empresa]"),AC$6)</f>
        <v>0</v>
      </c>
      <c r="AD116" s="111"/>
      <c r="AE116" s="111">
        <f ca="1">SUMIFS(
  m.vb[valor],
  m.vb[nucleo],$Z$1,
  m.vb[variavel],AE$7,
  m.vb[mes],$A116
)</f>
        <v>0</v>
      </c>
      <c r="AF116" s="111">
        <f ca="1">SUMIFS(
  m.vb[valor],
  m.vb[nucleo],$Z$1,
  m.vb[variavel],AF$7,
  m.vb[mes],$A116
)</f>
        <v>0</v>
      </c>
      <c r="AG116" s="111">
        <f ca="1">SUMIFS(
  m.vb[valor],
  m.vb[nucleo],$Z$1,
  m.vb[variavel],AG$7,
  m.vb[mes],$A116
)</f>
        <v>0</v>
      </c>
      <c r="AH116" s="111">
        <f ca="1">SUMIFS(
  m.vb[valor],
  m.vb[nucleo],$Z$1,
  m.vb[variavel],AH$7,
  m.vb[mes],$A116
)</f>
        <v>0</v>
      </c>
      <c r="AI116" s="111">
        <f ca="1">SUMIFS(
  m.vb[valor],
  m.vb[nucleo],$Z$1,
  m.vb[variavel],AI$7,
  m.vb[mes],$A116
)</f>
        <v>0</v>
      </c>
      <c r="AJ116" s="122">
        <f>COUNTIFS(
    tb_estq[empresa], AJ$6,
    tb_estq[Data da venda / reserva], "&gt;=" &amp; $A116,
    tb_estq[Data da venda / reserva], "&lt;"  &amp; EOMONTH($A116,0) + 1
)</f>
        <v>0</v>
      </c>
      <c r="AK116" s="123">
        <f ca="1">SUMIFS(tb_rec_uni[2030-06-01],
INDIRECT("tb_rec_uni[natureza]"),"pro.soluto",
INDIRECT("tb_rec_uni[empresa]"),AK$6)</f>
        <v>0</v>
      </c>
      <c r="AL116" s="123">
        <f ca="1">SUMIFS(tb_rec_uni[2030-06-01],
INDIRECT("tb_rec_uni[natureza]"),"repasse.cef.obra",
INDIRECT("tb_rec_uni[empresa]"),AL$6)</f>
        <v>0</v>
      </c>
      <c r="AM116" s="126">
        <f ca="1">SUMIFS(tb_rec_uni[2030-06-01],
INDIRECT("tb_rec_uni[natureza]"),"repasse.cef.terreno",
INDIRECT("tb_rec_uni[empresa]"),AM$6)</f>
        <v>0</v>
      </c>
      <c r="AN116" s="127"/>
      <c r="AO116" s="123">
        <f ca="1">SUMIFS(tb_rec_uni[2030-06-01],
INDIRECT("tb_rec_uni[natureza]"),"taxa.extra",
INDIRECT("tb_rec_uni[empresa]"),AO$6)</f>
        <v>0</v>
      </c>
      <c r="AP116" s="111"/>
      <c r="AQ116" s="111">
        <f ca="1">SUMIFS(
  m.vb[valor],
  m.vb[nucleo],$AJ$1,
  m.vb[variavel],AQ$7,
  m.vb[mes],$A116
)</f>
        <v>0</v>
      </c>
      <c r="AR116" s="111">
        <f ca="1">SUMIFS(
  m.vb[valor],
  m.vb[nucleo],$AJ$1,
  m.vb[variavel],AR$7,
  m.vb[mes],$A116
)</f>
        <v>0</v>
      </c>
      <c r="AS116" s="111">
        <f ca="1">SUMIFS(
  m.vb[valor],
  m.vb[nucleo],$AJ$1,
  m.vb[variavel],AS$7,
  m.vb[mes],$A116
)</f>
        <v>0</v>
      </c>
      <c r="AT116" s="111">
        <f ca="1">SUMIFS(
  m.vb[valor],
  m.vb[nucleo],$AJ$1,
  m.vb[variavel],AT$7,
  m.vb[mes],$A116
)</f>
        <v>0</v>
      </c>
      <c r="AU116" s="111">
        <f ca="1">SUMIFS(
  m.vb[valor],
  m.vb[nucleo],$AJ$1,
  m.vb[variavel],AU$7,
  m.vb[mes],$A116
)</f>
        <v>0</v>
      </c>
      <c r="AV116" s="122">
        <f>COUNTIFS(
    tb_estq[empresa], AV$6,
    tb_estq[Data da venda / reserva], "&gt;=" &amp; $A116,
    tb_estq[Data da venda / reserva], "&lt;"  &amp; EOMONTH($A116,0) + 1
)</f>
        <v>0</v>
      </c>
      <c r="AW116" s="123">
        <f ca="1">SUMIFS(tb_rec_uni[2030-06-01],
INDIRECT("tb_rec_uni[natureza]"),"pro.soluto",
INDIRECT("tb_rec_uni[empresa]"),AW$6)</f>
        <v>0</v>
      </c>
      <c r="AX116" s="123">
        <f ca="1">SUMIFS(tb_rec_uni[2030-06-01],
INDIRECT("tb_rec_uni[natureza]"),"repasse.cef.obra",
INDIRECT("tb_rec_uni[empresa]"),AX$6)</f>
        <v>0</v>
      </c>
      <c r="AY116" s="126">
        <f ca="1">SUMIFS(tb_rec_uni[2030-06-01],
INDIRECT("tb_rec_uni[natureza]"),"repasse.cef.terreno",
INDIRECT("tb_rec_uni[empresa]"),AY$6)</f>
        <v>0</v>
      </c>
      <c r="AZ116" s="127"/>
      <c r="BA116" s="123">
        <f ca="1">SUMIFS(tb_rec_uni[2030-06-01],
INDIRECT("tb_rec_uni[natureza]"),"taxa.extra",
INDIRECT("tb_rec_uni[empresa]"),BA$6)</f>
        <v>0</v>
      </c>
      <c r="BB116" s="111"/>
      <c r="BC116" s="111">
        <f ca="1">SUMIFS(
  m.vb[valor],
  m.vb[nucleo],$AV$1,
  m.vb[variavel],BC$7,
  m.vb[mes],$A116
)</f>
        <v>0</v>
      </c>
      <c r="BD116" s="111">
        <f ca="1">SUMIFS(
  m.vb[valor],
  m.vb[nucleo],$AV$1,
  m.vb[variavel],BD$7,
  m.vb[mes],$A116
)</f>
        <v>0</v>
      </c>
      <c r="BE116" s="111">
        <f ca="1">SUMIFS(
  m.vb[valor],
  m.vb[nucleo],$AV$1,
  m.vb[variavel],BE$7,
  m.vb[mes],$A116
)</f>
        <v>0</v>
      </c>
      <c r="BF116" s="111">
        <f ca="1">SUMIFS(
  m.vb[valor],
  m.vb[nucleo],$AV$1,
  m.vb[variavel],BF$7,
  m.vb[mes],$A116
)</f>
        <v>0</v>
      </c>
      <c r="BG116" s="111">
        <f ca="1">SUMIFS(
  m.vb[valor],
  m.vb[nucleo],$AV$1,
  m.vb[variavel],BG$7,
  m.vb[mes],$A116
)</f>
        <v>0</v>
      </c>
      <c r="BH116" s="122">
        <f>COUNTIFS(
    tb_estq[empresa], BH$6,
    tb_estq[Data da venda / reserva], "&gt;=" &amp; $A116,
    tb_estq[Data da venda / reserva], "&lt;"  &amp; EOMONTH($A116,0) + 1
)</f>
        <v>0</v>
      </c>
      <c r="BI116" s="123">
        <f ca="1">SUMIFS(tb_rec_uni[2030-06-01],
INDIRECT("tb_rec_uni[natureza]"),"pro.soluto",
INDIRECT("tb_rec_uni[empresa]"),BI$6)</f>
        <v>0</v>
      </c>
      <c r="BJ116" s="127"/>
      <c r="BK116" s="123">
        <f ca="1">SUMIFS(tb_rec_uni[2030-06-01],
INDIRECT("tb_rec_uni[natureza]"),"taxa.extra",
INDIRECT("tb_rec_uni[empresa]"),BK$6)</f>
        <v>0</v>
      </c>
      <c r="BL116" s="111"/>
      <c r="BM116" s="111">
        <f ca="1">SUMIFS(
  m.vb[valor],
  m.vb[nucleo],$BH$1,
  m.vb[variavel],BM$7,
  m.vb[mes],$A116
)</f>
        <v>0</v>
      </c>
      <c r="BN116" s="111">
        <f ca="1">SUMIFS(
  m.vb[valor],
  m.vb[nucleo],$BH$1,
  m.vb[variavel],BN$7,
  m.vb[mes],$A116
)</f>
        <v>0</v>
      </c>
      <c r="BO116" s="111">
        <f ca="1">SUMIFS(
  m.vb[valor],
  m.vb[nucleo],$BH$1,
  m.vb[variavel],BO$7,
  m.vb[mes],$A116
)</f>
        <v>0</v>
      </c>
      <c r="BP116" s="111">
        <f ca="1">SUMIFS(
  m.vb[valor],
  m.vb[nucleo],$BH$1,
  m.vb[variavel],BP$7,
  m.vb[mes],$A116
)</f>
        <v>0</v>
      </c>
      <c r="BQ116" s="111">
        <f ca="1">SUMIFS(
  m.vb[valor],
  m.vb[nucleo],$BH$1,
  m.vb[variavel],BQ$7,
  m.vb[mes],$A116
)</f>
        <v>0</v>
      </c>
      <c r="BR116" s="122">
        <f>COUNTIFS(
    tb_estq[empresa], BR$6,
    tb_estq[Data da venda / reserva], "&gt;=" &amp; $A116,
    tb_estq[Data da venda / reserva], "&lt;"  &amp; EOMONTH($A116,0) + 1
)</f>
        <v>0</v>
      </c>
      <c r="BS116" s="123">
        <f ca="1">SUMIFS(tb_rec_uni[2030-06-01],
INDIRECT("tb_rec_uni[natureza]"),"pro.soluto",
INDIRECT("tb_rec_uni[empresa]"),BS$6)</f>
        <v>0</v>
      </c>
      <c r="BT116" s="127">
        <f ca="1">SUMIFS(tb_rec_uni[2030-06-01],
INDIRECT("tb_rec_uni[natureza]"),"parcela.fin.total.ik",
INDIRECT("tb_rec_uni[empresa]"),BT$6)</f>
        <v>0</v>
      </c>
      <c r="BU116" s="123">
        <f ca="1">SUMIFS(tb_rec_uni[2030-06-01],
INDIRECT("tb_rec_uni[natureza]"),"taxa.extra",
INDIRECT("tb_rec_uni[empresa]"),BU$6)</f>
        <v>0</v>
      </c>
      <c r="BV116" s="111"/>
      <c r="BW116" s="111">
        <f ca="1">SUMIFS(
  m.vb[valor],
  m.vb[nucleo],$BR$1,
  m.vb[variavel],BW$7,
  m.vb[mes],$A116
)</f>
        <v>0</v>
      </c>
      <c r="BX116" s="111">
        <f ca="1">SUMIFS(
  m.vb[valor],
  m.vb[nucleo],$BR$1,
  m.vb[variavel],BX$7,
  m.vb[mes],$A116
)</f>
        <v>0</v>
      </c>
      <c r="BY116" s="111">
        <f ca="1">SUMIFS(
  m.vb[valor],
  m.vb[nucleo],$BR$1,
  m.vb[variavel],BY$7,
  m.vb[mes],$A116
)</f>
        <v>0</v>
      </c>
      <c r="BZ116" s="111">
        <f ca="1">SUMIFS(
  m.vb[valor],
  m.vb[nucleo],$BR$1,
  m.vb[variavel],BZ$7,
  m.vb[mes],$A116
)</f>
        <v>0</v>
      </c>
      <c r="CA116" s="111">
        <f ca="1">SUMIFS(
  m.vb[valor],
  m.vb[nucleo],$BR$1,
  m.vb[variavel],CA$7,
  m.vb[mes],$A116
)</f>
        <v>0</v>
      </c>
      <c r="CB116" s="122">
        <f>COUNTIFS(
    tb_estq[empresa], CB$6,
    tb_estq[Data da venda / reserva], "&gt;=" &amp; $A116,
    tb_estq[Data da venda / reserva], "&lt;"  &amp; EOMONTH($A116,0) + 1
)</f>
        <v>0</v>
      </c>
      <c r="CC116" s="123">
        <f ca="1">SUMIFS(tb_rec_uni[2030-06-01],
INDIRECT("tb_rec_uni[natureza]"),"pro.soluto",
INDIRECT("tb_rec_uni[empresa]"),CC$6)</f>
        <v>0</v>
      </c>
      <c r="CD116" s="123">
        <f ca="1">SUMIFS(tb_rec_uni[2030-06-01],
INDIRECT("tb_rec_uni[natureza]"),"repasse.cef.obra",
INDIRECT("tb_rec_uni[empresa]"),CD$6)</f>
        <v>0</v>
      </c>
      <c r="CE116" s="126">
        <f ca="1">SUMIFS(tb_rec_uni[2030-06-01],
INDIRECT("tb_rec_uni[natureza]"),"repasse.cef.terreno",
INDIRECT("tb_rec_uni[empresa]"),CE$6)</f>
        <v>0</v>
      </c>
      <c r="CF116" s="127"/>
      <c r="CG116" s="123">
        <f ca="1">SUMIFS(tb_rec_uni[2030-06-01],
INDIRECT("tb_rec_uni[natureza]"),"taxa.extra",
INDIRECT("tb_rec_uni[empresa]"),CG$6)</f>
        <v>0</v>
      </c>
      <c r="CH116" s="111"/>
      <c r="CI116" s="111">
        <f ca="1">SUMIFS(
  m.vb[valor],
  m.vb[nucleo],$CB$1,
  m.vb[variavel],CI$7,
  m.vb[mes],$A116
)</f>
        <v>0</v>
      </c>
      <c r="CJ116" s="111">
        <f ca="1">SUMIFS(
  m.vb[valor],
  m.vb[nucleo],$CB$1,
  m.vb[variavel],CJ$7,
  m.vb[mes],$A116
)</f>
        <v>0</v>
      </c>
      <c r="CK116" s="111">
        <f ca="1">SUMIFS(
  m.vb[valor],
  m.vb[nucleo],$CB$1,
  m.vb[variavel],CK$7,
  m.vb[mes],$A116
)</f>
        <v>0</v>
      </c>
      <c r="CL116" s="111">
        <f ca="1">SUMIFS(
  m.vb[valor],
  m.vb[nucleo],$CB$1,
  m.vb[variavel],CL$7,
  m.vb[mes],$A116
)</f>
        <v>0</v>
      </c>
      <c r="CM116" s="111">
        <f ca="1">SUMIFS(
  m.vb[valor],
  m.vb[nucleo],$CB$1,
  m.vb[variavel],CM$7,
  m.vb[mes],$A116
)</f>
        <v>0</v>
      </c>
      <c r="CN116" s="122">
        <f>COUNTIFS(
    tb_estq[empresa], CN$6,
    tb_estq[Data da venda / reserva], "&gt;=" &amp; $A116,
    tb_estq[Data da venda / reserva], "&lt;"  &amp; EOMONTH($A116,0) + 1
)</f>
        <v>0</v>
      </c>
      <c r="CO116" s="123">
        <f ca="1">SUMIFS(tb_rec_uni[2030-06-01],
INDIRECT("tb_rec_uni[natureza]"),"pro.soluto",
INDIRECT("tb_rec_uni[empresa]"),CO$6)</f>
        <v>0</v>
      </c>
      <c r="CP116" s="123">
        <f ca="1">SUMIFS(tb_rec_uni[2030-06-01],
INDIRECT("tb_rec_uni[natureza]"),"repasse.cef.obra",
INDIRECT("tb_rec_uni[empresa]"),CP$6)</f>
        <v>0</v>
      </c>
      <c r="CQ116" s="126">
        <f ca="1">SUMIFS(tb_rec_uni[2030-06-01],
INDIRECT("tb_rec_uni[natureza]"),"repasse.cef.terreno",
INDIRECT("tb_rec_uni[empresa]"),CQ$6)</f>
        <v>0</v>
      </c>
      <c r="CR116" s="127"/>
      <c r="CS116" s="123">
        <f ca="1">SUMIFS(tb_rec_uni[2030-06-01],
INDIRECT("tb_rec_uni[natureza]"),"taxa.extra",
INDIRECT("tb_rec_uni[empresa]"),CS$6)</f>
        <v>0</v>
      </c>
      <c r="CT116" s="111"/>
      <c r="CU116" s="111">
        <f ca="1">SUMIFS(
  m.vb[valor],
  m.vb[nucleo],$CN$1,
  m.vb[variavel],CU$7,
  m.vb[mes],$A116
)</f>
        <v>0</v>
      </c>
      <c r="CV116" s="111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11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11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4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21">
        <v>47665</v>
      </c>
      <c r="B117" s="122">
        <f>COUNTIFS(
    tb_estq[empresa], B$6,
    tb_estq[Data da venda / reserva], "&gt;=" &amp; $A117,
    tb_estq[Data da venda / reserva], "&lt;"  &amp; EOMONTH($A117,0) + 1
)</f>
        <v>0</v>
      </c>
      <c r="C117" s="123">
        <f ca="1">SUMIFS(tb_rec_uni[2030-07-01],
INDIRECT("tb_rec_uni[natureza]"),"pro.soluto",
INDIRECT("tb_rec_uni[empresa]"),C$6)</f>
        <v>0</v>
      </c>
      <c r="D117" s="123">
        <f ca="1">SUMIFS(tb_rec_uni[2030-07-01],
INDIRECT("tb_rec_uni[natureza]"),"repasse.cef.obra",
INDIRECT("tb_rec_uni[empresa]"),D$6)</f>
        <v>0</v>
      </c>
      <c r="E117" s="123">
        <f ca="1">SUMIFS(tb_rec_uni[2030-07-01],
INDIRECT("tb_rec_uni[natureza]"),"repasse.cef.terreno",
INDIRECT("tb_rec_uni[empresa]"),E$6)</f>
        <v>0</v>
      </c>
      <c r="F117" s="127"/>
      <c r="G117" s="123">
        <f ca="1">SUMIFS(tb_rec_uni[2030-07-01],
INDIRECT("tb_rec_uni[natureza]"),"taxa.extra",
INDIRECT("tb_rec_uni[empresa]"),G$6)</f>
        <v>0</v>
      </c>
      <c r="H117" s="111"/>
      <c r="I117" s="111">
        <f ca="1">SUMIFS(
  m.vb[valor],
  m.vb[nucleo],$B$1,
  m.vb[variavel],I$7,
  m.vb[mes],$A117
)</f>
        <v>0</v>
      </c>
      <c r="J117" s="111">
        <f ca="1">SUMIFS(
  m.vb[valor],
  m.vb[nucleo],$B$1,
  m.vb[variavel],J$7,
  m.vb[mes],$A117
)</f>
        <v>0</v>
      </c>
      <c r="K117" s="111">
        <f ca="1">SUMIFS(
  m.vb[valor],
  m.vb[nucleo],$B$1,
  m.vb[variavel],K$7,
  m.vb[mes],$A117
)</f>
        <v>0</v>
      </c>
      <c r="L117" s="111">
        <f ca="1">SUMIFS(
  m.vb[valor],
  m.vb[nucleo],$B$1,
  m.vb[variavel],L$7,
  m.vb[mes],$A117
)</f>
        <v>0</v>
      </c>
      <c r="M117" s="111">
        <f ca="1">SUMIFS(
  m.vb[valor],
  m.vb[nucleo],$B$1,
  m.vb[variavel],M$7,
  m.vb[mes],$A117
)</f>
        <v>0</v>
      </c>
      <c r="N117" s="122">
        <f>COUNTIFS(
    tb_estq[empresa], N$6,
    tb_estq[Data da venda / reserva], "&gt;=" &amp; $A117,
    tb_estq[Data da venda / reserva], "&lt;"  &amp; EOMONTH($A117,0) + 1
)</f>
        <v>0</v>
      </c>
      <c r="O117" s="123">
        <f ca="1">SUMIFS(tb_rec_uni[2030-07-01],
INDIRECT("tb_rec_uni[natureza]"),"pro.soluto",
INDIRECT("tb_rec_uni[empresa]"),O$6)</f>
        <v>0</v>
      </c>
      <c r="P117" s="123">
        <f ca="1">SUMIFS(tb_rec_uni[2030-07-01],
INDIRECT("tb_rec_uni[natureza]"),"repasse.cef.obra",
INDIRECT("tb_rec_uni[empresa]"),P$6)</f>
        <v>0</v>
      </c>
      <c r="Q117" s="123">
        <f ca="1">SUMIFS(tb_rec_uni[2030-07-01],
INDIRECT("tb_rec_uni[natureza]"),"repasse.cef.terreno",
INDIRECT("tb_rec_uni[empresa]"),Q$6)</f>
        <v>0</v>
      </c>
      <c r="R117" s="127"/>
      <c r="S117" s="123">
        <f ca="1">SUMIFS(tb_rec_uni[2030-07-01],
INDIRECT("tb_rec_uni[natureza]"),"taxa.extra",
INDIRECT("tb_rec_uni[empresa]"),S$6)</f>
        <v>0</v>
      </c>
      <c r="T117" s="111"/>
      <c r="U117" s="111">
        <f ca="1">SUMIFS(
  m.vb[valor],
  m.vb[nucleo],$N$1,
  m.vb[variavel],U$7,
  m.vb[mes],$A117
)</f>
        <v>0</v>
      </c>
      <c r="V117" s="111">
        <f ca="1">SUMIFS(
  m.vb[valor],
  m.vb[nucleo],$N$1,
  m.vb[variavel],V$7,
  m.vb[mes],$A117
)</f>
        <v>0</v>
      </c>
      <c r="W117" s="111">
        <f ca="1">SUMIFS(
  m.vb[valor],
  m.vb[nucleo],$N$1,
  m.vb[variavel],W$7,
  m.vb[mes],$A117
)</f>
        <v>0</v>
      </c>
      <c r="X117" s="111">
        <f ca="1">SUMIFS(
  m.vb[valor],
  m.vb[nucleo],$N$1,
  m.vb[variavel],X$7,
  m.vb[mes],$A117
)</f>
        <v>0</v>
      </c>
      <c r="Y117" s="111">
        <f ca="1">SUMIFS(
  m.vb[valor],
  m.vb[nucleo],$N$1,
  m.vb[variavel],Y$7,
  m.vb[mes],$A117
)</f>
        <v>0</v>
      </c>
      <c r="Z117" s="122">
        <f>COUNTIFS(
    tb_estq[empresa], Z$6,
    tb_estq[Data da venda / reserva], "&gt;=" &amp; $A117,
    tb_estq[Data da venda / reserva], "&lt;"  &amp; EOMONTH($A117,0) + 1
)</f>
        <v>0</v>
      </c>
      <c r="AA117" s="123">
        <f ca="1">SUMIFS(tb_rec_uni[2030-07-01],
INDIRECT("tb_rec_uni[natureza]"),"pro.soluto",
INDIRECT("tb_rec_uni[empresa]"),AA$6)</f>
        <v>0</v>
      </c>
      <c r="AB117" s="127">
        <f ca="1">SUMIFS(tb_rec_uni[2030-07-01],
INDIRECT("tb_rec_uni[natureza]"),"parcela.fin.total.ik",
INDIRECT("tb_rec_uni[empresa]"),AB$6)</f>
        <v>0</v>
      </c>
      <c r="AC117" s="123">
        <f ca="1">SUMIFS(tb_rec_uni[2030-07-01],
INDIRECT("tb_rec_uni[natureza]"),"taxa.extra",
INDIRECT("tb_rec_uni[empresa]"),AC$6)</f>
        <v>0</v>
      </c>
      <c r="AD117" s="111"/>
      <c r="AE117" s="111">
        <f ca="1">SUMIFS(
  m.vb[valor],
  m.vb[nucleo],$Z$1,
  m.vb[variavel],AE$7,
  m.vb[mes],$A117
)</f>
        <v>0</v>
      </c>
      <c r="AF117" s="111">
        <f ca="1">SUMIFS(
  m.vb[valor],
  m.vb[nucleo],$Z$1,
  m.vb[variavel],AF$7,
  m.vb[mes],$A117
)</f>
        <v>0</v>
      </c>
      <c r="AG117" s="111">
        <f ca="1">SUMIFS(
  m.vb[valor],
  m.vb[nucleo],$Z$1,
  m.vb[variavel],AG$7,
  m.vb[mes],$A117
)</f>
        <v>0</v>
      </c>
      <c r="AH117" s="111">
        <f ca="1">SUMIFS(
  m.vb[valor],
  m.vb[nucleo],$Z$1,
  m.vb[variavel],AH$7,
  m.vb[mes],$A117
)</f>
        <v>0</v>
      </c>
      <c r="AI117" s="111">
        <f ca="1">SUMIFS(
  m.vb[valor],
  m.vb[nucleo],$Z$1,
  m.vb[variavel],AI$7,
  m.vb[mes],$A117
)</f>
        <v>0</v>
      </c>
      <c r="AJ117" s="122">
        <f>COUNTIFS(
    tb_estq[empresa], AJ$6,
    tb_estq[Data da venda / reserva], "&gt;=" &amp; $A117,
    tb_estq[Data da venda / reserva], "&lt;"  &amp; EOMONTH($A117,0) + 1
)</f>
        <v>0</v>
      </c>
      <c r="AK117" s="123">
        <f ca="1">SUMIFS(tb_rec_uni[2030-07-01],
INDIRECT("tb_rec_uni[natureza]"),"pro.soluto",
INDIRECT("tb_rec_uni[empresa]"),AK$6)</f>
        <v>0</v>
      </c>
      <c r="AL117" s="123">
        <f ca="1">SUMIFS(tb_rec_uni[2030-07-01],
INDIRECT("tb_rec_uni[natureza]"),"repasse.cef.obra",
INDIRECT("tb_rec_uni[empresa]"),AL$6)</f>
        <v>0</v>
      </c>
      <c r="AM117" s="126">
        <f ca="1">SUMIFS(tb_rec_uni[2030-07-01],
INDIRECT("tb_rec_uni[natureza]"),"repasse.cef.terreno",
INDIRECT("tb_rec_uni[empresa]"),AM$6)</f>
        <v>0</v>
      </c>
      <c r="AN117" s="127"/>
      <c r="AO117" s="123">
        <f ca="1">SUMIFS(tb_rec_uni[2030-07-01],
INDIRECT("tb_rec_uni[natureza]"),"taxa.extra",
INDIRECT("tb_rec_uni[empresa]"),AO$6)</f>
        <v>0</v>
      </c>
      <c r="AP117" s="111"/>
      <c r="AQ117" s="111">
        <f ca="1">SUMIFS(
  m.vb[valor],
  m.vb[nucleo],$AJ$1,
  m.vb[variavel],AQ$7,
  m.vb[mes],$A117
)</f>
        <v>0</v>
      </c>
      <c r="AR117" s="111">
        <f ca="1">SUMIFS(
  m.vb[valor],
  m.vb[nucleo],$AJ$1,
  m.vb[variavel],AR$7,
  m.vb[mes],$A117
)</f>
        <v>0</v>
      </c>
      <c r="AS117" s="111">
        <f ca="1">SUMIFS(
  m.vb[valor],
  m.vb[nucleo],$AJ$1,
  m.vb[variavel],AS$7,
  m.vb[mes],$A117
)</f>
        <v>0</v>
      </c>
      <c r="AT117" s="111">
        <f ca="1">SUMIFS(
  m.vb[valor],
  m.vb[nucleo],$AJ$1,
  m.vb[variavel],AT$7,
  m.vb[mes],$A117
)</f>
        <v>0</v>
      </c>
      <c r="AU117" s="111">
        <f ca="1">SUMIFS(
  m.vb[valor],
  m.vb[nucleo],$AJ$1,
  m.vb[variavel],AU$7,
  m.vb[mes],$A117
)</f>
        <v>0</v>
      </c>
      <c r="AV117" s="122">
        <f>COUNTIFS(
    tb_estq[empresa], AV$6,
    tb_estq[Data da venda / reserva], "&gt;=" &amp; $A117,
    tb_estq[Data da venda / reserva], "&lt;"  &amp; EOMONTH($A117,0) + 1
)</f>
        <v>0</v>
      </c>
      <c r="AW117" s="123">
        <f ca="1">SUMIFS(tb_rec_uni[2030-07-01],
INDIRECT("tb_rec_uni[natureza]"),"pro.soluto",
INDIRECT("tb_rec_uni[empresa]"),AW$6)</f>
        <v>0</v>
      </c>
      <c r="AX117" s="123">
        <f ca="1">SUMIFS(tb_rec_uni[2030-07-01],
INDIRECT("tb_rec_uni[natureza]"),"repasse.cef.obra",
INDIRECT("tb_rec_uni[empresa]"),AX$6)</f>
        <v>0</v>
      </c>
      <c r="AY117" s="126">
        <f ca="1">SUMIFS(tb_rec_uni[2030-07-01],
INDIRECT("tb_rec_uni[natureza]"),"repasse.cef.terreno",
INDIRECT("tb_rec_uni[empresa]"),AY$6)</f>
        <v>0</v>
      </c>
      <c r="AZ117" s="127"/>
      <c r="BA117" s="123">
        <f ca="1">SUMIFS(tb_rec_uni[2030-07-01],
INDIRECT("tb_rec_uni[natureza]"),"taxa.extra",
INDIRECT("tb_rec_uni[empresa]"),BA$6)</f>
        <v>0</v>
      </c>
      <c r="BB117" s="111"/>
      <c r="BC117" s="111">
        <f ca="1">SUMIFS(
  m.vb[valor],
  m.vb[nucleo],$AV$1,
  m.vb[variavel],BC$7,
  m.vb[mes],$A117
)</f>
        <v>0</v>
      </c>
      <c r="BD117" s="111">
        <f ca="1">SUMIFS(
  m.vb[valor],
  m.vb[nucleo],$AV$1,
  m.vb[variavel],BD$7,
  m.vb[mes],$A117
)</f>
        <v>0</v>
      </c>
      <c r="BE117" s="111">
        <f ca="1">SUMIFS(
  m.vb[valor],
  m.vb[nucleo],$AV$1,
  m.vb[variavel],BE$7,
  m.vb[mes],$A117
)</f>
        <v>0</v>
      </c>
      <c r="BF117" s="111">
        <f ca="1">SUMIFS(
  m.vb[valor],
  m.vb[nucleo],$AV$1,
  m.vb[variavel],BF$7,
  m.vb[mes],$A117
)</f>
        <v>0</v>
      </c>
      <c r="BG117" s="111">
        <f ca="1">SUMIFS(
  m.vb[valor],
  m.vb[nucleo],$AV$1,
  m.vb[variavel],BG$7,
  m.vb[mes],$A117
)</f>
        <v>0</v>
      </c>
      <c r="BH117" s="122">
        <f>COUNTIFS(
    tb_estq[empresa], BH$6,
    tb_estq[Data da venda / reserva], "&gt;=" &amp; $A117,
    tb_estq[Data da venda / reserva], "&lt;"  &amp; EOMONTH($A117,0) + 1
)</f>
        <v>0</v>
      </c>
      <c r="BI117" s="123">
        <f ca="1">SUMIFS(tb_rec_uni[2030-07-01],
INDIRECT("tb_rec_uni[natureza]"),"pro.soluto",
INDIRECT("tb_rec_uni[empresa]"),BI$6)</f>
        <v>0</v>
      </c>
      <c r="BJ117" s="127"/>
      <c r="BK117" s="123">
        <f ca="1">SUMIFS(tb_rec_uni[2030-07-01],
INDIRECT("tb_rec_uni[natureza]"),"taxa.extra",
INDIRECT("tb_rec_uni[empresa]"),BK$6)</f>
        <v>0</v>
      </c>
      <c r="BL117" s="111"/>
      <c r="BM117" s="111">
        <f ca="1">SUMIFS(
  m.vb[valor],
  m.vb[nucleo],$BH$1,
  m.vb[variavel],BM$7,
  m.vb[mes],$A117
)</f>
        <v>0</v>
      </c>
      <c r="BN117" s="111">
        <f ca="1">SUMIFS(
  m.vb[valor],
  m.vb[nucleo],$BH$1,
  m.vb[variavel],BN$7,
  m.vb[mes],$A117
)</f>
        <v>0</v>
      </c>
      <c r="BO117" s="111">
        <f ca="1">SUMIFS(
  m.vb[valor],
  m.vb[nucleo],$BH$1,
  m.vb[variavel],BO$7,
  m.vb[mes],$A117
)</f>
        <v>0</v>
      </c>
      <c r="BP117" s="111">
        <f ca="1">SUMIFS(
  m.vb[valor],
  m.vb[nucleo],$BH$1,
  m.vb[variavel],BP$7,
  m.vb[mes],$A117
)</f>
        <v>0</v>
      </c>
      <c r="BQ117" s="111">
        <f ca="1">SUMIFS(
  m.vb[valor],
  m.vb[nucleo],$BH$1,
  m.vb[variavel],BQ$7,
  m.vb[mes],$A117
)</f>
        <v>0</v>
      </c>
      <c r="BR117" s="122">
        <f>COUNTIFS(
    tb_estq[empresa], BR$6,
    tb_estq[Data da venda / reserva], "&gt;=" &amp; $A117,
    tb_estq[Data da venda / reserva], "&lt;"  &amp; EOMONTH($A117,0) + 1
)</f>
        <v>0</v>
      </c>
      <c r="BS117" s="123">
        <f ca="1">SUMIFS(tb_rec_uni[2030-07-01],
INDIRECT("tb_rec_uni[natureza]"),"pro.soluto",
INDIRECT("tb_rec_uni[empresa]"),BS$6)</f>
        <v>0</v>
      </c>
      <c r="BT117" s="127">
        <f ca="1">SUMIFS(tb_rec_uni[2030-07-01],
INDIRECT("tb_rec_uni[natureza]"),"parcela.fin.total.ik",
INDIRECT("tb_rec_uni[empresa]"),BT$6)</f>
        <v>0</v>
      </c>
      <c r="BU117" s="123">
        <f ca="1">SUMIFS(tb_rec_uni[2030-07-01],
INDIRECT("tb_rec_uni[natureza]"),"taxa.extra",
INDIRECT("tb_rec_uni[empresa]"),BU$6)</f>
        <v>0</v>
      </c>
      <c r="BV117" s="111"/>
      <c r="BW117" s="111">
        <f ca="1">SUMIFS(
  m.vb[valor],
  m.vb[nucleo],$BR$1,
  m.vb[variavel],BW$7,
  m.vb[mes],$A117
)</f>
        <v>0</v>
      </c>
      <c r="BX117" s="111">
        <f ca="1">SUMIFS(
  m.vb[valor],
  m.vb[nucleo],$BR$1,
  m.vb[variavel],BX$7,
  m.vb[mes],$A117
)</f>
        <v>0</v>
      </c>
      <c r="BY117" s="111">
        <f ca="1">SUMIFS(
  m.vb[valor],
  m.vb[nucleo],$BR$1,
  m.vb[variavel],BY$7,
  m.vb[mes],$A117
)</f>
        <v>0</v>
      </c>
      <c r="BZ117" s="111">
        <f ca="1">SUMIFS(
  m.vb[valor],
  m.vb[nucleo],$BR$1,
  m.vb[variavel],BZ$7,
  m.vb[mes],$A117
)</f>
        <v>0</v>
      </c>
      <c r="CA117" s="111">
        <f ca="1">SUMIFS(
  m.vb[valor],
  m.vb[nucleo],$BR$1,
  m.vb[variavel],CA$7,
  m.vb[mes],$A117
)</f>
        <v>0</v>
      </c>
      <c r="CB117" s="122">
        <f>COUNTIFS(
    tb_estq[empresa], CB$6,
    tb_estq[Data da venda / reserva], "&gt;=" &amp; $A117,
    tb_estq[Data da venda / reserva], "&lt;"  &amp; EOMONTH($A117,0) + 1
)</f>
        <v>0</v>
      </c>
      <c r="CC117" s="123">
        <f ca="1">SUMIFS(tb_rec_uni[2030-07-01],
INDIRECT("tb_rec_uni[natureza]"),"pro.soluto",
INDIRECT("tb_rec_uni[empresa]"),CC$6)</f>
        <v>0</v>
      </c>
      <c r="CD117" s="123">
        <f ca="1">SUMIFS(tb_rec_uni[2030-07-01],
INDIRECT("tb_rec_uni[natureza]"),"repasse.cef.obra",
INDIRECT("tb_rec_uni[empresa]"),CD$6)</f>
        <v>0</v>
      </c>
      <c r="CE117" s="126">
        <f ca="1">SUMIFS(tb_rec_uni[2030-07-01],
INDIRECT("tb_rec_uni[natureza]"),"repasse.cef.terreno",
INDIRECT("tb_rec_uni[empresa]"),CE$6)</f>
        <v>0</v>
      </c>
      <c r="CF117" s="127"/>
      <c r="CG117" s="123">
        <f ca="1">SUMIFS(tb_rec_uni[2030-07-01],
INDIRECT("tb_rec_uni[natureza]"),"taxa.extra",
INDIRECT("tb_rec_uni[empresa]"),CG$6)</f>
        <v>0</v>
      </c>
      <c r="CH117" s="111"/>
      <c r="CI117" s="111">
        <f ca="1">SUMIFS(
  m.vb[valor],
  m.vb[nucleo],$CB$1,
  m.vb[variavel],CI$7,
  m.vb[mes],$A117
)</f>
        <v>0</v>
      </c>
      <c r="CJ117" s="111">
        <f ca="1">SUMIFS(
  m.vb[valor],
  m.vb[nucleo],$CB$1,
  m.vb[variavel],CJ$7,
  m.vb[mes],$A117
)</f>
        <v>0</v>
      </c>
      <c r="CK117" s="111">
        <f ca="1">SUMIFS(
  m.vb[valor],
  m.vb[nucleo],$CB$1,
  m.vb[variavel],CK$7,
  m.vb[mes],$A117
)</f>
        <v>0</v>
      </c>
      <c r="CL117" s="111">
        <f ca="1">SUMIFS(
  m.vb[valor],
  m.vb[nucleo],$CB$1,
  m.vb[variavel],CL$7,
  m.vb[mes],$A117
)</f>
        <v>0</v>
      </c>
      <c r="CM117" s="111">
        <f ca="1">SUMIFS(
  m.vb[valor],
  m.vb[nucleo],$CB$1,
  m.vb[variavel],CM$7,
  m.vb[mes],$A117
)</f>
        <v>0</v>
      </c>
      <c r="CN117" s="122">
        <f>COUNTIFS(
    tb_estq[empresa], CN$6,
    tb_estq[Data da venda / reserva], "&gt;=" &amp; $A117,
    tb_estq[Data da venda / reserva], "&lt;"  &amp; EOMONTH($A117,0) + 1
)</f>
        <v>0</v>
      </c>
      <c r="CO117" s="123">
        <f ca="1">SUMIFS(tb_rec_uni[2030-07-01],
INDIRECT("tb_rec_uni[natureza]"),"pro.soluto",
INDIRECT("tb_rec_uni[empresa]"),CO$6)</f>
        <v>0</v>
      </c>
      <c r="CP117" s="123">
        <f ca="1">SUMIFS(tb_rec_uni[2030-07-01],
INDIRECT("tb_rec_uni[natureza]"),"repasse.cef.obra",
INDIRECT("tb_rec_uni[empresa]"),CP$6)</f>
        <v>0</v>
      </c>
      <c r="CQ117" s="126">
        <f ca="1">SUMIFS(tb_rec_uni[2030-07-01],
INDIRECT("tb_rec_uni[natureza]"),"repasse.cef.terreno",
INDIRECT("tb_rec_uni[empresa]"),CQ$6)</f>
        <v>0</v>
      </c>
      <c r="CR117" s="127"/>
      <c r="CS117" s="123">
        <f ca="1">SUMIFS(tb_rec_uni[2030-07-01],
INDIRECT("tb_rec_uni[natureza]"),"taxa.extra",
INDIRECT("tb_rec_uni[empresa]"),CS$6)</f>
        <v>0</v>
      </c>
      <c r="CT117" s="111"/>
      <c r="CU117" s="111">
        <f ca="1">SUMIFS(
  m.vb[valor],
  m.vb[nucleo],$CN$1,
  m.vb[variavel],CU$7,
  m.vb[mes],$A117
)</f>
        <v>0</v>
      </c>
      <c r="CV117" s="111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11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11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4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21">
        <v>47696</v>
      </c>
      <c r="B118" s="122">
        <f>COUNTIFS(
    tb_estq[empresa], B$6,
    tb_estq[Data da venda / reserva], "&gt;=" &amp; $A118,
    tb_estq[Data da venda / reserva], "&lt;"  &amp; EOMONTH($A118,0) + 1
)</f>
        <v>0</v>
      </c>
      <c r="C118" s="123">
        <f ca="1">SUMIFS(tb_rec_uni[2030-08-01],
INDIRECT("tb_rec_uni[natureza]"),"pro.soluto",
INDIRECT("tb_rec_uni[empresa]"),C$6)</f>
        <v>0</v>
      </c>
      <c r="D118" s="123">
        <f ca="1">SUMIFS(tb_rec_uni[2030-08-01],
INDIRECT("tb_rec_uni[natureza]"),"repasse.cef.obra",
INDIRECT("tb_rec_uni[empresa]"),D$6)</f>
        <v>0</v>
      </c>
      <c r="E118" s="123">
        <f ca="1">SUMIFS(tb_rec_uni[2030-08-01],
INDIRECT("tb_rec_uni[natureza]"),"repasse.cef.terreno",
INDIRECT("tb_rec_uni[empresa]"),E$6)</f>
        <v>0</v>
      </c>
      <c r="F118" s="127"/>
      <c r="G118" s="123">
        <f ca="1">SUMIFS(tb_rec_uni[2030-08-01],
INDIRECT("tb_rec_uni[natureza]"),"taxa.extra",
INDIRECT("tb_rec_uni[empresa]"),G$6)</f>
        <v>0</v>
      </c>
      <c r="H118" s="111"/>
      <c r="I118" s="111">
        <f ca="1">SUMIFS(
  m.vb[valor],
  m.vb[nucleo],$B$1,
  m.vb[variavel],I$7,
  m.vb[mes],$A118
)</f>
        <v>0</v>
      </c>
      <c r="J118" s="111">
        <f ca="1">SUMIFS(
  m.vb[valor],
  m.vb[nucleo],$B$1,
  m.vb[variavel],J$7,
  m.vb[mes],$A118
)</f>
        <v>0</v>
      </c>
      <c r="K118" s="111">
        <f ca="1">SUMIFS(
  m.vb[valor],
  m.vb[nucleo],$B$1,
  m.vb[variavel],K$7,
  m.vb[mes],$A118
)</f>
        <v>0</v>
      </c>
      <c r="L118" s="111">
        <f ca="1">SUMIFS(
  m.vb[valor],
  m.vb[nucleo],$B$1,
  m.vb[variavel],L$7,
  m.vb[mes],$A118
)</f>
        <v>0</v>
      </c>
      <c r="M118" s="111">
        <f ca="1">SUMIFS(
  m.vb[valor],
  m.vb[nucleo],$B$1,
  m.vb[variavel],M$7,
  m.vb[mes],$A118
)</f>
        <v>0</v>
      </c>
      <c r="N118" s="122">
        <f>COUNTIFS(
    tb_estq[empresa], N$6,
    tb_estq[Data da venda / reserva], "&gt;=" &amp; $A118,
    tb_estq[Data da venda / reserva], "&lt;"  &amp; EOMONTH($A118,0) + 1
)</f>
        <v>0</v>
      </c>
      <c r="O118" s="123">
        <f ca="1">SUMIFS(tb_rec_uni[2030-08-01],
INDIRECT("tb_rec_uni[natureza]"),"pro.soluto",
INDIRECT("tb_rec_uni[empresa]"),O$6)</f>
        <v>0</v>
      </c>
      <c r="P118" s="123">
        <f ca="1">SUMIFS(tb_rec_uni[2030-08-01],
INDIRECT("tb_rec_uni[natureza]"),"repasse.cef.obra",
INDIRECT("tb_rec_uni[empresa]"),P$6)</f>
        <v>0</v>
      </c>
      <c r="Q118" s="123">
        <f ca="1">SUMIFS(tb_rec_uni[2030-08-01],
INDIRECT("tb_rec_uni[natureza]"),"repasse.cef.terreno",
INDIRECT("tb_rec_uni[empresa]"),Q$6)</f>
        <v>0</v>
      </c>
      <c r="R118" s="127"/>
      <c r="S118" s="123">
        <f ca="1">SUMIFS(tb_rec_uni[2030-08-01],
INDIRECT("tb_rec_uni[natureza]"),"taxa.extra",
INDIRECT("tb_rec_uni[empresa]"),S$6)</f>
        <v>0</v>
      </c>
      <c r="T118" s="111"/>
      <c r="U118" s="111">
        <f ca="1">SUMIFS(
  m.vb[valor],
  m.vb[nucleo],$N$1,
  m.vb[variavel],U$7,
  m.vb[mes],$A118
)</f>
        <v>0</v>
      </c>
      <c r="V118" s="111">
        <f ca="1">SUMIFS(
  m.vb[valor],
  m.vb[nucleo],$N$1,
  m.vb[variavel],V$7,
  m.vb[mes],$A118
)</f>
        <v>0</v>
      </c>
      <c r="W118" s="111">
        <f ca="1">SUMIFS(
  m.vb[valor],
  m.vb[nucleo],$N$1,
  m.vb[variavel],W$7,
  m.vb[mes],$A118
)</f>
        <v>0</v>
      </c>
      <c r="X118" s="111">
        <f ca="1">SUMIFS(
  m.vb[valor],
  m.vb[nucleo],$N$1,
  m.vb[variavel],X$7,
  m.vb[mes],$A118
)</f>
        <v>0</v>
      </c>
      <c r="Y118" s="111">
        <f ca="1">SUMIFS(
  m.vb[valor],
  m.vb[nucleo],$N$1,
  m.vb[variavel],Y$7,
  m.vb[mes],$A118
)</f>
        <v>0</v>
      </c>
      <c r="Z118" s="122">
        <f>COUNTIFS(
    tb_estq[empresa], Z$6,
    tb_estq[Data da venda / reserva], "&gt;=" &amp; $A118,
    tb_estq[Data da venda / reserva], "&lt;"  &amp; EOMONTH($A118,0) + 1
)</f>
        <v>0</v>
      </c>
      <c r="AA118" s="123">
        <f ca="1">SUMIFS(tb_rec_uni[2030-08-01],
INDIRECT("tb_rec_uni[natureza]"),"pro.soluto",
INDIRECT("tb_rec_uni[empresa]"),AA$6)</f>
        <v>0</v>
      </c>
      <c r="AB118" s="127">
        <f ca="1">SUMIFS(tb_rec_uni[2030-08-01],
INDIRECT("tb_rec_uni[natureza]"),"parcela.fin.total.ik",
INDIRECT("tb_rec_uni[empresa]"),AB$6)</f>
        <v>0</v>
      </c>
      <c r="AC118" s="123">
        <f ca="1">SUMIFS(tb_rec_uni[2030-08-01],
INDIRECT("tb_rec_uni[natureza]"),"taxa.extra",
INDIRECT("tb_rec_uni[empresa]"),AC$6)</f>
        <v>0</v>
      </c>
      <c r="AD118" s="111"/>
      <c r="AE118" s="111">
        <f ca="1">SUMIFS(
  m.vb[valor],
  m.vb[nucleo],$Z$1,
  m.vb[variavel],AE$7,
  m.vb[mes],$A118
)</f>
        <v>0</v>
      </c>
      <c r="AF118" s="111">
        <f ca="1">SUMIFS(
  m.vb[valor],
  m.vb[nucleo],$Z$1,
  m.vb[variavel],AF$7,
  m.vb[mes],$A118
)</f>
        <v>0</v>
      </c>
      <c r="AG118" s="111">
        <f ca="1">SUMIFS(
  m.vb[valor],
  m.vb[nucleo],$Z$1,
  m.vb[variavel],AG$7,
  m.vb[mes],$A118
)</f>
        <v>0</v>
      </c>
      <c r="AH118" s="111">
        <f ca="1">SUMIFS(
  m.vb[valor],
  m.vb[nucleo],$Z$1,
  m.vb[variavel],AH$7,
  m.vb[mes],$A118
)</f>
        <v>0</v>
      </c>
      <c r="AI118" s="111">
        <f ca="1">SUMIFS(
  m.vb[valor],
  m.vb[nucleo],$Z$1,
  m.vb[variavel],AI$7,
  m.vb[mes],$A118
)</f>
        <v>0</v>
      </c>
      <c r="AJ118" s="122">
        <f>COUNTIFS(
    tb_estq[empresa], AJ$6,
    tb_estq[Data da venda / reserva], "&gt;=" &amp; $A118,
    tb_estq[Data da venda / reserva], "&lt;"  &amp; EOMONTH($A118,0) + 1
)</f>
        <v>0</v>
      </c>
      <c r="AK118" s="123">
        <f ca="1">SUMIFS(tb_rec_uni[2030-08-01],
INDIRECT("tb_rec_uni[natureza]"),"pro.soluto",
INDIRECT("tb_rec_uni[empresa]"),AK$6)</f>
        <v>0</v>
      </c>
      <c r="AL118" s="123">
        <f ca="1">SUMIFS(tb_rec_uni[2030-08-01],
INDIRECT("tb_rec_uni[natureza]"),"repasse.cef.obra",
INDIRECT("tb_rec_uni[empresa]"),AL$6)</f>
        <v>0</v>
      </c>
      <c r="AM118" s="126">
        <f ca="1">SUMIFS(tb_rec_uni[2030-08-01],
INDIRECT("tb_rec_uni[natureza]"),"repasse.cef.terreno",
INDIRECT("tb_rec_uni[empresa]"),AM$6)</f>
        <v>0</v>
      </c>
      <c r="AN118" s="127"/>
      <c r="AO118" s="123">
        <f ca="1">SUMIFS(tb_rec_uni[2030-08-01],
INDIRECT("tb_rec_uni[natureza]"),"taxa.extra",
INDIRECT("tb_rec_uni[empresa]"),AO$6)</f>
        <v>0</v>
      </c>
      <c r="AP118" s="111"/>
      <c r="AQ118" s="111">
        <f ca="1">SUMIFS(
  m.vb[valor],
  m.vb[nucleo],$AJ$1,
  m.vb[variavel],AQ$7,
  m.vb[mes],$A118
)</f>
        <v>0</v>
      </c>
      <c r="AR118" s="111">
        <f ca="1">SUMIFS(
  m.vb[valor],
  m.vb[nucleo],$AJ$1,
  m.vb[variavel],AR$7,
  m.vb[mes],$A118
)</f>
        <v>0</v>
      </c>
      <c r="AS118" s="111">
        <f ca="1">SUMIFS(
  m.vb[valor],
  m.vb[nucleo],$AJ$1,
  m.vb[variavel],AS$7,
  m.vb[mes],$A118
)</f>
        <v>0</v>
      </c>
      <c r="AT118" s="111">
        <f ca="1">SUMIFS(
  m.vb[valor],
  m.vb[nucleo],$AJ$1,
  m.vb[variavel],AT$7,
  m.vb[mes],$A118
)</f>
        <v>0</v>
      </c>
      <c r="AU118" s="111">
        <f ca="1">SUMIFS(
  m.vb[valor],
  m.vb[nucleo],$AJ$1,
  m.vb[variavel],AU$7,
  m.vb[mes],$A118
)</f>
        <v>0</v>
      </c>
      <c r="AV118" s="122">
        <f>COUNTIFS(
    tb_estq[empresa], AV$6,
    tb_estq[Data da venda / reserva], "&gt;=" &amp; $A118,
    tb_estq[Data da venda / reserva], "&lt;"  &amp; EOMONTH($A118,0) + 1
)</f>
        <v>0</v>
      </c>
      <c r="AW118" s="123">
        <f ca="1">SUMIFS(tb_rec_uni[2030-08-01],
INDIRECT("tb_rec_uni[natureza]"),"pro.soluto",
INDIRECT("tb_rec_uni[empresa]"),AW$6)</f>
        <v>0</v>
      </c>
      <c r="AX118" s="123">
        <f ca="1">SUMIFS(tb_rec_uni[2030-08-01],
INDIRECT("tb_rec_uni[natureza]"),"repasse.cef.obra",
INDIRECT("tb_rec_uni[empresa]"),AX$6)</f>
        <v>0</v>
      </c>
      <c r="AY118" s="126">
        <f ca="1">SUMIFS(tb_rec_uni[2030-08-01],
INDIRECT("tb_rec_uni[natureza]"),"repasse.cef.terreno",
INDIRECT("tb_rec_uni[empresa]"),AY$6)</f>
        <v>0</v>
      </c>
      <c r="AZ118" s="127"/>
      <c r="BA118" s="123">
        <f ca="1">SUMIFS(tb_rec_uni[2030-08-01],
INDIRECT("tb_rec_uni[natureza]"),"taxa.extra",
INDIRECT("tb_rec_uni[empresa]"),BA$6)</f>
        <v>0</v>
      </c>
      <c r="BB118" s="111"/>
      <c r="BC118" s="111">
        <f ca="1">SUMIFS(
  m.vb[valor],
  m.vb[nucleo],$AV$1,
  m.vb[variavel],BC$7,
  m.vb[mes],$A118
)</f>
        <v>0</v>
      </c>
      <c r="BD118" s="111">
        <f ca="1">SUMIFS(
  m.vb[valor],
  m.vb[nucleo],$AV$1,
  m.vb[variavel],BD$7,
  m.vb[mes],$A118
)</f>
        <v>0</v>
      </c>
      <c r="BE118" s="111">
        <f ca="1">SUMIFS(
  m.vb[valor],
  m.vb[nucleo],$AV$1,
  m.vb[variavel],BE$7,
  m.vb[mes],$A118
)</f>
        <v>0</v>
      </c>
      <c r="BF118" s="111">
        <f ca="1">SUMIFS(
  m.vb[valor],
  m.vb[nucleo],$AV$1,
  m.vb[variavel],BF$7,
  m.vb[mes],$A118
)</f>
        <v>0</v>
      </c>
      <c r="BG118" s="111">
        <f ca="1">SUMIFS(
  m.vb[valor],
  m.vb[nucleo],$AV$1,
  m.vb[variavel],BG$7,
  m.vb[mes],$A118
)</f>
        <v>0</v>
      </c>
      <c r="BH118" s="122">
        <f>COUNTIFS(
    tb_estq[empresa], BH$6,
    tb_estq[Data da venda / reserva], "&gt;=" &amp; $A118,
    tb_estq[Data da venda / reserva], "&lt;"  &amp; EOMONTH($A118,0) + 1
)</f>
        <v>0</v>
      </c>
      <c r="BI118" s="123">
        <f ca="1">SUMIFS(tb_rec_uni[2030-08-01],
INDIRECT("tb_rec_uni[natureza]"),"pro.soluto",
INDIRECT("tb_rec_uni[empresa]"),BI$6)</f>
        <v>0</v>
      </c>
      <c r="BJ118" s="127"/>
      <c r="BK118" s="123">
        <f ca="1">SUMIFS(tb_rec_uni[2030-08-01],
INDIRECT("tb_rec_uni[natureza]"),"taxa.extra",
INDIRECT("tb_rec_uni[empresa]"),BK$6)</f>
        <v>0</v>
      </c>
      <c r="BL118" s="111"/>
      <c r="BM118" s="111">
        <f ca="1">SUMIFS(
  m.vb[valor],
  m.vb[nucleo],$BH$1,
  m.vb[variavel],BM$7,
  m.vb[mes],$A118
)</f>
        <v>0</v>
      </c>
      <c r="BN118" s="111">
        <f ca="1">SUMIFS(
  m.vb[valor],
  m.vb[nucleo],$BH$1,
  m.vb[variavel],BN$7,
  m.vb[mes],$A118
)</f>
        <v>0</v>
      </c>
      <c r="BO118" s="111">
        <f ca="1">SUMIFS(
  m.vb[valor],
  m.vb[nucleo],$BH$1,
  m.vb[variavel],BO$7,
  m.vb[mes],$A118
)</f>
        <v>0</v>
      </c>
      <c r="BP118" s="111">
        <f ca="1">SUMIFS(
  m.vb[valor],
  m.vb[nucleo],$BH$1,
  m.vb[variavel],BP$7,
  m.vb[mes],$A118
)</f>
        <v>0</v>
      </c>
      <c r="BQ118" s="111">
        <f ca="1">SUMIFS(
  m.vb[valor],
  m.vb[nucleo],$BH$1,
  m.vb[variavel],BQ$7,
  m.vb[mes],$A118
)</f>
        <v>0</v>
      </c>
      <c r="BR118" s="122">
        <f>COUNTIFS(
    tb_estq[empresa], BR$6,
    tb_estq[Data da venda / reserva], "&gt;=" &amp; $A118,
    tb_estq[Data da venda / reserva], "&lt;"  &amp; EOMONTH($A118,0) + 1
)</f>
        <v>0</v>
      </c>
      <c r="BS118" s="123">
        <f ca="1">SUMIFS(tb_rec_uni[2030-08-01],
INDIRECT("tb_rec_uni[natureza]"),"pro.soluto",
INDIRECT("tb_rec_uni[empresa]"),BS$6)</f>
        <v>0</v>
      </c>
      <c r="BT118" s="127">
        <f ca="1">SUMIFS(tb_rec_uni[2030-08-01],
INDIRECT("tb_rec_uni[natureza]"),"parcela.fin.total.ik",
INDIRECT("tb_rec_uni[empresa]"),BT$6)</f>
        <v>0</v>
      </c>
      <c r="BU118" s="123">
        <f ca="1">SUMIFS(tb_rec_uni[2030-08-01],
INDIRECT("tb_rec_uni[natureza]"),"taxa.extra",
INDIRECT("tb_rec_uni[empresa]"),BU$6)</f>
        <v>0</v>
      </c>
      <c r="BV118" s="111"/>
      <c r="BW118" s="111">
        <f ca="1">SUMIFS(
  m.vb[valor],
  m.vb[nucleo],$BR$1,
  m.vb[variavel],BW$7,
  m.vb[mes],$A118
)</f>
        <v>0</v>
      </c>
      <c r="BX118" s="111">
        <f ca="1">SUMIFS(
  m.vb[valor],
  m.vb[nucleo],$BR$1,
  m.vb[variavel],BX$7,
  m.vb[mes],$A118
)</f>
        <v>0</v>
      </c>
      <c r="BY118" s="111">
        <f ca="1">SUMIFS(
  m.vb[valor],
  m.vb[nucleo],$BR$1,
  m.vb[variavel],BY$7,
  m.vb[mes],$A118
)</f>
        <v>0</v>
      </c>
      <c r="BZ118" s="111">
        <f ca="1">SUMIFS(
  m.vb[valor],
  m.vb[nucleo],$BR$1,
  m.vb[variavel],BZ$7,
  m.vb[mes],$A118
)</f>
        <v>0</v>
      </c>
      <c r="CA118" s="111">
        <f ca="1">SUMIFS(
  m.vb[valor],
  m.vb[nucleo],$BR$1,
  m.vb[variavel],CA$7,
  m.vb[mes],$A118
)</f>
        <v>0</v>
      </c>
      <c r="CB118" s="122">
        <f>COUNTIFS(
    tb_estq[empresa], CB$6,
    tb_estq[Data da venda / reserva], "&gt;=" &amp; $A118,
    tb_estq[Data da venda / reserva], "&lt;"  &amp; EOMONTH($A118,0) + 1
)</f>
        <v>0</v>
      </c>
      <c r="CC118" s="123">
        <f ca="1">SUMIFS(tb_rec_uni[2030-08-01],
INDIRECT("tb_rec_uni[natureza]"),"pro.soluto",
INDIRECT("tb_rec_uni[empresa]"),CC$6)</f>
        <v>0</v>
      </c>
      <c r="CD118" s="123">
        <f ca="1">SUMIFS(tb_rec_uni[2030-08-01],
INDIRECT("tb_rec_uni[natureza]"),"repasse.cef.obra",
INDIRECT("tb_rec_uni[empresa]"),CD$6)</f>
        <v>0</v>
      </c>
      <c r="CE118" s="126">
        <f ca="1">SUMIFS(tb_rec_uni[2030-08-01],
INDIRECT("tb_rec_uni[natureza]"),"repasse.cef.terreno",
INDIRECT("tb_rec_uni[empresa]"),CE$6)</f>
        <v>0</v>
      </c>
      <c r="CF118" s="127"/>
      <c r="CG118" s="123">
        <f ca="1">SUMIFS(tb_rec_uni[2030-08-01],
INDIRECT("tb_rec_uni[natureza]"),"taxa.extra",
INDIRECT("tb_rec_uni[empresa]"),CG$6)</f>
        <v>0</v>
      </c>
      <c r="CH118" s="111"/>
      <c r="CI118" s="111">
        <f ca="1">SUMIFS(
  m.vb[valor],
  m.vb[nucleo],$CB$1,
  m.vb[variavel],CI$7,
  m.vb[mes],$A118
)</f>
        <v>0</v>
      </c>
      <c r="CJ118" s="111">
        <f ca="1">SUMIFS(
  m.vb[valor],
  m.vb[nucleo],$CB$1,
  m.vb[variavel],CJ$7,
  m.vb[mes],$A118
)</f>
        <v>0</v>
      </c>
      <c r="CK118" s="111">
        <f ca="1">SUMIFS(
  m.vb[valor],
  m.vb[nucleo],$CB$1,
  m.vb[variavel],CK$7,
  m.vb[mes],$A118
)</f>
        <v>0</v>
      </c>
      <c r="CL118" s="111">
        <f ca="1">SUMIFS(
  m.vb[valor],
  m.vb[nucleo],$CB$1,
  m.vb[variavel],CL$7,
  m.vb[mes],$A118
)</f>
        <v>0</v>
      </c>
      <c r="CM118" s="111">
        <f ca="1">SUMIFS(
  m.vb[valor],
  m.vb[nucleo],$CB$1,
  m.vb[variavel],CM$7,
  m.vb[mes],$A118
)</f>
        <v>0</v>
      </c>
      <c r="CN118" s="122">
        <f>COUNTIFS(
    tb_estq[empresa], CN$6,
    tb_estq[Data da venda / reserva], "&gt;=" &amp; $A118,
    tb_estq[Data da venda / reserva], "&lt;"  &amp; EOMONTH($A118,0) + 1
)</f>
        <v>0</v>
      </c>
      <c r="CO118" s="123">
        <f ca="1">SUMIFS(tb_rec_uni[2030-08-01],
INDIRECT("tb_rec_uni[natureza]"),"pro.soluto",
INDIRECT("tb_rec_uni[empresa]"),CO$6)</f>
        <v>0</v>
      </c>
      <c r="CP118" s="123">
        <f ca="1">SUMIFS(tb_rec_uni[2030-08-01],
INDIRECT("tb_rec_uni[natureza]"),"repasse.cef.obra",
INDIRECT("tb_rec_uni[empresa]"),CP$6)</f>
        <v>0</v>
      </c>
      <c r="CQ118" s="126">
        <f ca="1">SUMIFS(tb_rec_uni[2030-08-01],
INDIRECT("tb_rec_uni[natureza]"),"repasse.cef.terreno",
INDIRECT("tb_rec_uni[empresa]"),CQ$6)</f>
        <v>0</v>
      </c>
      <c r="CR118" s="127"/>
      <c r="CS118" s="123">
        <f ca="1">SUMIFS(tb_rec_uni[2030-08-01],
INDIRECT("tb_rec_uni[natureza]"),"taxa.extra",
INDIRECT("tb_rec_uni[empresa]"),CS$6)</f>
        <v>0</v>
      </c>
      <c r="CT118" s="111"/>
      <c r="CU118" s="111">
        <f ca="1">SUMIFS(
  m.vb[valor],
  m.vb[nucleo],$CN$1,
  m.vb[variavel],CU$7,
  m.vb[mes],$A118
)</f>
        <v>0</v>
      </c>
      <c r="CV118" s="111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11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11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4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21">
        <v>47727</v>
      </c>
      <c r="B119" s="122">
        <f>COUNTIFS(
    tb_estq[empresa], B$6,
    tb_estq[Data da venda / reserva], "&gt;=" &amp; $A119,
    tb_estq[Data da venda / reserva], "&lt;"  &amp; EOMONTH($A119,0) + 1
)</f>
        <v>0</v>
      </c>
      <c r="C119" s="123">
        <f ca="1">SUMIFS(tb_rec_uni[2030-09-01],
INDIRECT("tb_rec_uni[natureza]"),"pro.soluto",
INDIRECT("tb_rec_uni[empresa]"),C$6)</f>
        <v>0</v>
      </c>
      <c r="D119" s="123">
        <f ca="1">SUMIFS(tb_rec_uni[2030-09-01],
INDIRECT("tb_rec_uni[natureza]"),"repasse.cef.obra",
INDIRECT("tb_rec_uni[empresa]"),D$6)</f>
        <v>0</v>
      </c>
      <c r="E119" s="123">
        <f ca="1">SUMIFS(tb_rec_uni[2030-09-01],
INDIRECT("tb_rec_uni[natureza]"),"repasse.cef.terreno",
INDIRECT("tb_rec_uni[empresa]"),E$6)</f>
        <v>0</v>
      </c>
      <c r="F119" s="127"/>
      <c r="G119" s="123">
        <f ca="1">SUMIFS(tb_rec_uni[2030-09-01],
INDIRECT("tb_rec_uni[natureza]"),"taxa.extra",
INDIRECT("tb_rec_uni[empresa]"),G$6)</f>
        <v>0</v>
      </c>
      <c r="H119" s="111"/>
      <c r="I119" s="111">
        <f ca="1">SUMIFS(
  m.vb[valor],
  m.vb[nucleo],$B$1,
  m.vb[variavel],I$7,
  m.vb[mes],$A119
)</f>
        <v>0</v>
      </c>
      <c r="J119" s="111">
        <f ca="1">SUMIFS(
  m.vb[valor],
  m.vb[nucleo],$B$1,
  m.vb[variavel],J$7,
  m.vb[mes],$A119
)</f>
        <v>0</v>
      </c>
      <c r="K119" s="111">
        <f ca="1">SUMIFS(
  m.vb[valor],
  m.vb[nucleo],$B$1,
  m.vb[variavel],K$7,
  m.vb[mes],$A119
)</f>
        <v>0</v>
      </c>
      <c r="L119" s="111">
        <f ca="1">SUMIFS(
  m.vb[valor],
  m.vb[nucleo],$B$1,
  m.vb[variavel],L$7,
  m.vb[mes],$A119
)</f>
        <v>0</v>
      </c>
      <c r="M119" s="111">
        <f ca="1">SUMIFS(
  m.vb[valor],
  m.vb[nucleo],$B$1,
  m.vb[variavel],M$7,
  m.vb[mes],$A119
)</f>
        <v>0</v>
      </c>
      <c r="N119" s="122">
        <f>COUNTIFS(
    tb_estq[empresa], N$6,
    tb_estq[Data da venda / reserva], "&gt;=" &amp; $A119,
    tb_estq[Data da venda / reserva], "&lt;"  &amp; EOMONTH($A119,0) + 1
)</f>
        <v>0</v>
      </c>
      <c r="O119" s="123">
        <f ca="1">SUMIFS(tb_rec_uni[2030-09-01],
INDIRECT("tb_rec_uni[natureza]"),"pro.soluto",
INDIRECT("tb_rec_uni[empresa]"),O$6)</f>
        <v>0</v>
      </c>
      <c r="P119" s="123">
        <f ca="1">SUMIFS(tb_rec_uni[2030-09-01],
INDIRECT("tb_rec_uni[natureza]"),"repasse.cef.obra",
INDIRECT("tb_rec_uni[empresa]"),P$6)</f>
        <v>0</v>
      </c>
      <c r="Q119" s="123">
        <f ca="1">SUMIFS(tb_rec_uni[2030-09-01],
INDIRECT("tb_rec_uni[natureza]"),"repasse.cef.terreno",
INDIRECT("tb_rec_uni[empresa]"),Q$6)</f>
        <v>0</v>
      </c>
      <c r="R119" s="127"/>
      <c r="S119" s="123">
        <f ca="1">SUMIFS(tb_rec_uni[2030-09-01],
INDIRECT("tb_rec_uni[natureza]"),"taxa.extra",
INDIRECT("tb_rec_uni[empresa]"),S$6)</f>
        <v>0</v>
      </c>
      <c r="T119" s="111"/>
      <c r="U119" s="111">
        <f ca="1">SUMIFS(
  m.vb[valor],
  m.vb[nucleo],$N$1,
  m.vb[variavel],U$7,
  m.vb[mes],$A119
)</f>
        <v>0</v>
      </c>
      <c r="V119" s="111">
        <f ca="1">SUMIFS(
  m.vb[valor],
  m.vb[nucleo],$N$1,
  m.vb[variavel],V$7,
  m.vb[mes],$A119
)</f>
        <v>0</v>
      </c>
      <c r="W119" s="111">
        <f ca="1">SUMIFS(
  m.vb[valor],
  m.vb[nucleo],$N$1,
  m.vb[variavel],W$7,
  m.vb[mes],$A119
)</f>
        <v>0</v>
      </c>
      <c r="X119" s="111">
        <f ca="1">SUMIFS(
  m.vb[valor],
  m.vb[nucleo],$N$1,
  m.vb[variavel],X$7,
  m.vb[mes],$A119
)</f>
        <v>0</v>
      </c>
      <c r="Y119" s="111">
        <f ca="1">SUMIFS(
  m.vb[valor],
  m.vb[nucleo],$N$1,
  m.vb[variavel],Y$7,
  m.vb[mes],$A119
)</f>
        <v>0</v>
      </c>
      <c r="Z119" s="122">
        <f>COUNTIFS(
    tb_estq[empresa], Z$6,
    tb_estq[Data da venda / reserva], "&gt;=" &amp; $A119,
    tb_estq[Data da venda / reserva], "&lt;"  &amp; EOMONTH($A119,0) + 1
)</f>
        <v>0</v>
      </c>
      <c r="AA119" s="123">
        <f ca="1">SUMIFS(tb_rec_uni[2030-09-01],
INDIRECT("tb_rec_uni[natureza]"),"pro.soluto",
INDIRECT("tb_rec_uni[empresa]"),AA$6)</f>
        <v>0</v>
      </c>
      <c r="AB119" s="127">
        <f ca="1">SUMIFS(tb_rec_uni[2030-09-01],
INDIRECT("tb_rec_uni[natureza]"),"parcela.fin.total.ik",
INDIRECT("tb_rec_uni[empresa]"),AB$6)</f>
        <v>0</v>
      </c>
      <c r="AC119" s="123">
        <f ca="1">SUMIFS(tb_rec_uni[2030-09-01],
INDIRECT("tb_rec_uni[natureza]"),"taxa.extra",
INDIRECT("tb_rec_uni[empresa]"),AC$6)</f>
        <v>0</v>
      </c>
      <c r="AD119" s="111"/>
      <c r="AE119" s="111">
        <f ca="1">SUMIFS(
  m.vb[valor],
  m.vb[nucleo],$Z$1,
  m.vb[variavel],AE$7,
  m.vb[mes],$A119
)</f>
        <v>0</v>
      </c>
      <c r="AF119" s="111">
        <f ca="1">SUMIFS(
  m.vb[valor],
  m.vb[nucleo],$Z$1,
  m.vb[variavel],AF$7,
  m.vb[mes],$A119
)</f>
        <v>0</v>
      </c>
      <c r="AG119" s="111">
        <f ca="1">SUMIFS(
  m.vb[valor],
  m.vb[nucleo],$Z$1,
  m.vb[variavel],AG$7,
  m.vb[mes],$A119
)</f>
        <v>0</v>
      </c>
      <c r="AH119" s="111">
        <f ca="1">SUMIFS(
  m.vb[valor],
  m.vb[nucleo],$Z$1,
  m.vb[variavel],AH$7,
  m.vb[mes],$A119
)</f>
        <v>0</v>
      </c>
      <c r="AI119" s="111">
        <f ca="1">SUMIFS(
  m.vb[valor],
  m.vb[nucleo],$Z$1,
  m.vb[variavel],AI$7,
  m.vb[mes],$A119
)</f>
        <v>0</v>
      </c>
      <c r="AJ119" s="122">
        <f>COUNTIFS(
    tb_estq[empresa], AJ$6,
    tb_estq[Data da venda / reserva], "&gt;=" &amp; $A119,
    tb_estq[Data da venda / reserva], "&lt;"  &amp; EOMONTH($A119,0) + 1
)</f>
        <v>0</v>
      </c>
      <c r="AK119" s="123">
        <f ca="1">SUMIFS(tb_rec_uni[2030-09-01],
INDIRECT("tb_rec_uni[natureza]"),"pro.soluto",
INDIRECT("tb_rec_uni[empresa]"),AK$6)</f>
        <v>0</v>
      </c>
      <c r="AL119" s="123">
        <f ca="1">SUMIFS(tb_rec_uni[2030-09-01],
INDIRECT("tb_rec_uni[natureza]"),"repasse.cef.obra",
INDIRECT("tb_rec_uni[empresa]"),AL$6)</f>
        <v>0</v>
      </c>
      <c r="AM119" s="126">
        <f ca="1">SUMIFS(tb_rec_uni[2030-09-01],
INDIRECT("tb_rec_uni[natureza]"),"repasse.cef.terreno",
INDIRECT("tb_rec_uni[empresa]"),AM$6)</f>
        <v>0</v>
      </c>
      <c r="AN119" s="127"/>
      <c r="AO119" s="123">
        <f ca="1">SUMIFS(tb_rec_uni[2030-09-01],
INDIRECT("tb_rec_uni[natureza]"),"taxa.extra",
INDIRECT("tb_rec_uni[empresa]"),AO$6)</f>
        <v>0</v>
      </c>
      <c r="AP119" s="111"/>
      <c r="AQ119" s="111">
        <f ca="1">SUMIFS(
  m.vb[valor],
  m.vb[nucleo],$AJ$1,
  m.vb[variavel],AQ$7,
  m.vb[mes],$A119
)</f>
        <v>0</v>
      </c>
      <c r="AR119" s="111">
        <f ca="1">SUMIFS(
  m.vb[valor],
  m.vb[nucleo],$AJ$1,
  m.vb[variavel],AR$7,
  m.vb[mes],$A119
)</f>
        <v>0</v>
      </c>
      <c r="AS119" s="111">
        <f ca="1">SUMIFS(
  m.vb[valor],
  m.vb[nucleo],$AJ$1,
  m.vb[variavel],AS$7,
  m.vb[mes],$A119
)</f>
        <v>0</v>
      </c>
      <c r="AT119" s="111">
        <f ca="1">SUMIFS(
  m.vb[valor],
  m.vb[nucleo],$AJ$1,
  m.vb[variavel],AT$7,
  m.vb[mes],$A119
)</f>
        <v>0</v>
      </c>
      <c r="AU119" s="111">
        <f ca="1">SUMIFS(
  m.vb[valor],
  m.vb[nucleo],$AJ$1,
  m.vb[variavel],AU$7,
  m.vb[mes],$A119
)</f>
        <v>0</v>
      </c>
      <c r="AV119" s="122">
        <f>COUNTIFS(
    tb_estq[empresa], AV$6,
    tb_estq[Data da venda / reserva], "&gt;=" &amp; $A119,
    tb_estq[Data da venda / reserva], "&lt;"  &amp; EOMONTH($A119,0) + 1
)</f>
        <v>0</v>
      </c>
      <c r="AW119" s="123">
        <f ca="1">SUMIFS(tb_rec_uni[2030-09-01],
INDIRECT("tb_rec_uni[natureza]"),"pro.soluto",
INDIRECT("tb_rec_uni[empresa]"),AW$6)</f>
        <v>0</v>
      </c>
      <c r="AX119" s="123">
        <f ca="1">SUMIFS(tb_rec_uni[2030-09-01],
INDIRECT("tb_rec_uni[natureza]"),"repasse.cef.obra",
INDIRECT("tb_rec_uni[empresa]"),AX$6)</f>
        <v>0</v>
      </c>
      <c r="AY119" s="126">
        <f ca="1">SUMIFS(tb_rec_uni[2030-09-01],
INDIRECT("tb_rec_uni[natureza]"),"repasse.cef.terreno",
INDIRECT("tb_rec_uni[empresa]"),AY$6)</f>
        <v>0</v>
      </c>
      <c r="AZ119" s="127"/>
      <c r="BA119" s="123">
        <f ca="1">SUMIFS(tb_rec_uni[2030-09-01],
INDIRECT("tb_rec_uni[natureza]"),"taxa.extra",
INDIRECT("tb_rec_uni[empresa]"),BA$6)</f>
        <v>0</v>
      </c>
      <c r="BB119" s="111"/>
      <c r="BC119" s="111">
        <f ca="1">SUMIFS(
  m.vb[valor],
  m.vb[nucleo],$AV$1,
  m.vb[variavel],BC$7,
  m.vb[mes],$A119
)</f>
        <v>0</v>
      </c>
      <c r="BD119" s="111">
        <f ca="1">SUMIFS(
  m.vb[valor],
  m.vb[nucleo],$AV$1,
  m.vb[variavel],BD$7,
  m.vb[mes],$A119
)</f>
        <v>0</v>
      </c>
      <c r="BE119" s="111">
        <f ca="1">SUMIFS(
  m.vb[valor],
  m.vb[nucleo],$AV$1,
  m.vb[variavel],BE$7,
  m.vb[mes],$A119
)</f>
        <v>0</v>
      </c>
      <c r="BF119" s="111">
        <f ca="1">SUMIFS(
  m.vb[valor],
  m.vb[nucleo],$AV$1,
  m.vb[variavel],BF$7,
  m.vb[mes],$A119
)</f>
        <v>0</v>
      </c>
      <c r="BG119" s="111">
        <f ca="1">SUMIFS(
  m.vb[valor],
  m.vb[nucleo],$AV$1,
  m.vb[variavel],BG$7,
  m.vb[mes],$A119
)</f>
        <v>0</v>
      </c>
      <c r="BH119" s="122">
        <f>COUNTIFS(
    tb_estq[empresa], BH$6,
    tb_estq[Data da venda / reserva], "&gt;=" &amp; $A119,
    tb_estq[Data da venda / reserva], "&lt;"  &amp; EOMONTH($A119,0) + 1
)</f>
        <v>0</v>
      </c>
      <c r="BI119" s="123">
        <f ca="1">SUMIFS(tb_rec_uni[2030-09-01],
INDIRECT("tb_rec_uni[natureza]"),"pro.soluto",
INDIRECT("tb_rec_uni[empresa]"),BI$6)</f>
        <v>0</v>
      </c>
      <c r="BJ119" s="127"/>
      <c r="BK119" s="123">
        <f ca="1">SUMIFS(tb_rec_uni[2030-09-01],
INDIRECT("tb_rec_uni[natureza]"),"taxa.extra",
INDIRECT("tb_rec_uni[empresa]"),BK$6)</f>
        <v>0</v>
      </c>
      <c r="BL119" s="111"/>
      <c r="BM119" s="111">
        <f ca="1">SUMIFS(
  m.vb[valor],
  m.vb[nucleo],$BH$1,
  m.vb[variavel],BM$7,
  m.vb[mes],$A119
)</f>
        <v>0</v>
      </c>
      <c r="BN119" s="111">
        <f ca="1">SUMIFS(
  m.vb[valor],
  m.vb[nucleo],$BH$1,
  m.vb[variavel],BN$7,
  m.vb[mes],$A119
)</f>
        <v>0</v>
      </c>
      <c r="BO119" s="111">
        <f ca="1">SUMIFS(
  m.vb[valor],
  m.vb[nucleo],$BH$1,
  m.vb[variavel],BO$7,
  m.vb[mes],$A119
)</f>
        <v>0</v>
      </c>
      <c r="BP119" s="111">
        <f ca="1">SUMIFS(
  m.vb[valor],
  m.vb[nucleo],$BH$1,
  m.vb[variavel],BP$7,
  m.vb[mes],$A119
)</f>
        <v>0</v>
      </c>
      <c r="BQ119" s="111">
        <f ca="1">SUMIFS(
  m.vb[valor],
  m.vb[nucleo],$BH$1,
  m.vb[variavel],BQ$7,
  m.vb[mes],$A119
)</f>
        <v>0</v>
      </c>
      <c r="BR119" s="122">
        <f>COUNTIFS(
    tb_estq[empresa], BR$6,
    tb_estq[Data da venda / reserva], "&gt;=" &amp; $A119,
    tb_estq[Data da venda / reserva], "&lt;"  &amp; EOMONTH($A119,0) + 1
)</f>
        <v>0</v>
      </c>
      <c r="BS119" s="123">
        <f ca="1">SUMIFS(tb_rec_uni[2030-09-01],
INDIRECT("tb_rec_uni[natureza]"),"pro.soluto",
INDIRECT("tb_rec_uni[empresa]"),BS$6)</f>
        <v>0</v>
      </c>
      <c r="BT119" s="127">
        <f ca="1">SUMIFS(tb_rec_uni[2030-09-01],
INDIRECT("tb_rec_uni[natureza]"),"parcela.fin.total.ik",
INDIRECT("tb_rec_uni[empresa]"),BT$6)</f>
        <v>0</v>
      </c>
      <c r="BU119" s="123">
        <f ca="1">SUMIFS(tb_rec_uni[2030-09-01],
INDIRECT("tb_rec_uni[natureza]"),"taxa.extra",
INDIRECT("tb_rec_uni[empresa]"),BU$6)</f>
        <v>0</v>
      </c>
      <c r="BV119" s="111"/>
      <c r="BW119" s="111">
        <f ca="1">SUMIFS(
  m.vb[valor],
  m.vb[nucleo],$BR$1,
  m.vb[variavel],BW$7,
  m.vb[mes],$A119
)</f>
        <v>0</v>
      </c>
      <c r="BX119" s="111">
        <f ca="1">SUMIFS(
  m.vb[valor],
  m.vb[nucleo],$BR$1,
  m.vb[variavel],BX$7,
  m.vb[mes],$A119
)</f>
        <v>0</v>
      </c>
      <c r="BY119" s="111">
        <f ca="1">SUMIFS(
  m.vb[valor],
  m.vb[nucleo],$BR$1,
  m.vb[variavel],BY$7,
  m.vb[mes],$A119
)</f>
        <v>0</v>
      </c>
      <c r="BZ119" s="111">
        <f ca="1">SUMIFS(
  m.vb[valor],
  m.vb[nucleo],$BR$1,
  m.vb[variavel],BZ$7,
  m.vb[mes],$A119
)</f>
        <v>0</v>
      </c>
      <c r="CA119" s="111">
        <f ca="1">SUMIFS(
  m.vb[valor],
  m.vb[nucleo],$BR$1,
  m.vb[variavel],CA$7,
  m.vb[mes],$A119
)</f>
        <v>0</v>
      </c>
      <c r="CB119" s="122">
        <f>COUNTIFS(
    tb_estq[empresa], CB$6,
    tb_estq[Data da venda / reserva], "&gt;=" &amp; $A119,
    tb_estq[Data da venda / reserva], "&lt;"  &amp; EOMONTH($A119,0) + 1
)</f>
        <v>0</v>
      </c>
      <c r="CC119" s="123">
        <f ca="1">SUMIFS(tb_rec_uni[2030-09-01],
INDIRECT("tb_rec_uni[natureza]"),"pro.soluto",
INDIRECT("tb_rec_uni[empresa]"),CC$6)</f>
        <v>0</v>
      </c>
      <c r="CD119" s="123">
        <f ca="1">SUMIFS(tb_rec_uni[2030-09-01],
INDIRECT("tb_rec_uni[natureza]"),"repasse.cef.obra",
INDIRECT("tb_rec_uni[empresa]"),CD$6)</f>
        <v>0</v>
      </c>
      <c r="CE119" s="126">
        <f ca="1">SUMIFS(tb_rec_uni[2030-09-01],
INDIRECT("tb_rec_uni[natureza]"),"repasse.cef.terreno",
INDIRECT("tb_rec_uni[empresa]"),CE$6)</f>
        <v>0</v>
      </c>
      <c r="CF119" s="127"/>
      <c r="CG119" s="123">
        <f ca="1">SUMIFS(tb_rec_uni[2030-09-01],
INDIRECT("tb_rec_uni[natureza]"),"taxa.extra",
INDIRECT("tb_rec_uni[empresa]"),CG$6)</f>
        <v>0</v>
      </c>
      <c r="CH119" s="111"/>
      <c r="CI119" s="111">
        <f ca="1">SUMIFS(
  m.vb[valor],
  m.vb[nucleo],$CB$1,
  m.vb[variavel],CI$7,
  m.vb[mes],$A119
)</f>
        <v>0</v>
      </c>
      <c r="CJ119" s="111">
        <f ca="1">SUMIFS(
  m.vb[valor],
  m.vb[nucleo],$CB$1,
  m.vb[variavel],CJ$7,
  m.vb[mes],$A119
)</f>
        <v>0</v>
      </c>
      <c r="CK119" s="111">
        <f ca="1">SUMIFS(
  m.vb[valor],
  m.vb[nucleo],$CB$1,
  m.vb[variavel],CK$7,
  m.vb[mes],$A119
)</f>
        <v>0</v>
      </c>
      <c r="CL119" s="111">
        <f ca="1">SUMIFS(
  m.vb[valor],
  m.vb[nucleo],$CB$1,
  m.vb[variavel],CL$7,
  m.vb[mes],$A119
)</f>
        <v>0</v>
      </c>
      <c r="CM119" s="111">
        <f ca="1">SUMIFS(
  m.vb[valor],
  m.vb[nucleo],$CB$1,
  m.vb[variavel],CM$7,
  m.vb[mes],$A119
)</f>
        <v>0</v>
      </c>
      <c r="CN119" s="122">
        <f>COUNTIFS(
    tb_estq[empresa], CN$6,
    tb_estq[Data da venda / reserva], "&gt;=" &amp; $A119,
    tb_estq[Data da venda / reserva], "&lt;"  &amp; EOMONTH($A119,0) + 1
)</f>
        <v>0</v>
      </c>
      <c r="CO119" s="123">
        <f ca="1">SUMIFS(tb_rec_uni[2030-09-01],
INDIRECT("tb_rec_uni[natureza]"),"pro.soluto",
INDIRECT("tb_rec_uni[empresa]"),CO$6)</f>
        <v>0</v>
      </c>
      <c r="CP119" s="123">
        <f ca="1">SUMIFS(tb_rec_uni[2030-09-01],
INDIRECT("tb_rec_uni[natureza]"),"repasse.cef.obra",
INDIRECT("tb_rec_uni[empresa]"),CP$6)</f>
        <v>0</v>
      </c>
      <c r="CQ119" s="126">
        <f ca="1">SUMIFS(tb_rec_uni[2030-09-01],
INDIRECT("tb_rec_uni[natureza]"),"repasse.cef.terreno",
INDIRECT("tb_rec_uni[empresa]"),CQ$6)</f>
        <v>0</v>
      </c>
      <c r="CR119" s="127"/>
      <c r="CS119" s="123">
        <f ca="1">SUMIFS(tb_rec_uni[2030-09-01],
INDIRECT("tb_rec_uni[natureza]"),"taxa.extra",
INDIRECT("tb_rec_uni[empresa]"),CS$6)</f>
        <v>0</v>
      </c>
      <c r="CT119" s="111"/>
      <c r="CU119" s="111">
        <f ca="1">SUMIFS(
  m.vb[valor],
  m.vb[nucleo],$CN$1,
  m.vb[variavel],CU$7,
  m.vb[mes],$A119
)</f>
        <v>0</v>
      </c>
      <c r="CV119" s="111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11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11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4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21">
        <v>47757</v>
      </c>
      <c r="B120" s="122">
        <f>COUNTIFS(
    tb_estq[empresa], B$6,
    tb_estq[Data da venda / reserva], "&gt;=" &amp; $A120,
    tb_estq[Data da venda / reserva], "&lt;"  &amp; EOMONTH($A120,0) + 1
)</f>
        <v>0</v>
      </c>
      <c r="C120" s="123">
        <f ca="1">SUMIFS(tb_rec_uni[2030-10-01],
INDIRECT("tb_rec_uni[natureza]"),"pro.soluto",
INDIRECT("tb_rec_uni[empresa]"),C$6)</f>
        <v>0</v>
      </c>
      <c r="D120" s="123">
        <f ca="1">SUMIFS(tb_rec_uni[2030-10-01],
INDIRECT("tb_rec_uni[natureza]"),"repasse.cef.obra",
INDIRECT("tb_rec_uni[empresa]"),D$6)</f>
        <v>0</v>
      </c>
      <c r="E120" s="123">
        <f ca="1">SUMIFS(tb_rec_uni[2030-10-01],
INDIRECT("tb_rec_uni[natureza]"),"repasse.cef.terreno",
INDIRECT("tb_rec_uni[empresa]"),E$6)</f>
        <v>0</v>
      </c>
      <c r="F120" s="127"/>
      <c r="G120" s="123">
        <f ca="1">SUMIFS(tb_rec_uni[2030-10-01],
INDIRECT("tb_rec_uni[natureza]"),"taxa.extra",
INDIRECT("tb_rec_uni[empresa]"),G$6)</f>
        <v>0</v>
      </c>
      <c r="H120" s="111"/>
      <c r="I120" s="111">
        <f ca="1">SUMIFS(
  m.vb[valor],
  m.vb[nucleo],$B$1,
  m.vb[variavel],I$7,
  m.vb[mes],$A120
)</f>
        <v>0</v>
      </c>
      <c r="J120" s="111">
        <f ca="1">SUMIFS(
  m.vb[valor],
  m.vb[nucleo],$B$1,
  m.vb[variavel],J$7,
  m.vb[mes],$A120
)</f>
        <v>0</v>
      </c>
      <c r="K120" s="111">
        <f ca="1">SUMIFS(
  m.vb[valor],
  m.vb[nucleo],$B$1,
  m.vb[variavel],K$7,
  m.vb[mes],$A120
)</f>
        <v>0</v>
      </c>
      <c r="L120" s="111">
        <f ca="1">SUMIFS(
  m.vb[valor],
  m.vb[nucleo],$B$1,
  m.vb[variavel],L$7,
  m.vb[mes],$A120
)</f>
        <v>0</v>
      </c>
      <c r="M120" s="111">
        <f ca="1">SUMIFS(
  m.vb[valor],
  m.vb[nucleo],$B$1,
  m.vb[variavel],M$7,
  m.vb[mes],$A120
)</f>
        <v>0</v>
      </c>
      <c r="N120" s="122">
        <f>COUNTIFS(
    tb_estq[empresa], N$6,
    tb_estq[Data da venda / reserva], "&gt;=" &amp; $A120,
    tb_estq[Data da venda / reserva], "&lt;"  &amp; EOMONTH($A120,0) + 1
)</f>
        <v>0</v>
      </c>
      <c r="O120" s="123">
        <f ca="1">SUMIFS(tb_rec_uni[2030-10-01],
INDIRECT("tb_rec_uni[natureza]"),"pro.soluto",
INDIRECT("tb_rec_uni[empresa]"),O$6)</f>
        <v>0</v>
      </c>
      <c r="P120" s="123">
        <f ca="1">SUMIFS(tb_rec_uni[2030-10-01],
INDIRECT("tb_rec_uni[natureza]"),"repasse.cef.obra",
INDIRECT("tb_rec_uni[empresa]"),P$6)</f>
        <v>0</v>
      </c>
      <c r="Q120" s="123">
        <f ca="1">SUMIFS(tb_rec_uni[2030-10-01],
INDIRECT("tb_rec_uni[natureza]"),"repasse.cef.terreno",
INDIRECT("tb_rec_uni[empresa]"),Q$6)</f>
        <v>0</v>
      </c>
      <c r="R120" s="127"/>
      <c r="S120" s="123">
        <f ca="1">SUMIFS(tb_rec_uni[2030-10-01],
INDIRECT("tb_rec_uni[natureza]"),"taxa.extra",
INDIRECT("tb_rec_uni[empresa]"),S$6)</f>
        <v>0</v>
      </c>
      <c r="T120" s="111"/>
      <c r="U120" s="111">
        <f ca="1">SUMIFS(
  m.vb[valor],
  m.vb[nucleo],$N$1,
  m.vb[variavel],U$7,
  m.vb[mes],$A120
)</f>
        <v>0</v>
      </c>
      <c r="V120" s="111">
        <f ca="1">SUMIFS(
  m.vb[valor],
  m.vb[nucleo],$N$1,
  m.vb[variavel],V$7,
  m.vb[mes],$A120
)</f>
        <v>0</v>
      </c>
      <c r="W120" s="111">
        <f ca="1">SUMIFS(
  m.vb[valor],
  m.vb[nucleo],$N$1,
  m.vb[variavel],W$7,
  m.vb[mes],$A120
)</f>
        <v>0</v>
      </c>
      <c r="X120" s="111">
        <f ca="1">SUMIFS(
  m.vb[valor],
  m.vb[nucleo],$N$1,
  m.vb[variavel],X$7,
  m.vb[mes],$A120
)</f>
        <v>0</v>
      </c>
      <c r="Y120" s="111">
        <f ca="1">SUMIFS(
  m.vb[valor],
  m.vb[nucleo],$N$1,
  m.vb[variavel],Y$7,
  m.vb[mes],$A120
)</f>
        <v>0</v>
      </c>
      <c r="Z120" s="122">
        <f>COUNTIFS(
    tb_estq[empresa], Z$6,
    tb_estq[Data da venda / reserva], "&gt;=" &amp; $A120,
    tb_estq[Data da venda / reserva], "&lt;"  &amp; EOMONTH($A120,0) + 1
)</f>
        <v>0</v>
      </c>
      <c r="AA120" s="123">
        <f ca="1">SUMIFS(tb_rec_uni[2030-10-01],
INDIRECT("tb_rec_uni[natureza]"),"pro.soluto",
INDIRECT("tb_rec_uni[empresa]"),AA$6)</f>
        <v>0</v>
      </c>
      <c r="AB120" s="127">
        <f ca="1">SUMIFS(tb_rec_uni[2030-10-01],
INDIRECT("tb_rec_uni[natureza]"),"parcela.fin.total.ik",
INDIRECT("tb_rec_uni[empresa]"),AB$6)</f>
        <v>0</v>
      </c>
      <c r="AC120" s="123">
        <f ca="1">SUMIFS(tb_rec_uni[2030-10-01],
INDIRECT("tb_rec_uni[natureza]"),"taxa.extra",
INDIRECT("tb_rec_uni[empresa]"),AC$6)</f>
        <v>0</v>
      </c>
      <c r="AD120" s="111"/>
      <c r="AE120" s="111">
        <f ca="1">SUMIFS(
  m.vb[valor],
  m.vb[nucleo],$Z$1,
  m.vb[variavel],AE$7,
  m.vb[mes],$A120
)</f>
        <v>0</v>
      </c>
      <c r="AF120" s="111">
        <f ca="1">SUMIFS(
  m.vb[valor],
  m.vb[nucleo],$Z$1,
  m.vb[variavel],AF$7,
  m.vb[mes],$A120
)</f>
        <v>0</v>
      </c>
      <c r="AG120" s="111">
        <f ca="1">SUMIFS(
  m.vb[valor],
  m.vb[nucleo],$Z$1,
  m.vb[variavel],AG$7,
  m.vb[mes],$A120
)</f>
        <v>0</v>
      </c>
      <c r="AH120" s="111">
        <f ca="1">SUMIFS(
  m.vb[valor],
  m.vb[nucleo],$Z$1,
  m.vb[variavel],AH$7,
  m.vb[mes],$A120
)</f>
        <v>0</v>
      </c>
      <c r="AI120" s="111">
        <f ca="1">SUMIFS(
  m.vb[valor],
  m.vb[nucleo],$Z$1,
  m.vb[variavel],AI$7,
  m.vb[mes],$A120
)</f>
        <v>0</v>
      </c>
      <c r="AJ120" s="122">
        <f>COUNTIFS(
    tb_estq[empresa], AJ$6,
    tb_estq[Data da venda / reserva], "&gt;=" &amp; $A120,
    tb_estq[Data da venda / reserva], "&lt;"  &amp; EOMONTH($A120,0) + 1
)</f>
        <v>0</v>
      </c>
      <c r="AK120" s="123">
        <f ca="1">SUMIFS(tb_rec_uni[2030-10-01],
INDIRECT("tb_rec_uni[natureza]"),"pro.soluto",
INDIRECT("tb_rec_uni[empresa]"),AK$6)</f>
        <v>0</v>
      </c>
      <c r="AL120" s="123">
        <f ca="1">SUMIFS(tb_rec_uni[2030-10-01],
INDIRECT("tb_rec_uni[natureza]"),"repasse.cef.obra",
INDIRECT("tb_rec_uni[empresa]"),AL$6)</f>
        <v>0</v>
      </c>
      <c r="AM120" s="126">
        <f ca="1">SUMIFS(tb_rec_uni[2030-10-01],
INDIRECT("tb_rec_uni[natureza]"),"repasse.cef.terreno",
INDIRECT("tb_rec_uni[empresa]"),AM$6)</f>
        <v>0</v>
      </c>
      <c r="AN120" s="127"/>
      <c r="AO120" s="123">
        <f ca="1">SUMIFS(tb_rec_uni[2030-10-01],
INDIRECT("tb_rec_uni[natureza]"),"taxa.extra",
INDIRECT("tb_rec_uni[empresa]"),AO$6)</f>
        <v>0</v>
      </c>
      <c r="AP120" s="111"/>
      <c r="AQ120" s="111">
        <f ca="1">SUMIFS(
  m.vb[valor],
  m.vb[nucleo],$AJ$1,
  m.vb[variavel],AQ$7,
  m.vb[mes],$A120
)</f>
        <v>0</v>
      </c>
      <c r="AR120" s="111">
        <f ca="1">SUMIFS(
  m.vb[valor],
  m.vb[nucleo],$AJ$1,
  m.vb[variavel],AR$7,
  m.vb[mes],$A120
)</f>
        <v>0</v>
      </c>
      <c r="AS120" s="111">
        <f ca="1">SUMIFS(
  m.vb[valor],
  m.vb[nucleo],$AJ$1,
  m.vb[variavel],AS$7,
  m.vb[mes],$A120
)</f>
        <v>0</v>
      </c>
      <c r="AT120" s="111">
        <f ca="1">SUMIFS(
  m.vb[valor],
  m.vb[nucleo],$AJ$1,
  m.vb[variavel],AT$7,
  m.vb[mes],$A120
)</f>
        <v>0</v>
      </c>
      <c r="AU120" s="111">
        <f ca="1">SUMIFS(
  m.vb[valor],
  m.vb[nucleo],$AJ$1,
  m.vb[variavel],AU$7,
  m.vb[mes],$A120
)</f>
        <v>0</v>
      </c>
      <c r="AV120" s="122">
        <f>COUNTIFS(
    tb_estq[empresa], AV$6,
    tb_estq[Data da venda / reserva], "&gt;=" &amp; $A120,
    tb_estq[Data da venda / reserva], "&lt;"  &amp; EOMONTH($A120,0) + 1
)</f>
        <v>0</v>
      </c>
      <c r="AW120" s="123">
        <f ca="1">SUMIFS(tb_rec_uni[2030-10-01],
INDIRECT("tb_rec_uni[natureza]"),"pro.soluto",
INDIRECT("tb_rec_uni[empresa]"),AW$6)</f>
        <v>0</v>
      </c>
      <c r="AX120" s="123">
        <f ca="1">SUMIFS(tb_rec_uni[2030-10-01],
INDIRECT("tb_rec_uni[natureza]"),"repasse.cef.obra",
INDIRECT("tb_rec_uni[empresa]"),AX$6)</f>
        <v>0</v>
      </c>
      <c r="AY120" s="126">
        <f ca="1">SUMIFS(tb_rec_uni[2030-10-01],
INDIRECT("tb_rec_uni[natureza]"),"repasse.cef.terreno",
INDIRECT("tb_rec_uni[empresa]"),AY$6)</f>
        <v>0</v>
      </c>
      <c r="AZ120" s="127"/>
      <c r="BA120" s="123">
        <f ca="1">SUMIFS(tb_rec_uni[2030-10-01],
INDIRECT("tb_rec_uni[natureza]"),"taxa.extra",
INDIRECT("tb_rec_uni[empresa]"),BA$6)</f>
        <v>0</v>
      </c>
      <c r="BB120" s="111"/>
      <c r="BC120" s="111">
        <f ca="1">SUMIFS(
  m.vb[valor],
  m.vb[nucleo],$AV$1,
  m.vb[variavel],BC$7,
  m.vb[mes],$A120
)</f>
        <v>0</v>
      </c>
      <c r="BD120" s="111">
        <f ca="1">SUMIFS(
  m.vb[valor],
  m.vb[nucleo],$AV$1,
  m.vb[variavel],BD$7,
  m.vb[mes],$A120
)</f>
        <v>0</v>
      </c>
      <c r="BE120" s="111">
        <f ca="1">SUMIFS(
  m.vb[valor],
  m.vb[nucleo],$AV$1,
  m.vb[variavel],BE$7,
  m.vb[mes],$A120
)</f>
        <v>0</v>
      </c>
      <c r="BF120" s="111">
        <f ca="1">SUMIFS(
  m.vb[valor],
  m.vb[nucleo],$AV$1,
  m.vb[variavel],BF$7,
  m.vb[mes],$A120
)</f>
        <v>0</v>
      </c>
      <c r="BG120" s="111">
        <f ca="1">SUMIFS(
  m.vb[valor],
  m.vb[nucleo],$AV$1,
  m.vb[variavel],BG$7,
  m.vb[mes],$A120
)</f>
        <v>0</v>
      </c>
      <c r="BH120" s="122">
        <f>COUNTIFS(
    tb_estq[empresa], BH$6,
    tb_estq[Data da venda / reserva], "&gt;=" &amp; $A120,
    tb_estq[Data da venda / reserva], "&lt;"  &amp; EOMONTH($A120,0) + 1
)</f>
        <v>0</v>
      </c>
      <c r="BI120" s="123">
        <f ca="1">SUMIFS(tb_rec_uni[2030-10-01],
INDIRECT("tb_rec_uni[natureza]"),"pro.soluto",
INDIRECT("tb_rec_uni[empresa]"),BI$6)</f>
        <v>0</v>
      </c>
      <c r="BJ120" s="127"/>
      <c r="BK120" s="123">
        <f ca="1">SUMIFS(tb_rec_uni[2030-10-01],
INDIRECT("tb_rec_uni[natureza]"),"taxa.extra",
INDIRECT("tb_rec_uni[empresa]"),BK$6)</f>
        <v>0</v>
      </c>
      <c r="BL120" s="111"/>
      <c r="BM120" s="111">
        <f ca="1">SUMIFS(
  m.vb[valor],
  m.vb[nucleo],$BH$1,
  m.vb[variavel],BM$7,
  m.vb[mes],$A120
)</f>
        <v>0</v>
      </c>
      <c r="BN120" s="111">
        <f ca="1">SUMIFS(
  m.vb[valor],
  m.vb[nucleo],$BH$1,
  m.vb[variavel],BN$7,
  m.vb[mes],$A120
)</f>
        <v>0</v>
      </c>
      <c r="BO120" s="111">
        <f ca="1">SUMIFS(
  m.vb[valor],
  m.vb[nucleo],$BH$1,
  m.vb[variavel],BO$7,
  m.vb[mes],$A120
)</f>
        <v>0</v>
      </c>
      <c r="BP120" s="111">
        <f ca="1">SUMIFS(
  m.vb[valor],
  m.vb[nucleo],$BH$1,
  m.vb[variavel],BP$7,
  m.vb[mes],$A120
)</f>
        <v>0</v>
      </c>
      <c r="BQ120" s="111">
        <f ca="1">SUMIFS(
  m.vb[valor],
  m.vb[nucleo],$BH$1,
  m.vb[variavel],BQ$7,
  m.vb[mes],$A120
)</f>
        <v>0</v>
      </c>
      <c r="BR120" s="122">
        <f>COUNTIFS(
    tb_estq[empresa], BR$6,
    tb_estq[Data da venda / reserva], "&gt;=" &amp; $A120,
    tb_estq[Data da venda / reserva], "&lt;"  &amp; EOMONTH($A120,0) + 1
)</f>
        <v>0</v>
      </c>
      <c r="BS120" s="123">
        <f ca="1">SUMIFS(tb_rec_uni[2030-10-01],
INDIRECT("tb_rec_uni[natureza]"),"pro.soluto",
INDIRECT("tb_rec_uni[empresa]"),BS$6)</f>
        <v>0</v>
      </c>
      <c r="BT120" s="127">
        <f ca="1">SUMIFS(tb_rec_uni[2030-10-01],
INDIRECT("tb_rec_uni[natureza]"),"parcela.fin.total.ik",
INDIRECT("tb_rec_uni[empresa]"),BT$6)</f>
        <v>0</v>
      </c>
      <c r="BU120" s="123">
        <f ca="1">SUMIFS(tb_rec_uni[2030-10-01],
INDIRECT("tb_rec_uni[natureza]"),"taxa.extra",
INDIRECT("tb_rec_uni[empresa]"),BU$6)</f>
        <v>0</v>
      </c>
      <c r="BV120" s="111"/>
      <c r="BW120" s="111">
        <f ca="1">SUMIFS(
  m.vb[valor],
  m.vb[nucleo],$BR$1,
  m.vb[variavel],BW$7,
  m.vb[mes],$A120
)</f>
        <v>0</v>
      </c>
      <c r="BX120" s="111">
        <f ca="1">SUMIFS(
  m.vb[valor],
  m.vb[nucleo],$BR$1,
  m.vb[variavel],BX$7,
  m.vb[mes],$A120
)</f>
        <v>0</v>
      </c>
      <c r="BY120" s="111">
        <f ca="1">SUMIFS(
  m.vb[valor],
  m.vb[nucleo],$BR$1,
  m.vb[variavel],BY$7,
  m.vb[mes],$A120
)</f>
        <v>0</v>
      </c>
      <c r="BZ120" s="111">
        <f ca="1">SUMIFS(
  m.vb[valor],
  m.vb[nucleo],$BR$1,
  m.vb[variavel],BZ$7,
  m.vb[mes],$A120
)</f>
        <v>0</v>
      </c>
      <c r="CA120" s="111">
        <f ca="1">SUMIFS(
  m.vb[valor],
  m.vb[nucleo],$BR$1,
  m.vb[variavel],CA$7,
  m.vb[mes],$A120
)</f>
        <v>0</v>
      </c>
      <c r="CB120" s="122">
        <f>COUNTIFS(
    tb_estq[empresa], CB$6,
    tb_estq[Data da venda / reserva], "&gt;=" &amp; $A120,
    tb_estq[Data da venda / reserva], "&lt;"  &amp; EOMONTH($A120,0) + 1
)</f>
        <v>0</v>
      </c>
      <c r="CC120" s="123">
        <f ca="1">SUMIFS(tb_rec_uni[2030-10-01],
INDIRECT("tb_rec_uni[natureza]"),"pro.soluto",
INDIRECT("tb_rec_uni[empresa]"),CC$6)</f>
        <v>0</v>
      </c>
      <c r="CD120" s="123">
        <f ca="1">SUMIFS(tb_rec_uni[2030-10-01],
INDIRECT("tb_rec_uni[natureza]"),"repasse.cef.obra",
INDIRECT("tb_rec_uni[empresa]"),CD$6)</f>
        <v>0</v>
      </c>
      <c r="CE120" s="126">
        <f ca="1">SUMIFS(tb_rec_uni[2030-10-01],
INDIRECT("tb_rec_uni[natureza]"),"repasse.cef.terreno",
INDIRECT("tb_rec_uni[empresa]"),CE$6)</f>
        <v>0</v>
      </c>
      <c r="CF120" s="127"/>
      <c r="CG120" s="123">
        <f ca="1">SUMIFS(tb_rec_uni[2030-10-01],
INDIRECT("tb_rec_uni[natureza]"),"taxa.extra",
INDIRECT("tb_rec_uni[empresa]"),CG$6)</f>
        <v>0</v>
      </c>
      <c r="CH120" s="111"/>
      <c r="CI120" s="111">
        <f ca="1">SUMIFS(
  m.vb[valor],
  m.vb[nucleo],$CB$1,
  m.vb[variavel],CI$7,
  m.vb[mes],$A120
)</f>
        <v>0</v>
      </c>
      <c r="CJ120" s="111">
        <f ca="1">SUMIFS(
  m.vb[valor],
  m.vb[nucleo],$CB$1,
  m.vb[variavel],CJ$7,
  m.vb[mes],$A120
)</f>
        <v>0</v>
      </c>
      <c r="CK120" s="111">
        <f ca="1">SUMIFS(
  m.vb[valor],
  m.vb[nucleo],$CB$1,
  m.vb[variavel],CK$7,
  m.vb[mes],$A120
)</f>
        <v>0</v>
      </c>
      <c r="CL120" s="111">
        <f ca="1">SUMIFS(
  m.vb[valor],
  m.vb[nucleo],$CB$1,
  m.vb[variavel],CL$7,
  m.vb[mes],$A120
)</f>
        <v>0</v>
      </c>
      <c r="CM120" s="111">
        <f ca="1">SUMIFS(
  m.vb[valor],
  m.vb[nucleo],$CB$1,
  m.vb[variavel],CM$7,
  m.vb[mes],$A120
)</f>
        <v>0</v>
      </c>
      <c r="CN120" s="122">
        <f>COUNTIFS(
    tb_estq[empresa], CN$6,
    tb_estq[Data da venda / reserva], "&gt;=" &amp; $A120,
    tb_estq[Data da venda / reserva], "&lt;"  &amp; EOMONTH($A120,0) + 1
)</f>
        <v>0</v>
      </c>
      <c r="CO120" s="123">
        <f ca="1">SUMIFS(tb_rec_uni[2030-10-01],
INDIRECT("tb_rec_uni[natureza]"),"pro.soluto",
INDIRECT("tb_rec_uni[empresa]"),CO$6)</f>
        <v>0</v>
      </c>
      <c r="CP120" s="123">
        <f ca="1">SUMIFS(tb_rec_uni[2030-10-01],
INDIRECT("tb_rec_uni[natureza]"),"repasse.cef.obra",
INDIRECT("tb_rec_uni[empresa]"),CP$6)</f>
        <v>0</v>
      </c>
      <c r="CQ120" s="126">
        <f ca="1">SUMIFS(tb_rec_uni[2030-10-01],
INDIRECT("tb_rec_uni[natureza]"),"repasse.cef.terreno",
INDIRECT("tb_rec_uni[empresa]"),CQ$6)</f>
        <v>0</v>
      </c>
      <c r="CR120" s="127"/>
      <c r="CS120" s="123">
        <f ca="1">SUMIFS(tb_rec_uni[2030-10-01],
INDIRECT("tb_rec_uni[natureza]"),"taxa.extra",
INDIRECT("tb_rec_uni[empresa]"),CS$6)</f>
        <v>0</v>
      </c>
      <c r="CT120" s="111"/>
      <c r="CU120" s="111">
        <f ca="1">SUMIFS(
  m.vb[valor],
  m.vb[nucleo],$CN$1,
  m.vb[variavel],CU$7,
  m.vb[mes],$A120
)</f>
        <v>0</v>
      </c>
      <c r="CV120" s="111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11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11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4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21">
        <v>47788</v>
      </c>
      <c r="B121" s="122">
        <f>COUNTIFS(
    tb_estq[empresa], B$6,
    tb_estq[Data da venda / reserva], "&gt;=" &amp; $A121,
    tb_estq[Data da venda / reserva], "&lt;"  &amp; EOMONTH($A121,0) + 1
)</f>
        <v>0</v>
      </c>
      <c r="C121" s="123">
        <f ca="1">SUMIFS(tb_rec_uni[2030-11-01],
INDIRECT("tb_rec_uni[natureza]"),"pro.soluto",
INDIRECT("tb_rec_uni[empresa]"),C$6)</f>
        <v>0</v>
      </c>
      <c r="D121" s="123">
        <f ca="1">SUMIFS(tb_rec_uni[2030-11-01],
INDIRECT("tb_rec_uni[natureza]"),"repasse.cef.obra",
INDIRECT("tb_rec_uni[empresa]"),D$6)</f>
        <v>0</v>
      </c>
      <c r="E121" s="123">
        <f ca="1">SUMIFS(tb_rec_uni[2030-11-01],
INDIRECT("tb_rec_uni[natureza]"),"repasse.cef.terreno",
INDIRECT("tb_rec_uni[empresa]"),E$6)</f>
        <v>0</v>
      </c>
      <c r="F121" s="127"/>
      <c r="G121" s="123">
        <f ca="1">SUMIFS(tb_rec_uni[2030-11-01],
INDIRECT("tb_rec_uni[natureza]"),"taxa.extra",
INDIRECT("tb_rec_uni[empresa]"),G$6)</f>
        <v>0</v>
      </c>
      <c r="H121" s="111"/>
      <c r="I121" s="111">
        <f ca="1">SUMIFS(
  m.vb[valor],
  m.vb[nucleo],$B$1,
  m.vb[variavel],I$7,
  m.vb[mes],$A121
)</f>
        <v>0</v>
      </c>
      <c r="J121" s="111">
        <f ca="1">SUMIFS(
  m.vb[valor],
  m.vb[nucleo],$B$1,
  m.vb[variavel],J$7,
  m.vb[mes],$A121
)</f>
        <v>0</v>
      </c>
      <c r="K121" s="111">
        <f ca="1">SUMIFS(
  m.vb[valor],
  m.vb[nucleo],$B$1,
  m.vb[variavel],K$7,
  m.vb[mes],$A121
)</f>
        <v>0</v>
      </c>
      <c r="L121" s="111">
        <f ca="1">SUMIFS(
  m.vb[valor],
  m.vb[nucleo],$B$1,
  m.vb[variavel],L$7,
  m.vb[mes],$A121
)</f>
        <v>0</v>
      </c>
      <c r="M121" s="111">
        <f ca="1">SUMIFS(
  m.vb[valor],
  m.vb[nucleo],$B$1,
  m.vb[variavel],M$7,
  m.vb[mes],$A121
)</f>
        <v>0</v>
      </c>
      <c r="N121" s="122">
        <f>COUNTIFS(
    tb_estq[empresa], N$6,
    tb_estq[Data da venda / reserva], "&gt;=" &amp; $A121,
    tb_estq[Data da venda / reserva], "&lt;"  &amp; EOMONTH($A121,0) + 1
)</f>
        <v>0</v>
      </c>
      <c r="O121" s="123">
        <f ca="1">SUMIFS(tb_rec_uni[2030-11-01],
INDIRECT("tb_rec_uni[natureza]"),"pro.soluto",
INDIRECT("tb_rec_uni[empresa]"),O$6)</f>
        <v>0</v>
      </c>
      <c r="P121" s="123">
        <f ca="1">SUMIFS(tb_rec_uni[2030-11-01],
INDIRECT("tb_rec_uni[natureza]"),"repasse.cef.obra",
INDIRECT("tb_rec_uni[empresa]"),P$6)</f>
        <v>0</v>
      </c>
      <c r="Q121" s="123">
        <f ca="1">SUMIFS(tb_rec_uni[2030-11-01],
INDIRECT("tb_rec_uni[natureza]"),"repasse.cef.terreno",
INDIRECT("tb_rec_uni[empresa]"),Q$6)</f>
        <v>0</v>
      </c>
      <c r="R121" s="127"/>
      <c r="S121" s="123">
        <f ca="1">SUMIFS(tb_rec_uni[2030-11-01],
INDIRECT("tb_rec_uni[natureza]"),"taxa.extra",
INDIRECT("tb_rec_uni[empresa]"),S$6)</f>
        <v>0</v>
      </c>
      <c r="T121" s="111"/>
      <c r="U121" s="111">
        <f ca="1">SUMIFS(
  m.vb[valor],
  m.vb[nucleo],$N$1,
  m.vb[variavel],U$7,
  m.vb[mes],$A121
)</f>
        <v>0</v>
      </c>
      <c r="V121" s="111">
        <f ca="1">SUMIFS(
  m.vb[valor],
  m.vb[nucleo],$N$1,
  m.vb[variavel],V$7,
  m.vb[mes],$A121
)</f>
        <v>0</v>
      </c>
      <c r="W121" s="111">
        <f ca="1">SUMIFS(
  m.vb[valor],
  m.vb[nucleo],$N$1,
  m.vb[variavel],W$7,
  m.vb[mes],$A121
)</f>
        <v>0</v>
      </c>
      <c r="X121" s="111">
        <f ca="1">SUMIFS(
  m.vb[valor],
  m.vb[nucleo],$N$1,
  m.vb[variavel],X$7,
  m.vb[mes],$A121
)</f>
        <v>0</v>
      </c>
      <c r="Y121" s="111">
        <f ca="1">SUMIFS(
  m.vb[valor],
  m.vb[nucleo],$N$1,
  m.vb[variavel],Y$7,
  m.vb[mes],$A121
)</f>
        <v>0</v>
      </c>
      <c r="Z121" s="122">
        <f>COUNTIFS(
    tb_estq[empresa], Z$6,
    tb_estq[Data da venda / reserva], "&gt;=" &amp; $A121,
    tb_estq[Data da venda / reserva], "&lt;"  &amp; EOMONTH($A121,0) + 1
)</f>
        <v>0</v>
      </c>
      <c r="AA121" s="123">
        <f ca="1">SUMIFS(tb_rec_uni[2030-11-01],
INDIRECT("tb_rec_uni[natureza]"),"pro.soluto",
INDIRECT("tb_rec_uni[empresa]"),AA$6)</f>
        <v>0</v>
      </c>
      <c r="AB121" s="127">
        <f ca="1">SUMIFS(tb_rec_uni[2030-11-01],
INDIRECT("tb_rec_uni[natureza]"),"parcela.fin.total.ik",
INDIRECT("tb_rec_uni[empresa]"),AB$6)</f>
        <v>0</v>
      </c>
      <c r="AC121" s="123">
        <f ca="1">SUMIFS(tb_rec_uni[2030-11-01],
INDIRECT("tb_rec_uni[natureza]"),"taxa.extra",
INDIRECT("tb_rec_uni[empresa]"),AC$6)</f>
        <v>0</v>
      </c>
      <c r="AD121" s="111"/>
      <c r="AE121" s="111">
        <f ca="1">SUMIFS(
  m.vb[valor],
  m.vb[nucleo],$Z$1,
  m.vb[variavel],AE$7,
  m.vb[mes],$A121
)</f>
        <v>0</v>
      </c>
      <c r="AF121" s="111">
        <f ca="1">SUMIFS(
  m.vb[valor],
  m.vb[nucleo],$Z$1,
  m.vb[variavel],AF$7,
  m.vb[mes],$A121
)</f>
        <v>0</v>
      </c>
      <c r="AG121" s="111">
        <f ca="1">SUMIFS(
  m.vb[valor],
  m.vb[nucleo],$Z$1,
  m.vb[variavel],AG$7,
  m.vb[mes],$A121
)</f>
        <v>0</v>
      </c>
      <c r="AH121" s="111">
        <f ca="1">SUMIFS(
  m.vb[valor],
  m.vb[nucleo],$Z$1,
  m.vb[variavel],AH$7,
  m.vb[mes],$A121
)</f>
        <v>0</v>
      </c>
      <c r="AI121" s="111">
        <f ca="1">SUMIFS(
  m.vb[valor],
  m.vb[nucleo],$Z$1,
  m.vb[variavel],AI$7,
  m.vb[mes],$A121
)</f>
        <v>0</v>
      </c>
      <c r="AJ121" s="122">
        <f>COUNTIFS(
    tb_estq[empresa], AJ$6,
    tb_estq[Data da venda / reserva], "&gt;=" &amp; $A121,
    tb_estq[Data da venda / reserva], "&lt;"  &amp; EOMONTH($A121,0) + 1
)</f>
        <v>0</v>
      </c>
      <c r="AK121" s="123">
        <f ca="1">SUMIFS(tb_rec_uni[2030-11-01],
INDIRECT("tb_rec_uni[natureza]"),"pro.soluto",
INDIRECT("tb_rec_uni[empresa]"),AK$6)</f>
        <v>0</v>
      </c>
      <c r="AL121" s="123">
        <f ca="1">SUMIFS(tb_rec_uni[2030-11-01],
INDIRECT("tb_rec_uni[natureza]"),"repasse.cef.obra",
INDIRECT("tb_rec_uni[empresa]"),AL$6)</f>
        <v>0</v>
      </c>
      <c r="AM121" s="126">
        <f ca="1">SUMIFS(tb_rec_uni[2030-11-01],
INDIRECT("tb_rec_uni[natureza]"),"repasse.cef.terreno",
INDIRECT("tb_rec_uni[empresa]"),AM$6)</f>
        <v>0</v>
      </c>
      <c r="AN121" s="127"/>
      <c r="AO121" s="123">
        <f ca="1">SUMIFS(tb_rec_uni[2030-11-01],
INDIRECT("tb_rec_uni[natureza]"),"taxa.extra",
INDIRECT("tb_rec_uni[empresa]"),AO$6)</f>
        <v>0</v>
      </c>
      <c r="AP121" s="111"/>
      <c r="AQ121" s="111">
        <f ca="1">SUMIFS(
  m.vb[valor],
  m.vb[nucleo],$AJ$1,
  m.vb[variavel],AQ$7,
  m.vb[mes],$A121
)</f>
        <v>0</v>
      </c>
      <c r="AR121" s="111">
        <f ca="1">SUMIFS(
  m.vb[valor],
  m.vb[nucleo],$AJ$1,
  m.vb[variavel],AR$7,
  m.vb[mes],$A121
)</f>
        <v>0</v>
      </c>
      <c r="AS121" s="111">
        <f ca="1">SUMIFS(
  m.vb[valor],
  m.vb[nucleo],$AJ$1,
  m.vb[variavel],AS$7,
  m.vb[mes],$A121
)</f>
        <v>0</v>
      </c>
      <c r="AT121" s="111">
        <f ca="1">SUMIFS(
  m.vb[valor],
  m.vb[nucleo],$AJ$1,
  m.vb[variavel],AT$7,
  m.vb[mes],$A121
)</f>
        <v>0</v>
      </c>
      <c r="AU121" s="111">
        <f ca="1">SUMIFS(
  m.vb[valor],
  m.vb[nucleo],$AJ$1,
  m.vb[variavel],AU$7,
  m.vb[mes],$A121
)</f>
        <v>0</v>
      </c>
      <c r="AV121" s="122">
        <f>COUNTIFS(
    tb_estq[empresa], AV$6,
    tb_estq[Data da venda / reserva], "&gt;=" &amp; $A121,
    tb_estq[Data da venda / reserva], "&lt;"  &amp; EOMONTH($A121,0) + 1
)</f>
        <v>0</v>
      </c>
      <c r="AW121" s="123">
        <f ca="1">SUMIFS(tb_rec_uni[2030-11-01],
INDIRECT("tb_rec_uni[natureza]"),"pro.soluto",
INDIRECT("tb_rec_uni[empresa]"),AW$6)</f>
        <v>0</v>
      </c>
      <c r="AX121" s="123">
        <f ca="1">SUMIFS(tb_rec_uni[2030-11-01],
INDIRECT("tb_rec_uni[natureza]"),"repasse.cef.obra",
INDIRECT("tb_rec_uni[empresa]"),AX$6)</f>
        <v>0</v>
      </c>
      <c r="AY121" s="126">
        <f ca="1">SUMIFS(tb_rec_uni[2030-11-01],
INDIRECT("tb_rec_uni[natureza]"),"repasse.cef.terreno",
INDIRECT("tb_rec_uni[empresa]"),AY$6)</f>
        <v>0</v>
      </c>
      <c r="AZ121" s="127"/>
      <c r="BA121" s="123">
        <f ca="1">SUMIFS(tb_rec_uni[2030-11-01],
INDIRECT("tb_rec_uni[natureza]"),"taxa.extra",
INDIRECT("tb_rec_uni[empresa]"),BA$6)</f>
        <v>0</v>
      </c>
      <c r="BB121" s="111"/>
      <c r="BC121" s="111">
        <f ca="1">SUMIFS(
  m.vb[valor],
  m.vb[nucleo],$AV$1,
  m.vb[variavel],BC$7,
  m.vb[mes],$A121
)</f>
        <v>0</v>
      </c>
      <c r="BD121" s="111">
        <f ca="1">SUMIFS(
  m.vb[valor],
  m.vb[nucleo],$AV$1,
  m.vb[variavel],BD$7,
  m.vb[mes],$A121
)</f>
        <v>0</v>
      </c>
      <c r="BE121" s="111">
        <f ca="1">SUMIFS(
  m.vb[valor],
  m.vb[nucleo],$AV$1,
  m.vb[variavel],BE$7,
  m.vb[mes],$A121
)</f>
        <v>0</v>
      </c>
      <c r="BF121" s="111">
        <f ca="1">SUMIFS(
  m.vb[valor],
  m.vb[nucleo],$AV$1,
  m.vb[variavel],BF$7,
  m.vb[mes],$A121
)</f>
        <v>0</v>
      </c>
      <c r="BG121" s="111">
        <f ca="1">SUMIFS(
  m.vb[valor],
  m.vb[nucleo],$AV$1,
  m.vb[variavel],BG$7,
  m.vb[mes],$A121
)</f>
        <v>0</v>
      </c>
      <c r="BH121" s="122">
        <f>COUNTIFS(
    tb_estq[empresa], BH$6,
    tb_estq[Data da venda / reserva], "&gt;=" &amp; $A121,
    tb_estq[Data da venda / reserva], "&lt;"  &amp; EOMONTH($A121,0) + 1
)</f>
        <v>0</v>
      </c>
      <c r="BI121" s="123">
        <f ca="1">SUMIFS(tb_rec_uni[2030-11-01],
INDIRECT("tb_rec_uni[natureza]"),"pro.soluto",
INDIRECT("tb_rec_uni[empresa]"),BI$6)</f>
        <v>0</v>
      </c>
      <c r="BJ121" s="127"/>
      <c r="BK121" s="123">
        <f ca="1">SUMIFS(tb_rec_uni[2030-11-01],
INDIRECT("tb_rec_uni[natureza]"),"taxa.extra",
INDIRECT("tb_rec_uni[empresa]"),BK$6)</f>
        <v>0</v>
      </c>
      <c r="BL121" s="111"/>
      <c r="BM121" s="111">
        <f ca="1">SUMIFS(
  m.vb[valor],
  m.vb[nucleo],$BH$1,
  m.vb[variavel],BM$7,
  m.vb[mes],$A121
)</f>
        <v>0</v>
      </c>
      <c r="BN121" s="111">
        <f ca="1">SUMIFS(
  m.vb[valor],
  m.vb[nucleo],$BH$1,
  m.vb[variavel],BN$7,
  m.vb[mes],$A121
)</f>
        <v>0</v>
      </c>
      <c r="BO121" s="111">
        <f ca="1">SUMIFS(
  m.vb[valor],
  m.vb[nucleo],$BH$1,
  m.vb[variavel],BO$7,
  m.vb[mes],$A121
)</f>
        <v>0</v>
      </c>
      <c r="BP121" s="111">
        <f ca="1">SUMIFS(
  m.vb[valor],
  m.vb[nucleo],$BH$1,
  m.vb[variavel],BP$7,
  m.vb[mes],$A121
)</f>
        <v>0</v>
      </c>
      <c r="BQ121" s="111">
        <f ca="1">SUMIFS(
  m.vb[valor],
  m.vb[nucleo],$BH$1,
  m.vb[variavel],BQ$7,
  m.vb[mes],$A121
)</f>
        <v>0</v>
      </c>
      <c r="BR121" s="122">
        <f>COUNTIFS(
    tb_estq[empresa], BR$6,
    tb_estq[Data da venda / reserva], "&gt;=" &amp; $A121,
    tb_estq[Data da venda / reserva], "&lt;"  &amp; EOMONTH($A121,0) + 1
)</f>
        <v>0</v>
      </c>
      <c r="BS121" s="123">
        <f ca="1">SUMIFS(tb_rec_uni[2030-11-01],
INDIRECT("tb_rec_uni[natureza]"),"pro.soluto",
INDIRECT("tb_rec_uni[empresa]"),BS$6)</f>
        <v>0</v>
      </c>
      <c r="BT121" s="127">
        <f ca="1">SUMIFS(tb_rec_uni[2030-11-01],
INDIRECT("tb_rec_uni[natureza]"),"parcela.fin.total.ik",
INDIRECT("tb_rec_uni[empresa]"),BT$6)</f>
        <v>0</v>
      </c>
      <c r="BU121" s="123">
        <f ca="1">SUMIFS(tb_rec_uni[2030-11-01],
INDIRECT("tb_rec_uni[natureza]"),"taxa.extra",
INDIRECT("tb_rec_uni[empresa]"),BU$6)</f>
        <v>0</v>
      </c>
      <c r="BV121" s="111"/>
      <c r="BW121" s="111">
        <f ca="1">SUMIFS(
  m.vb[valor],
  m.vb[nucleo],$BR$1,
  m.vb[variavel],BW$7,
  m.vb[mes],$A121
)</f>
        <v>0</v>
      </c>
      <c r="BX121" s="111">
        <f ca="1">SUMIFS(
  m.vb[valor],
  m.vb[nucleo],$BR$1,
  m.vb[variavel],BX$7,
  m.vb[mes],$A121
)</f>
        <v>0</v>
      </c>
      <c r="BY121" s="111">
        <f ca="1">SUMIFS(
  m.vb[valor],
  m.vb[nucleo],$BR$1,
  m.vb[variavel],BY$7,
  m.vb[mes],$A121
)</f>
        <v>0</v>
      </c>
      <c r="BZ121" s="111">
        <f ca="1">SUMIFS(
  m.vb[valor],
  m.vb[nucleo],$BR$1,
  m.vb[variavel],BZ$7,
  m.vb[mes],$A121
)</f>
        <v>0</v>
      </c>
      <c r="CA121" s="111">
        <f ca="1">SUMIFS(
  m.vb[valor],
  m.vb[nucleo],$BR$1,
  m.vb[variavel],CA$7,
  m.vb[mes],$A121
)</f>
        <v>0</v>
      </c>
      <c r="CB121" s="122">
        <f>COUNTIFS(
    tb_estq[empresa], CB$6,
    tb_estq[Data da venda / reserva], "&gt;=" &amp; $A121,
    tb_estq[Data da venda / reserva], "&lt;"  &amp; EOMONTH($A121,0) + 1
)</f>
        <v>0</v>
      </c>
      <c r="CC121" s="123">
        <f ca="1">SUMIFS(tb_rec_uni[2030-11-01],
INDIRECT("tb_rec_uni[natureza]"),"pro.soluto",
INDIRECT("tb_rec_uni[empresa]"),CC$6)</f>
        <v>0</v>
      </c>
      <c r="CD121" s="123">
        <f ca="1">SUMIFS(tb_rec_uni[2030-11-01],
INDIRECT("tb_rec_uni[natureza]"),"repasse.cef.obra",
INDIRECT("tb_rec_uni[empresa]"),CD$6)</f>
        <v>0</v>
      </c>
      <c r="CE121" s="126">
        <f ca="1">SUMIFS(tb_rec_uni[2030-11-01],
INDIRECT("tb_rec_uni[natureza]"),"repasse.cef.terreno",
INDIRECT("tb_rec_uni[empresa]"),CE$6)</f>
        <v>0</v>
      </c>
      <c r="CF121" s="127"/>
      <c r="CG121" s="123">
        <f ca="1">SUMIFS(tb_rec_uni[2030-11-01],
INDIRECT("tb_rec_uni[natureza]"),"taxa.extra",
INDIRECT("tb_rec_uni[empresa]"),CG$6)</f>
        <v>0</v>
      </c>
      <c r="CH121" s="111"/>
      <c r="CI121" s="111">
        <f ca="1">SUMIFS(
  m.vb[valor],
  m.vb[nucleo],$CB$1,
  m.vb[variavel],CI$7,
  m.vb[mes],$A121
)</f>
        <v>0</v>
      </c>
      <c r="CJ121" s="111">
        <f ca="1">SUMIFS(
  m.vb[valor],
  m.vb[nucleo],$CB$1,
  m.vb[variavel],CJ$7,
  m.vb[mes],$A121
)</f>
        <v>0</v>
      </c>
      <c r="CK121" s="111">
        <f ca="1">SUMIFS(
  m.vb[valor],
  m.vb[nucleo],$CB$1,
  m.vb[variavel],CK$7,
  m.vb[mes],$A121
)</f>
        <v>0</v>
      </c>
      <c r="CL121" s="111">
        <f ca="1">SUMIFS(
  m.vb[valor],
  m.vb[nucleo],$CB$1,
  m.vb[variavel],CL$7,
  m.vb[mes],$A121
)</f>
        <v>0</v>
      </c>
      <c r="CM121" s="111">
        <f ca="1">SUMIFS(
  m.vb[valor],
  m.vb[nucleo],$CB$1,
  m.vb[variavel],CM$7,
  m.vb[mes],$A121
)</f>
        <v>0</v>
      </c>
      <c r="CN121" s="122">
        <f>COUNTIFS(
    tb_estq[empresa], CN$6,
    tb_estq[Data da venda / reserva], "&gt;=" &amp; $A121,
    tb_estq[Data da venda / reserva], "&lt;"  &amp; EOMONTH($A121,0) + 1
)</f>
        <v>0</v>
      </c>
      <c r="CO121" s="123">
        <f ca="1">SUMIFS(tb_rec_uni[2030-11-01],
INDIRECT("tb_rec_uni[natureza]"),"pro.soluto",
INDIRECT("tb_rec_uni[empresa]"),CO$6)</f>
        <v>0</v>
      </c>
      <c r="CP121" s="123">
        <f ca="1">SUMIFS(tb_rec_uni[2030-11-01],
INDIRECT("tb_rec_uni[natureza]"),"repasse.cef.obra",
INDIRECT("tb_rec_uni[empresa]"),CP$6)</f>
        <v>0</v>
      </c>
      <c r="CQ121" s="126">
        <f ca="1">SUMIFS(tb_rec_uni[2030-11-01],
INDIRECT("tb_rec_uni[natureza]"),"repasse.cef.terreno",
INDIRECT("tb_rec_uni[empresa]"),CQ$6)</f>
        <v>0</v>
      </c>
      <c r="CR121" s="127"/>
      <c r="CS121" s="123">
        <f ca="1">SUMIFS(tb_rec_uni[2030-11-01],
INDIRECT("tb_rec_uni[natureza]"),"taxa.extra",
INDIRECT("tb_rec_uni[empresa]"),CS$6)</f>
        <v>0</v>
      </c>
      <c r="CT121" s="111"/>
      <c r="CU121" s="111">
        <f ca="1">SUMIFS(
  m.vb[valor],
  m.vb[nucleo],$CN$1,
  m.vb[variavel],CU$7,
  m.vb[mes],$A121
)</f>
        <v>0</v>
      </c>
      <c r="CV121" s="111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11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11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4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21">
        <v>47818</v>
      </c>
      <c r="B122" s="128">
        <f>COUNTIFS(
    tb_estq[empresa], B$6,
    tb_estq[Data da venda / reserva], "&gt;=" &amp; $A122,
    tb_estq[Data da venda / reserva], "&lt;"  &amp; EOMONTH($A122,0) + 1
)</f>
        <v>0</v>
      </c>
      <c r="C122" s="129">
        <f ca="1">SUMIFS(tb_rec_uni[2030-12-01],
INDIRECT("tb_rec_uni[natureza]"),"pro.soluto",
INDIRECT("tb_rec_uni[empresa]"),C$6)</f>
        <v>0</v>
      </c>
      <c r="D122" s="129">
        <f ca="1">SUMIFS(tb_rec_uni[2030-12-01],
INDIRECT("tb_rec_uni[natureza]"),"repasse.cef.obra",
INDIRECT("tb_rec_uni[empresa]"),D$6)</f>
        <v>0</v>
      </c>
      <c r="E122" s="129">
        <f ca="1">SUMIFS(tb_rec_uni[2030-12-01],
INDIRECT("tb_rec_uni[natureza]"),"repasse.cef.terreno",
INDIRECT("tb_rec_uni[empresa]"),E$6)</f>
        <v>0</v>
      </c>
      <c r="F122" s="130"/>
      <c r="G122" s="129">
        <f ca="1">SUMIFS(tb_rec_uni[2030-12-01],
INDIRECT("tb_rec_uni[natureza]"),"taxa.extra",
INDIRECT("tb_rec_uni[empresa]"),G$6)</f>
        <v>0</v>
      </c>
      <c r="H122" s="131"/>
      <c r="I122" s="131">
        <f ca="1">SUMIFS(
  m.vb[valor],
  m.vb[nucleo],$B$1,
  m.vb[variavel],I$7,
  m.vb[mes],$A122
)</f>
        <v>0</v>
      </c>
      <c r="J122" s="131">
        <f ca="1">SUMIFS(
  m.vb[valor],
  m.vb[nucleo],$B$1,
  m.vb[variavel],J$7,
  m.vb[mes],$A122
)</f>
        <v>0</v>
      </c>
      <c r="K122" s="131">
        <f ca="1">SUMIFS(
  m.vb[valor],
  m.vb[nucleo],$B$1,
  m.vb[variavel],K$7,
  m.vb[mes],$A122
)</f>
        <v>0</v>
      </c>
      <c r="L122" s="131">
        <f ca="1">SUMIFS(
  m.vb[valor],
  m.vb[nucleo],$B$1,
  m.vb[variavel],L$7,
  m.vb[mes],$A122
)</f>
        <v>0</v>
      </c>
      <c r="M122" s="131">
        <f ca="1">SUMIFS(
  m.vb[valor],
  m.vb[nucleo],$B$1,
  m.vb[variavel],M$7,
  m.vb[mes],$A122
)</f>
        <v>0</v>
      </c>
      <c r="N122" s="128">
        <f>COUNTIFS(
    tb_estq[empresa], N$6,
    tb_estq[Data da venda / reserva], "&gt;=" &amp; $A122,
    tb_estq[Data da venda / reserva], "&lt;"  &amp; EOMONTH($A122,0) + 1
)</f>
        <v>0</v>
      </c>
      <c r="O122" s="129">
        <f ca="1">SUMIFS(tb_rec_uni[2030-12-01],
INDIRECT("tb_rec_uni[natureza]"),"pro.soluto",
INDIRECT("tb_rec_uni[empresa]"),O$6)</f>
        <v>0</v>
      </c>
      <c r="P122" s="129">
        <f ca="1">SUMIFS(tb_rec_uni[2030-12-01],
INDIRECT("tb_rec_uni[natureza]"),"repasse.cef.obra",
INDIRECT("tb_rec_uni[empresa]"),P$6)</f>
        <v>0</v>
      </c>
      <c r="Q122" s="129">
        <f ca="1">SUMIFS(tb_rec_uni[2030-12-01],
INDIRECT("tb_rec_uni[natureza]"),"repasse.cef.terreno",
INDIRECT("tb_rec_uni[empresa]"),Q$6)</f>
        <v>0</v>
      </c>
      <c r="R122" s="131"/>
      <c r="S122" s="129">
        <f ca="1">SUMIFS(tb_rec_uni[2030-12-01],
INDIRECT("tb_rec_uni[natureza]"),"taxa.extra",
INDIRECT("tb_rec_uni[empresa]"),S$6)</f>
        <v>0</v>
      </c>
      <c r="T122" s="131"/>
      <c r="U122" s="131">
        <f ca="1">SUMIFS(
  m.vb[valor],
  m.vb[nucleo],$N$1,
  m.vb[variavel],U$7,
  m.vb[mes],$A122
)</f>
        <v>0</v>
      </c>
      <c r="V122" s="131">
        <f ca="1">SUMIFS(
  m.vb[valor],
  m.vb[nucleo],$N$1,
  m.vb[variavel],V$7,
  m.vb[mes],$A122
)</f>
        <v>0</v>
      </c>
      <c r="W122" s="131">
        <f ca="1">SUMIFS(
  m.vb[valor],
  m.vb[nucleo],$N$1,
  m.vb[variavel],W$7,
  m.vb[mes],$A122
)</f>
        <v>0</v>
      </c>
      <c r="X122" s="131">
        <f ca="1">SUMIFS(
  m.vb[valor],
  m.vb[nucleo],$N$1,
  m.vb[variavel],X$7,
  m.vb[mes],$A122
)</f>
        <v>0</v>
      </c>
      <c r="Y122" s="131">
        <f ca="1">SUMIFS(
  m.vb[valor],
  m.vb[nucleo],$N$1,
  m.vb[variavel],Y$7,
  m.vb[mes],$A122
)</f>
        <v>0</v>
      </c>
      <c r="Z122" s="128">
        <f>COUNTIFS(
    tb_estq[empresa], Z$6,
    tb_estq[Data da venda / reserva], "&gt;=" &amp; $A122,
    tb_estq[Data da venda / reserva], "&lt;"  &amp; EOMONTH($A122,0) + 1
)</f>
        <v>0</v>
      </c>
      <c r="AA122" s="129">
        <f ca="1">SUMIFS(tb_rec_uni[2030-12-01],
INDIRECT("tb_rec_uni[natureza]"),"pro.soluto",
INDIRECT("tb_rec_uni[empresa]"),AA$6)</f>
        <v>0</v>
      </c>
      <c r="AB122" s="130">
        <f ca="1">SUMIFS(tb_rec_uni[2030-12-01],
INDIRECT("tb_rec_uni[natureza]"),"parcela.fin.total.ik",
INDIRECT("tb_rec_uni[empresa]"),AB$6)</f>
        <v>0</v>
      </c>
      <c r="AC122" s="129">
        <f ca="1">SUMIFS(tb_rec_uni[2030-12-01],
INDIRECT("tb_rec_uni[natureza]"),"taxa.extra",
INDIRECT("tb_rec_uni[empresa]"),AC$6)</f>
        <v>0</v>
      </c>
      <c r="AD122" s="131"/>
      <c r="AE122" s="131">
        <f ca="1">SUMIFS(
  m.vb[valor],
  m.vb[nucleo],$Z$1,
  m.vb[variavel],AE$7,
  m.vb[mes],$A122
)</f>
        <v>0</v>
      </c>
      <c r="AF122" s="131">
        <f ca="1">SUMIFS(
  m.vb[valor],
  m.vb[nucleo],$Z$1,
  m.vb[variavel],AF$7,
  m.vb[mes],$A122
)</f>
        <v>0</v>
      </c>
      <c r="AG122" s="131">
        <f ca="1">SUMIFS(
  m.vb[valor],
  m.vb[nucleo],$Z$1,
  m.vb[variavel],AG$7,
  m.vb[mes],$A122
)</f>
        <v>0</v>
      </c>
      <c r="AH122" s="131">
        <f ca="1">SUMIFS(
  m.vb[valor],
  m.vb[nucleo],$Z$1,
  m.vb[variavel],AH$7,
  m.vb[mes],$A122
)</f>
        <v>0</v>
      </c>
      <c r="AI122" s="131">
        <f ca="1">SUMIFS(
  m.vb[valor],
  m.vb[nucleo],$Z$1,
  m.vb[variavel],AI$7,
  m.vb[mes],$A122
)</f>
        <v>0</v>
      </c>
      <c r="AJ122" s="128">
        <f>COUNTIFS(
    tb_estq[empresa], AJ$6,
    tb_estq[Data da venda / reserva], "&gt;=" &amp; $A122,
    tb_estq[Data da venda / reserva], "&lt;"  &amp; EOMONTH($A122,0) + 1
)</f>
        <v>0</v>
      </c>
      <c r="AK122" s="129">
        <f ca="1">SUMIFS(tb_rec_uni[2030-12-01],
INDIRECT("tb_rec_uni[natureza]"),"pro.soluto",
INDIRECT("tb_rec_uni[empresa]"),AK$6)</f>
        <v>0</v>
      </c>
      <c r="AL122" s="129">
        <f ca="1">SUMIFS(tb_rec_uni[2030-12-01],
INDIRECT("tb_rec_uni[natureza]"),"repasse.cef.obra",
INDIRECT("tb_rec_uni[empresa]"),AL$6)</f>
        <v>0</v>
      </c>
      <c r="AM122" s="132">
        <f ca="1">SUMIFS(tb_rec_uni[2030-12-01],
INDIRECT("tb_rec_uni[natureza]"),"repasse.cef.terreno",
INDIRECT("tb_rec_uni[empresa]"),AM$6)</f>
        <v>0</v>
      </c>
      <c r="AN122" s="130"/>
      <c r="AO122" s="129">
        <f ca="1">SUMIFS(tb_rec_uni[2030-12-01],
INDIRECT("tb_rec_uni[natureza]"),"taxa.extra",
INDIRECT("tb_rec_uni[empresa]"),AO$6)</f>
        <v>0</v>
      </c>
      <c r="AP122" s="131"/>
      <c r="AQ122" s="131">
        <f ca="1">SUMIFS(
  m.vb[valor],
  m.vb[nucleo],$AJ$1,
  m.vb[variavel],AQ$7,
  m.vb[mes],$A122
)</f>
        <v>0</v>
      </c>
      <c r="AR122" s="131">
        <f ca="1">SUMIFS(
  m.vb[valor],
  m.vb[nucleo],$AJ$1,
  m.vb[variavel],AR$7,
  m.vb[mes],$A122
)</f>
        <v>0</v>
      </c>
      <c r="AS122" s="131">
        <f ca="1">SUMIFS(
  m.vb[valor],
  m.vb[nucleo],$AJ$1,
  m.vb[variavel],AS$7,
  m.vb[mes],$A122
)</f>
        <v>0</v>
      </c>
      <c r="AT122" s="131">
        <f ca="1">SUMIFS(
  m.vb[valor],
  m.vb[nucleo],$AJ$1,
  m.vb[variavel],AT$7,
  m.vb[mes],$A122
)</f>
        <v>0</v>
      </c>
      <c r="AU122" s="131">
        <f ca="1">SUMIFS(
  m.vb[valor],
  m.vb[nucleo],$AJ$1,
  m.vb[variavel],AU$7,
  m.vb[mes],$A122
)</f>
        <v>0</v>
      </c>
      <c r="AV122" s="128">
        <f>COUNTIFS(
    tb_estq[empresa], AV$6,
    tb_estq[Data da venda / reserva], "&gt;=" &amp; $A122,
    tb_estq[Data da venda / reserva], "&lt;"  &amp; EOMONTH($A122,0) + 1
)</f>
        <v>0</v>
      </c>
      <c r="AW122" s="129">
        <f ca="1">SUMIFS(tb_rec_uni[2030-12-01],
INDIRECT("tb_rec_uni[natureza]"),"pro.soluto",
INDIRECT("tb_rec_uni[empresa]"),AW$6)</f>
        <v>0</v>
      </c>
      <c r="AX122" s="129">
        <f ca="1">SUMIFS(tb_rec_uni[2030-12-01],
INDIRECT("tb_rec_uni[natureza]"),"repasse.cef.obra",
INDIRECT("tb_rec_uni[empresa]"),AX$6)</f>
        <v>0</v>
      </c>
      <c r="AY122" s="132">
        <f ca="1">SUMIFS(tb_rec_uni[2030-12-01],
INDIRECT("tb_rec_uni[natureza]"),"repasse.cef.terreno",
INDIRECT("tb_rec_uni[empresa]"),AY$6)</f>
        <v>0</v>
      </c>
      <c r="AZ122" s="130"/>
      <c r="BA122" s="129">
        <f ca="1">SUMIFS(tb_rec_uni[2030-12-01],
INDIRECT("tb_rec_uni[natureza]"),"taxa.extra",
INDIRECT("tb_rec_uni[empresa]"),BA$6)</f>
        <v>0</v>
      </c>
      <c r="BB122" s="131"/>
      <c r="BC122" s="131">
        <f ca="1">SUMIFS(
  m.vb[valor],
  m.vb[nucleo],$AV$1,
  m.vb[variavel],BC$7,
  m.vb[mes],$A122
)</f>
        <v>0</v>
      </c>
      <c r="BD122" s="131">
        <f ca="1">SUMIFS(
  m.vb[valor],
  m.vb[nucleo],$AV$1,
  m.vb[variavel],BD$7,
  m.vb[mes],$A122
)</f>
        <v>0</v>
      </c>
      <c r="BE122" s="131">
        <f ca="1">SUMIFS(
  m.vb[valor],
  m.vb[nucleo],$AV$1,
  m.vb[variavel],BE$7,
  m.vb[mes],$A122
)</f>
        <v>0</v>
      </c>
      <c r="BF122" s="131">
        <f ca="1">SUMIFS(
  m.vb[valor],
  m.vb[nucleo],$AV$1,
  m.vb[variavel],BF$7,
  m.vb[mes],$A122
)</f>
        <v>0</v>
      </c>
      <c r="BG122" s="131">
        <f ca="1">SUMIFS(
  m.vb[valor],
  m.vb[nucleo],$AV$1,
  m.vb[variavel],BG$7,
  m.vb[mes],$A122
)</f>
        <v>0</v>
      </c>
      <c r="BH122" s="128">
        <f>COUNTIFS(
    tb_estq[empresa], BH$6,
    tb_estq[Data da venda / reserva], "&gt;=" &amp; $A122,
    tb_estq[Data da venda / reserva], "&lt;"  &amp; EOMONTH($A122,0) + 1
)</f>
        <v>0</v>
      </c>
      <c r="BI122" s="129">
        <f ca="1">SUMIFS(tb_rec_uni[2030-12-01],
INDIRECT("tb_rec_uni[natureza]"),"pro.soluto",
INDIRECT("tb_rec_uni[empresa]"),BI$6)</f>
        <v>0</v>
      </c>
      <c r="BJ122" s="130"/>
      <c r="BK122" s="129">
        <f ca="1">SUMIFS(tb_rec_uni[2030-12-01],
INDIRECT("tb_rec_uni[natureza]"),"taxa.extra",
INDIRECT("tb_rec_uni[empresa]"),BK$6)</f>
        <v>0</v>
      </c>
      <c r="BL122" s="131"/>
      <c r="BM122" s="131">
        <f ca="1">SUMIFS(
  m.vb[valor],
  m.vb[nucleo],$BH$1,
  m.vb[variavel],BM$7,
  m.vb[mes],$A122
)</f>
        <v>0</v>
      </c>
      <c r="BN122" s="131">
        <f ca="1">SUMIFS(
  m.vb[valor],
  m.vb[nucleo],$BH$1,
  m.vb[variavel],BN$7,
  m.vb[mes],$A122
)</f>
        <v>0</v>
      </c>
      <c r="BO122" s="131">
        <f ca="1">SUMIFS(
  m.vb[valor],
  m.vb[nucleo],$BH$1,
  m.vb[variavel],BO$7,
  m.vb[mes],$A122
)</f>
        <v>0</v>
      </c>
      <c r="BP122" s="131">
        <f ca="1">SUMIFS(
  m.vb[valor],
  m.vb[nucleo],$BH$1,
  m.vb[variavel],BP$7,
  m.vb[mes],$A122
)</f>
        <v>0</v>
      </c>
      <c r="BQ122" s="131">
        <f ca="1">SUMIFS(
  m.vb[valor],
  m.vb[nucleo],$BH$1,
  m.vb[variavel],BQ$7,
  m.vb[mes],$A122
)</f>
        <v>0</v>
      </c>
      <c r="BR122" s="128">
        <f>COUNTIFS(
    tb_estq[empresa], BR$6,
    tb_estq[Data da venda / reserva], "&gt;=" &amp; $A122,
    tb_estq[Data da venda / reserva], "&lt;"  &amp; EOMONTH($A122,0) + 1
)</f>
        <v>0</v>
      </c>
      <c r="BS122" s="129">
        <f ca="1">SUMIFS(tb_rec_uni[2030-12-01],
INDIRECT("tb_rec_uni[natureza]"),"pro.soluto",
INDIRECT("tb_rec_uni[empresa]"),BS$6)</f>
        <v>0</v>
      </c>
      <c r="BT122" s="130">
        <f ca="1">SUMIFS(tb_rec_uni[2030-12-01],
INDIRECT("tb_rec_uni[natureza]"),"parcela.fin.total.ik",
INDIRECT("tb_rec_uni[empresa]"),BT$6)</f>
        <v>0</v>
      </c>
      <c r="BU122" s="129">
        <f ca="1">SUMIFS(tb_rec_uni[2030-12-01],
INDIRECT("tb_rec_uni[natureza]"),"taxa.extra",
INDIRECT("tb_rec_uni[empresa]"),BU$6)</f>
        <v>0</v>
      </c>
      <c r="BV122" s="131"/>
      <c r="BW122" s="131">
        <f ca="1">SUMIFS(
  m.vb[valor],
  m.vb[nucleo],$BR$1,
  m.vb[variavel],BW$7,
  m.vb[mes],$A122
)</f>
        <v>0</v>
      </c>
      <c r="BX122" s="131">
        <f ca="1">SUMIFS(
  m.vb[valor],
  m.vb[nucleo],$BR$1,
  m.vb[variavel],BX$7,
  m.vb[mes],$A122
)</f>
        <v>0</v>
      </c>
      <c r="BY122" s="131">
        <f ca="1">SUMIFS(
  m.vb[valor],
  m.vb[nucleo],$BR$1,
  m.vb[variavel],BY$7,
  m.vb[mes],$A122
)</f>
        <v>0</v>
      </c>
      <c r="BZ122" s="131">
        <f ca="1">SUMIFS(
  m.vb[valor],
  m.vb[nucleo],$BR$1,
  m.vb[variavel],BZ$7,
  m.vb[mes],$A122
)</f>
        <v>0</v>
      </c>
      <c r="CA122" s="131">
        <f ca="1">SUMIFS(
  m.vb[valor],
  m.vb[nucleo],$BR$1,
  m.vb[variavel],CA$7,
  m.vb[mes],$A122
)</f>
        <v>0</v>
      </c>
      <c r="CB122" s="128">
        <f>COUNTIFS(
    tb_estq[empresa], CB$6,
    tb_estq[Data da venda / reserva], "&gt;=" &amp; $A122,
    tb_estq[Data da venda / reserva], "&lt;"  &amp; EOMONTH($A122,0) + 1
)</f>
        <v>0</v>
      </c>
      <c r="CC122" s="129">
        <f ca="1">SUMIFS(tb_rec_uni[2030-12-01],
INDIRECT("tb_rec_uni[natureza]"),"pro.soluto",
INDIRECT("tb_rec_uni[empresa]"),CC$6)</f>
        <v>0</v>
      </c>
      <c r="CD122" s="129">
        <f ca="1">SUMIFS(tb_rec_uni[2030-12-01],
INDIRECT("tb_rec_uni[natureza]"),"repasse.cef.obra",
INDIRECT("tb_rec_uni[empresa]"),CD$6)</f>
        <v>0</v>
      </c>
      <c r="CE122" s="132">
        <f ca="1">SUMIFS(tb_rec_uni[2030-12-01],
INDIRECT("tb_rec_uni[natureza]"),"repasse.cef.terreno",
INDIRECT("tb_rec_uni[empresa]"),CE$6)</f>
        <v>0</v>
      </c>
      <c r="CF122" s="130"/>
      <c r="CG122" s="129">
        <f ca="1">SUMIFS(tb_rec_uni[2030-12-01],
INDIRECT("tb_rec_uni[natureza]"),"taxa.extra",
INDIRECT("tb_rec_uni[empresa]"),CG$6)</f>
        <v>0</v>
      </c>
      <c r="CH122" s="131"/>
      <c r="CI122" s="131">
        <f ca="1">SUMIFS(
  m.vb[valor],
  m.vb[nucleo],$CB$1,
  m.vb[variavel],CI$7,
  m.vb[mes],$A122
)</f>
        <v>0</v>
      </c>
      <c r="CJ122" s="131">
        <f ca="1">SUMIFS(
  m.vb[valor],
  m.vb[nucleo],$CB$1,
  m.vb[variavel],CJ$7,
  m.vb[mes],$A122
)</f>
        <v>0</v>
      </c>
      <c r="CK122" s="131">
        <f ca="1">SUMIFS(
  m.vb[valor],
  m.vb[nucleo],$CB$1,
  m.vb[variavel],CK$7,
  m.vb[mes],$A122
)</f>
        <v>0</v>
      </c>
      <c r="CL122" s="131">
        <f ca="1">SUMIFS(
  m.vb[valor],
  m.vb[nucleo],$CB$1,
  m.vb[variavel],CL$7,
  m.vb[mes],$A122
)</f>
        <v>0</v>
      </c>
      <c r="CM122" s="131">
        <f ca="1">SUMIFS(
  m.vb[valor],
  m.vb[nucleo],$CB$1,
  m.vb[variavel],CM$7,
  m.vb[mes],$A122
)</f>
        <v>0</v>
      </c>
      <c r="CN122" s="128">
        <f>COUNTIFS(
    tb_estq[empresa], CN$6,
    tb_estq[Data da venda / reserva], "&gt;=" &amp; $A122,
    tb_estq[Data da venda / reserva], "&lt;"  &amp; EOMONTH($A122,0) + 1
)</f>
        <v>0</v>
      </c>
      <c r="CO122" s="129">
        <f ca="1">SUMIFS(tb_rec_uni[2030-12-01],
INDIRECT("tb_rec_uni[natureza]"),"pro.soluto",
INDIRECT("tb_rec_uni[empresa]"),CO$6)</f>
        <v>0</v>
      </c>
      <c r="CP122" s="129">
        <f ca="1">SUMIFS(tb_rec_uni[2030-12-01],
INDIRECT("tb_rec_uni[natureza]"),"repasse.cef.obra",
INDIRECT("tb_rec_uni[empresa]"),CP$6)</f>
        <v>0</v>
      </c>
      <c r="CQ122" s="132">
        <f ca="1">SUMIFS(tb_rec_uni[2030-12-01],
INDIRECT("tb_rec_uni[natureza]"),"repasse.cef.terreno",
INDIRECT("tb_rec_uni[empresa]"),CQ$6)</f>
        <v>0</v>
      </c>
      <c r="CR122" s="130"/>
      <c r="CS122" s="129">
        <f ca="1">SUMIFS(tb_rec_uni[2030-12-01],
INDIRECT("tb_rec_uni[natureza]"),"taxa.extra",
INDIRECT("tb_rec_uni[empresa]"),CS$6)</f>
        <v>0</v>
      </c>
      <c r="CT122" s="131"/>
      <c r="CU122" s="131">
        <f ca="1">SUMIFS(
  m.vb[valor],
  m.vb[nucleo],$CN$1,
  m.vb[variavel],CU$7,
  m.vb[mes],$A122
)</f>
        <v>0</v>
      </c>
      <c r="CV122" s="131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31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31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5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9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tabSelected="1" zoomScale="80" zoomScaleNormal="80" workbookViewId="0">
      <pane ySplit="2" topLeftCell="A3" activePane="bottomLeft" state="frozen"/>
      <selection pane="bottomLeft" activeCell="I10" sqref="I10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0" width="13.42578125" bestFit="1" customWidth="1"/>
    <col min="21" max="22" width="13" bestFit="1" customWidth="1"/>
    <col min="23" max="23" width="12.7109375" bestFit="1" customWidth="1"/>
    <col min="24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9" width="12.28515625" bestFit="1" customWidth="1"/>
    <col min="40" max="40" width="11.28515625" bestFit="1" customWidth="1"/>
    <col min="41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33" t="s">
        <v>962</v>
      </c>
      <c r="O1" s="233" t="s">
        <v>963</v>
      </c>
      <c r="AB1" s="233" t="s">
        <v>964</v>
      </c>
    </row>
    <row r="2" spans="1:29" ht="45" x14ac:dyDescent="0.25">
      <c r="A2" s="459" t="s">
        <v>33</v>
      </c>
      <c r="B2" s="459" t="s">
        <v>965</v>
      </c>
      <c r="C2" s="460" t="s">
        <v>1293</v>
      </c>
      <c r="D2" s="460" t="s">
        <v>16</v>
      </c>
      <c r="E2" s="460" t="s">
        <v>1294</v>
      </c>
      <c r="F2" s="461" t="s">
        <v>966</v>
      </c>
      <c r="G2" s="462" t="s">
        <v>967</v>
      </c>
      <c r="H2" s="462" t="s">
        <v>1085</v>
      </c>
      <c r="I2" s="463" t="s">
        <v>988</v>
      </c>
      <c r="J2" s="465" t="s">
        <v>968</v>
      </c>
      <c r="K2" s="465" t="s">
        <v>969</v>
      </c>
      <c r="L2" s="465" t="s">
        <v>970</v>
      </c>
      <c r="M2" s="465" t="s">
        <v>971</v>
      </c>
      <c r="N2" s="183"/>
      <c r="O2" s="371" t="s">
        <v>6</v>
      </c>
      <c r="P2" s="372" t="s">
        <v>972</v>
      </c>
      <c r="Q2" s="373" t="s">
        <v>973</v>
      </c>
      <c r="R2" s="373" t="s">
        <v>974</v>
      </c>
      <c r="S2" s="373" t="s">
        <v>975</v>
      </c>
      <c r="T2" s="373" t="s">
        <v>976</v>
      </c>
      <c r="U2" s="372" t="s">
        <v>977</v>
      </c>
      <c r="V2" s="372" t="s">
        <v>978</v>
      </c>
      <c r="W2" s="372" t="s">
        <v>979</v>
      </c>
      <c r="X2" s="373" t="s">
        <v>980</v>
      </c>
      <c r="Y2" s="373" t="s">
        <v>981</v>
      </c>
      <c r="Z2" s="374" t="s">
        <v>982</v>
      </c>
      <c r="AB2" s="375" t="s">
        <v>975</v>
      </c>
      <c r="AC2" s="376">
        <f>SUMPRODUCT(S3:S7,P3:P7) / SUM(P3:P7)</f>
        <v>1</v>
      </c>
    </row>
    <row r="3" spans="1:29" x14ac:dyDescent="0.25">
      <c r="A3" s="377" t="s">
        <v>7</v>
      </c>
      <c r="B3" s="378">
        <v>45352</v>
      </c>
      <c r="C3" s="379">
        <v>284403.16000000003</v>
      </c>
      <c r="D3" s="379">
        <v>123478.65999999999</v>
      </c>
      <c r="E3" s="379">
        <v>403051.79</v>
      </c>
      <c r="F3" s="379">
        <f>cef[[#This Row],[CEF (obra)]]+cef[[#This Row],[Pró soluto]]+cef[[#This Row],[PJ CEF]]</f>
        <v>810933.61</v>
      </c>
      <c r="G3" s="379"/>
      <c r="H3" s="379"/>
      <c r="I3" s="379"/>
      <c r="J3" s="379">
        <f>cef[[#This Row],[Entradas]]-cef[[#This Row],[Saídas]]</f>
        <v>810933.61</v>
      </c>
      <c r="K3" s="427">
        <v>448512.18000000005</v>
      </c>
      <c r="L3" s="381" t="str">
        <f>IFERROR(cef[[#This Row],[Entradas]]/cef[[#This Row],[Saídas]],"Sem saídas")</f>
        <v>Sem saídas</v>
      </c>
      <c r="M3" s="382">
        <v>2.8164559392000723</v>
      </c>
      <c r="O3" s="383" t="s">
        <v>7</v>
      </c>
      <c r="P3" s="384">
        <f>COUNTIF(cef[Empresa],O3)</f>
        <v>28</v>
      </c>
      <c r="Q3" s="384">
        <f>COUNTIFS(cef[Empresa],O3,cef[E-S],"&gt;=0")</f>
        <v>28</v>
      </c>
      <c r="R3" s="384">
        <f>COUNTIFS(cef[Empresa],O3,cef[E-S],"&lt;0")</f>
        <v>0</v>
      </c>
      <c r="S3" s="385">
        <f>Q3/P3</f>
        <v>1</v>
      </c>
      <c r="T3" s="385">
        <f>R3/P3</f>
        <v>0</v>
      </c>
      <c r="U3" s="386" t="e">
        <f>AVERAGEIF(cef[Empresa],O3,cef[E/S])</f>
        <v>#DIV/0!</v>
      </c>
      <c r="V3" s="386" t="e" cm="1">
        <f t="array" ref="V3">MEDIAN(_xlfn._xlws.FILTER(cef[E/S],cef[Empresa]=O3))</f>
        <v>#NUM!</v>
      </c>
      <c r="W3" s="386" t="e" cm="1">
        <f t="array" ref="W3">_xlfn.STDEV.P(_xlfn._xlws.FILTER(cef[E/S],cef[Empresa]=O3))</f>
        <v>#DIV/0!</v>
      </c>
      <c r="X3" s="387">
        <f>AVERAGEIF(cef[Empresa],O3,cef[E-S])</f>
        <v>881592.79071428545</v>
      </c>
      <c r="Y3" s="387" cm="1">
        <f t="array" ref="Y3">MEDIAN(_xlfn._xlws.FILTER(cef[E-S],cef[Empresa]=O3))</f>
        <v>833865.9</v>
      </c>
      <c r="Z3" s="388" cm="1">
        <f t="array" ref="Z3">_xlfn.STDEV.P(_xlfn._xlws.FILTER(cef[E-S],cef[Empresa]=O3))</f>
        <v>544226.82308506116</v>
      </c>
      <c r="AB3" s="389" t="s">
        <v>976</v>
      </c>
      <c r="AC3" s="390">
        <f>SUMPRODUCT(T3:T7,P3:P7) / SUM(P3:P7)</f>
        <v>0</v>
      </c>
    </row>
    <row r="4" spans="1:29" x14ac:dyDescent="0.25">
      <c r="A4" s="391" t="s">
        <v>7</v>
      </c>
      <c r="B4" s="392">
        <v>45383</v>
      </c>
      <c r="C4" s="380">
        <v>453972.44</v>
      </c>
      <c r="D4" s="380">
        <v>151223.31</v>
      </c>
      <c r="E4" s="380">
        <v>516683.36</v>
      </c>
      <c r="F4" s="380">
        <f>cef[[#This Row],[CEF (obra)]]+cef[[#This Row],[Pró soluto]]+cef[[#This Row],[PJ CEF]]</f>
        <v>1121879.1099999999</v>
      </c>
      <c r="G4" s="380"/>
      <c r="H4" s="380"/>
      <c r="I4" s="380"/>
      <c r="J4" s="380">
        <f>cef[[#This Row],[Entradas]]-cef[[#This Row],[Saídas]]</f>
        <v>1121879.1099999999</v>
      </c>
      <c r="K4" s="380">
        <f>AVERAGE(J$3:J4)</f>
        <v>966406.35999999987</v>
      </c>
      <c r="L4" s="393" t="str">
        <f>IFERROR(cef[[#This Row],[Entradas]]/cef[[#This Row],[Saídas]],"Sem saídas")</f>
        <v>Sem saídas</v>
      </c>
      <c r="M4" s="382" t="e">
        <f>AVERAGE(L$3:L4)</f>
        <v>#DIV/0!</v>
      </c>
      <c r="O4" s="394" t="s">
        <v>8</v>
      </c>
      <c r="P4" s="395">
        <f>COUNTIF(cef[Empresa],O4)</f>
        <v>40</v>
      </c>
      <c r="Q4" s="395">
        <f>COUNTIFS(cef[Empresa],O4,cef[E-S],"&gt;=0")</f>
        <v>40</v>
      </c>
      <c r="R4" s="395">
        <f>COUNTIFS(cef[Empresa],O4,cef[E-S],"&lt;0")</f>
        <v>0</v>
      </c>
      <c r="S4" s="396">
        <f t="shared" ref="S4:S7" si="0">Q4/P4</f>
        <v>1</v>
      </c>
      <c r="T4" s="396">
        <f t="shared" ref="T4:T7" si="1">R4/P4</f>
        <v>0</v>
      </c>
      <c r="U4" s="397" t="e">
        <f>AVERAGEIF(cef[Empresa],O4,cef[E/S])</f>
        <v>#DIV/0!</v>
      </c>
      <c r="V4" s="397" t="e" cm="1">
        <f t="array" ref="V4">MEDIAN(_xlfn._xlws.FILTER(cef[E/S],cef[Empresa]=O4))</f>
        <v>#NUM!</v>
      </c>
      <c r="W4" s="397" t="e" cm="1">
        <f t="array" ref="W4">_xlfn.STDEV.P(_xlfn._xlws.FILTER(cef[E/S],cef[Empresa]=O4))</f>
        <v>#DIV/0!</v>
      </c>
      <c r="X4" s="398">
        <f>AVERAGEIF(cef[Empresa],O4,cef[E-S])</f>
        <v>815071.77</v>
      </c>
      <c r="Y4" s="398" cm="1">
        <f t="array" ref="Y4">MEDIAN(_xlfn._xlws.FILTER(cef[E-S],cef[Empresa]=O4))</f>
        <v>565610.1649999998</v>
      </c>
      <c r="Z4" s="399" cm="1">
        <f t="array" ref="Z4">_xlfn.STDEV.P(_xlfn._xlws.FILTER(cef[E-S],cef[Empresa]=O4))</f>
        <v>735132.23310899001</v>
      </c>
      <c r="AB4" s="400" t="s">
        <v>977</v>
      </c>
      <c r="AC4" s="390" t="e">
        <f>SUMPRODUCT(U3:U7,P3:P7) / SUM(P3:P7)</f>
        <v>#DIV/0!</v>
      </c>
    </row>
    <row r="5" spans="1:29" x14ac:dyDescent="0.25">
      <c r="A5" s="391" t="s">
        <v>7</v>
      </c>
      <c r="B5" s="392">
        <v>45413</v>
      </c>
      <c r="C5" s="380">
        <v>432754.82</v>
      </c>
      <c r="D5" s="380">
        <v>263396</v>
      </c>
      <c r="E5" s="380">
        <v>0</v>
      </c>
      <c r="F5" s="380">
        <f>cef[[#This Row],[CEF (obra)]]+cef[[#This Row],[Pró soluto]]+cef[[#This Row],[PJ CEF]]</f>
        <v>696150.82000000007</v>
      </c>
      <c r="G5" s="380"/>
      <c r="H5" s="380"/>
      <c r="I5" s="380"/>
      <c r="J5" s="380">
        <f>cef[[#This Row],[Entradas]]-cef[[#This Row],[Saídas]]</f>
        <v>696150.82000000007</v>
      </c>
      <c r="K5" s="380">
        <f>AVERAGE(J$3:J5)</f>
        <v>876321.18</v>
      </c>
      <c r="L5" s="393" t="str">
        <f>IFERROR(cef[[#This Row],[Entradas]]/cef[[#This Row],[Saídas]],"Sem saídas")</f>
        <v>Sem saídas</v>
      </c>
      <c r="M5" s="382" t="e">
        <f>AVERAGE(L$3:L5)</f>
        <v>#DIV/0!</v>
      </c>
      <c r="O5" s="394" t="s">
        <v>9</v>
      </c>
      <c r="P5" s="395">
        <f>COUNTIF(cef[Empresa],O5)</f>
        <v>12</v>
      </c>
      <c r="Q5" s="395">
        <f>COUNTIFS(cef[Empresa],O5,cef[E-S],"&gt;=0")</f>
        <v>12</v>
      </c>
      <c r="R5" s="395">
        <f>COUNTIFS(cef[Empresa],O5,cef[E-S],"&lt;0")</f>
        <v>0</v>
      </c>
      <c r="S5" s="396">
        <f t="shared" si="0"/>
        <v>1</v>
      </c>
      <c r="T5" s="396">
        <f t="shared" si="1"/>
        <v>0</v>
      </c>
      <c r="U5" s="397" t="e">
        <f>AVERAGEIF(cef[Empresa],O5,cef[E/S])</f>
        <v>#DIV/0!</v>
      </c>
      <c r="V5" s="397" t="e" cm="1">
        <f t="array" ref="V5">MEDIAN(_xlfn._xlws.FILTER(cef[E/S],cef[Empresa]=O5))</f>
        <v>#NUM!</v>
      </c>
      <c r="W5" s="397" t="e" cm="1">
        <f t="array" ref="W5">_xlfn.STDEV.P(_xlfn._xlws.FILTER(cef[E/S],cef[Empresa]=O5))</f>
        <v>#DIV/0!</v>
      </c>
      <c r="X5" s="398">
        <f>AVERAGEIF(cef[Empresa],O5,cef[E-S])</f>
        <v>1664942.5108333335</v>
      </c>
      <c r="Y5" s="398" cm="1">
        <f t="array" ref="Y5">MEDIAN(_xlfn._xlws.FILTER(cef[E-S],cef[Empresa]=O5))</f>
        <v>1686354.5249999999</v>
      </c>
      <c r="Z5" s="399" cm="1">
        <f t="array" ref="Z5">_xlfn.STDEV.P(_xlfn._xlws.FILTER(cef[E-S],cef[Empresa]=O5))</f>
        <v>572472.82191643177</v>
      </c>
      <c r="AB5" s="400" t="s">
        <v>978</v>
      </c>
      <c r="AC5" s="390" t="e">
        <f>SUMPRODUCT(V3:V7,P3:P7) / SUM(P3:P7)</f>
        <v>#NUM!</v>
      </c>
    </row>
    <row r="6" spans="1:29" x14ac:dyDescent="0.25">
      <c r="A6" s="391" t="s">
        <v>7</v>
      </c>
      <c r="B6" s="392">
        <v>45444</v>
      </c>
      <c r="C6" s="380">
        <v>0</v>
      </c>
      <c r="D6" s="380">
        <v>181037.43</v>
      </c>
      <c r="E6" s="380">
        <v>0</v>
      </c>
      <c r="F6" s="380">
        <f>cef[[#This Row],[CEF (obra)]]+cef[[#This Row],[Pró soluto]]+cef[[#This Row],[PJ CEF]]</f>
        <v>181037.43</v>
      </c>
      <c r="G6" s="380"/>
      <c r="H6" s="380"/>
      <c r="I6" s="380"/>
      <c r="J6" s="380">
        <f>cef[[#This Row],[Entradas]]-cef[[#This Row],[Saídas]]</f>
        <v>181037.43</v>
      </c>
      <c r="K6" s="380">
        <f>AVERAGE(J$3:J6)</f>
        <v>702500.24250000005</v>
      </c>
      <c r="L6" s="393" t="str">
        <f>IFERROR(cef[[#This Row],[Entradas]]/cef[[#This Row],[Saídas]],"Sem saídas")</f>
        <v>Sem saídas</v>
      </c>
      <c r="M6" s="382" t="e">
        <f>AVERAGE(L$3:L6)</f>
        <v>#DIV/0!</v>
      </c>
      <c r="O6" s="394" t="s">
        <v>10</v>
      </c>
      <c r="P6" s="395">
        <f>COUNTIF(cef[Empresa],O6)</f>
        <v>6</v>
      </c>
      <c r="Q6" s="395">
        <f>COUNTIFS(cef[Empresa],O6,cef[E-S],"&gt;=0")</f>
        <v>6</v>
      </c>
      <c r="R6" s="395">
        <f>COUNTIFS(cef[Empresa],O6,cef[E-S],"&lt;0")</f>
        <v>0</v>
      </c>
      <c r="S6" s="396">
        <f t="shared" si="0"/>
        <v>1</v>
      </c>
      <c r="T6" s="396">
        <f t="shared" si="1"/>
        <v>0</v>
      </c>
      <c r="U6" s="397" t="e">
        <f>AVERAGEIF(cef[Empresa],O6,cef[E/S])</f>
        <v>#DIV/0!</v>
      </c>
      <c r="V6" s="397" t="e" cm="1">
        <f t="array" ref="V6">MEDIAN(_xlfn._xlws.FILTER(cef[E/S],cef[Empresa]=O6))</f>
        <v>#NUM!</v>
      </c>
      <c r="W6" s="397" t="e" cm="1">
        <f t="array" ref="W6">_xlfn.STDEV.P(_xlfn._xlws.FILTER(cef[E/S],cef[Empresa]=O6))</f>
        <v>#DIV/0!</v>
      </c>
      <c r="X6" s="398">
        <f>AVERAGEIF(cef[Empresa],O6,cef[E-S])</f>
        <v>1373703.1316666666</v>
      </c>
      <c r="Y6" s="398" cm="1">
        <f t="array" ref="Y6">MEDIAN(_xlfn._xlws.FILTER(cef[E-S],cef[Empresa]=O6))</f>
        <v>1387397.0449999999</v>
      </c>
      <c r="Z6" s="399" cm="1">
        <f t="array" ref="Z6">_xlfn.STDEV.P(_xlfn._xlws.FILTER(cef[E-S],cef[Empresa]=O6))</f>
        <v>626273.96079474629</v>
      </c>
      <c r="AB6" s="400" t="s">
        <v>979</v>
      </c>
      <c r="AC6" s="390" t="e">
        <f>SUMPRODUCT(W3:W7,P3:P7) / SUM(P3:P7)</f>
        <v>#DIV/0!</v>
      </c>
    </row>
    <row r="7" spans="1:29" x14ac:dyDescent="0.25">
      <c r="A7" s="391" t="s">
        <v>7</v>
      </c>
      <c r="B7" s="392">
        <v>45474</v>
      </c>
      <c r="C7" s="380">
        <v>348683.06</v>
      </c>
      <c r="D7" s="380">
        <v>311416.27000000008</v>
      </c>
      <c r="E7" s="380">
        <v>0</v>
      </c>
      <c r="F7" s="380">
        <f>cef[[#This Row],[CEF (obra)]]+cef[[#This Row],[Pró soluto]]+cef[[#This Row],[PJ CEF]]</f>
        <v>660099.33000000007</v>
      </c>
      <c r="G7" s="380"/>
      <c r="H7" s="380"/>
      <c r="I7" s="380"/>
      <c r="J7" s="380">
        <f>cef[[#This Row],[Entradas]]-cef[[#This Row],[Saídas]]</f>
        <v>660099.33000000007</v>
      </c>
      <c r="K7" s="380">
        <f>AVERAGE(J$3:J7)</f>
        <v>694020.06</v>
      </c>
      <c r="L7" s="393" t="str">
        <f>IFERROR(cef[[#This Row],[Entradas]]/cef[[#This Row],[Saídas]],"Sem saídas")</f>
        <v>Sem saídas</v>
      </c>
      <c r="M7" s="382" t="e">
        <f>AVERAGE(L$3:L7)</f>
        <v>#DIV/0!</v>
      </c>
      <c r="O7" s="401" t="s">
        <v>12</v>
      </c>
      <c r="P7" s="402">
        <f>COUNTIF(cef[Empresa],O7)</f>
        <v>19</v>
      </c>
      <c r="Q7" s="402">
        <f>COUNTIFS(cef[Empresa],O7,cef[E-S],"&gt;=0")</f>
        <v>19</v>
      </c>
      <c r="R7" s="402">
        <f>COUNTIFS(cef[Empresa],O7,cef[E-S],"&lt;0")</f>
        <v>0</v>
      </c>
      <c r="S7" s="403">
        <f t="shared" si="0"/>
        <v>1</v>
      </c>
      <c r="T7" s="403">
        <f t="shared" si="1"/>
        <v>0</v>
      </c>
      <c r="U7" s="404" t="e">
        <f>AVERAGEIF(cef[Empresa],O7,cef[E/S])</f>
        <v>#DIV/0!</v>
      </c>
      <c r="V7" s="404" t="e" cm="1">
        <f t="array" ref="V7">MEDIAN(_xlfn._xlws.FILTER(cef[E/S],cef[Empresa]=O7))</f>
        <v>#NUM!</v>
      </c>
      <c r="W7" s="404" t="e" cm="1">
        <f t="array" ref="W7">_xlfn.STDEV.P(_xlfn._xlws.FILTER(cef[E/S],cef[Empresa]=O7))</f>
        <v>#DIV/0!</v>
      </c>
      <c r="X7" s="405">
        <f>AVERAGEIF(cef[Empresa],O7,cef[E-S])</f>
        <v>1572856.9273684211</v>
      </c>
      <c r="Y7" s="405" cm="1">
        <f t="array" ref="Y7">MEDIAN(_xlfn._xlws.FILTER(cef[E-S],cef[Empresa]=O7))</f>
        <v>1301113.71</v>
      </c>
      <c r="Z7" s="406" cm="1">
        <f t="array" ref="Z7">_xlfn.STDEV.P(_xlfn._xlws.FILTER(cef[E-S],cef[Empresa]=O7))</f>
        <v>862772.82468406693</v>
      </c>
      <c r="AB7" s="389" t="s">
        <v>983</v>
      </c>
      <c r="AC7" s="399">
        <f>SUMPRODUCT(X3:X7,P3:P7) / SUM(P3:P7)</f>
        <v>1098983.614095238</v>
      </c>
    </row>
    <row r="8" spans="1:29" x14ac:dyDescent="0.25">
      <c r="A8" s="391" t="s">
        <v>7</v>
      </c>
      <c r="B8" s="392">
        <v>45505</v>
      </c>
      <c r="C8" s="380">
        <v>116673.85999999999</v>
      </c>
      <c r="D8" s="380">
        <v>201432.47</v>
      </c>
      <c r="E8" s="380">
        <v>0</v>
      </c>
      <c r="F8" s="380">
        <f>cef[[#This Row],[CEF (obra)]]+cef[[#This Row],[Pró soluto]]+cef[[#This Row],[PJ CEF]]</f>
        <v>318106.32999999996</v>
      </c>
      <c r="G8" s="380"/>
      <c r="H8" s="380"/>
      <c r="I8" s="380"/>
      <c r="J8" s="380">
        <f>cef[[#This Row],[Entradas]]-cef[[#This Row],[Saídas]]</f>
        <v>318106.32999999996</v>
      </c>
      <c r="K8" s="380">
        <f>AVERAGE(J$3:J8)</f>
        <v>631367.77166666673</v>
      </c>
      <c r="L8" s="393" t="str">
        <f>IFERROR(cef[[#This Row],[Entradas]]/cef[[#This Row],[Saídas]],"Sem saídas")</f>
        <v>Sem saídas</v>
      </c>
      <c r="M8" s="382" t="e">
        <f>AVERAGE(L$3:L8)</f>
        <v>#DIV/0!</v>
      </c>
      <c r="AB8" s="389" t="s">
        <v>984</v>
      </c>
      <c r="AC8" s="399">
        <f>SUMPRODUCT(Y3:Y7,P3:P7) / SUM(P3:P7)</f>
        <v>945280.46533333324</v>
      </c>
    </row>
    <row r="9" spans="1:29" x14ac:dyDescent="0.25">
      <c r="A9" s="391" t="s">
        <v>7</v>
      </c>
      <c r="B9" s="392">
        <v>45536</v>
      </c>
      <c r="C9" s="380">
        <v>509647.36000000004</v>
      </c>
      <c r="D9" s="380">
        <v>409324.24999999994</v>
      </c>
      <c r="E9" s="380">
        <v>198297.96</v>
      </c>
      <c r="F9" s="380">
        <f>cef[[#This Row],[CEF (obra)]]+cef[[#This Row],[Pró soluto]]+cef[[#This Row],[PJ CEF]]</f>
        <v>1117269.57</v>
      </c>
      <c r="G9" s="380"/>
      <c r="H9" s="380"/>
      <c r="I9" s="380"/>
      <c r="J9" s="380">
        <f>cef[[#This Row],[Entradas]]-cef[[#This Row],[Saídas]]</f>
        <v>1117269.57</v>
      </c>
      <c r="K9" s="380">
        <f>AVERAGE(J$3:J9)</f>
        <v>700782.3142857143</v>
      </c>
      <c r="L9" s="393" t="str">
        <f>IFERROR(cef[[#This Row],[Entradas]]/cef[[#This Row],[Saídas]],"Sem saídas")</f>
        <v>Sem saídas</v>
      </c>
      <c r="M9" s="382" t="e">
        <f>AVERAGE(L$3:L9)</f>
        <v>#DIV/0!</v>
      </c>
      <c r="AB9" s="407" t="s">
        <v>982</v>
      </c>
      <c r="AC9" s="406">
        <f>SUMPRODUCT(Z3:Z7,P3:P7) / SUM(P3:P7)</f>
        <v>682510.87302384991</v>
      </c>
    </row>
    <row r="10" spans="1:29" x14ac:dyDescent="0.25">
      <c r="A10" s="391" t="s">
        <v>7</v>
      </c>
      <c r="B10" s="392">
        <v>45566</v>
      </c>
      <c r="C10" s="380">
        <v>969311.5199999999</v>
      </c>
      <c r="D10" s="380">
        <v>338147.83999999991</v>
      </c>
      <c r="E10" s="380">
        <v>473587.72</v>
      </c>
      <c r="F10" s="380">
        <f>cef[[#This Row],[CEF (obra)]]+cef[[#This Row],[Pró soluto]]+cef[[#This Row],[PJ CEF]]</f>
        <v>1781047.0799999998</v>
      </c>
      <c r="G10" s="380"/>
      <c r="H10" s="380"/>
      <c r="I10" s="380"/>
      <c r="J10" s="380">
        <f>cef[[#This Row],[Entradas]]-cef[[#This Row],[Saídas]]</f>
        <v>1781047.0799999998</v>
      </c>
      <c r="K10" s="380">
        <f>AVERAGE(J$3:J10)</f>
        <v>835815.41</v>
      </c>
      <c r="L10" s="393" t="str">
        <f>IFERROR(cef[[#This Row],[Entradas]]/cef[[#This Row],[Saídas]],"Sem saídas")</f>
        <v>Sem saídas</v>
      </c>
      <c r="M10" s="382" t="e">
        <f>AVERAGE(L$3:L10)</f>
        <v>#DIV/0!</v>
      </c>
    </row>
    <row r="11" spans="1:29" x14ac:dyDescent="0.25">
      <c r="A11" s="391" t="s">
        <v>7</v>
      </c>
      <c r="B11" s="392">
        <v>45597</v>
      </c>
      <c r="C11" s="380">
        <v>52707.86</v>
      </c>
      <c r="D11" s="380">
        <v>214826.67</v>
      </c>
      <c r="E11" s="380">
        <v>0</v>
      </c>
      <c r="F11" s="380">
        <f>cef[[#This Row],[CEF (obra)]]+cef[[#This Row],[Pró soluto]]+cef[[#This Row],[PJ CEF]]</f>
        <v>267534.53000000003</v>
      </c>
      <c r="G11" s="380"/>
      <c r="H11" s="380"/>
      <c r="I11" s="380"/>
      <c r="J11" s="380">
        <f>cef[[#This Row],[Entradas]]-cef[[#This Row],[Saídas]]</f>
        <v>267534.53000000003</v>
      </c>
      <c r="K11" s="380">
        <f>AVERAGE(J$3:J11)</f>
        <v>772673.09000000008</v>
      </c>
      <c r="L11" s="393" t="str">
        <f>IFERROR(cef[[#This Row],[Entradas]]/cef[[#This Row],[Saídas]],"Sem saídas")</f>
        <v>Sem saídas</v>
      </c>
      <c r="M11" s="382" t="e">
        <f>AVERAGE(L$3:L11)</f>
        <v>#DIV/0!</v>
      </c>
    </row>
    <row r="12" spans="1:29" x14ac:dyDescent="0.25">
      <c r="A12" s="391" t="s">
        <v>7</v>
      </c>
      <c r="B12" s="392">
        <v>45627</v>
      </c>
      <c r="C12" s="380">
        <v>601390.48999999976</v>
      </c>
      <c r="D12" s="380">
        <v>487455.56000000011</v>
      </c>
      <c r="E12" s="380">
        <v>293595.69</v>
      </c>
      <c r="F12" s="380">
        <f>cef[[#This Row],[CEF (obra)]]+cef[[#This Row],[Pró soluto]]+cef[[#This Row],[PJ CEF]]</f>
        <v>1382441.7399999998</v>
      </c>
      <c r="G12" s="380"/>
      <c r="H12" s="380"/>
      <c r="I12" s="380"/>
      <c r="J12" s="380">
        <f>cef[[#This Row],[Entradas]]-cef[[#This Row],[Saídas]]</f>
        <v>1382441.7399999998</v>
      </c>
      <c r="K12" s="380">
        <f>AVERAGE(J$3:J12)</f>
        <v>833649.95500000007</v>
      </c>
      <c r="L12" s="393" t="str">
        <f>IFERROR(cef[[#This Row],[Entradas]]/cef[[#This Row],[Saídas]],"Sem saídas")</f>
        <v>Sem saídas</v>
      </c>
      <c r="M12" s="382" t="e">
        <f>AVERAGE(L$3:L12)</f>
        <v>#DIV/0!</v>
      </c>
    </row>
    <row r="13" spans="1:29" x14ac:dyDescent="0.25">
      <c r="A13" s="391" t="s">
        <v>7</v>
      </c>
      <c r="B13" s="392">
        <v>45658</v>
      </c>
      <c r="C13" s="380">
        <v>1077839.4699999997</v>
      </c>
      <c r="D13" s="380">
        <v>173810.00000000003</v>
      </c>
      <c r="E13" s="380">
        <v>489068.85</v>
      </c>
      <c r="F13" s="380">
        <f>cef[[#This Row],[CEF (obra)]]+cef[[#This Row],[Pró soluto]]+cef[[#This Row],[PJ CEF]]</f>
        <v>1740718.3199999998</v>
      </c>
      <c r="G13" s="380"/>
      <c r="H13" s="380"/>
      <c r="I13" s="380"/>
      <c r="J13" s="380">
        <f>cef[[#This Row],[Entradas]]-cef[[#This Row],[Saídas]]</f>
        <v>1740718.3199999998</v>
      </c>
      <c r="K13" s="380">
        <f>AVERAGE(J$3:J13)</f>
        <v>916110.71545454557</v>
      </c>
      <c r="L13" s="393" t="str">
        <f>IFERROR(cef[[#This Row],[Entradas]]/cef[[#This Row],[Saídas]],"Sem saídas")</f>
        <v>Sem saídas</v>
      </c>
      <c r="M13" s="382" t="e">
        <f>AVERAGE(L$3:L13)</f>
        <v>#DIV/0!</v>
      </c>
    </row>
    <row r="14" spans="1:29" x14ac:dyDescent="0.25">
      <c r="A14" s="391" t="s">
        <v>7</v>
      </c>
      <c r="B14" s="392">
        <v>45689</v>
      </c>
      <c r="C14" s="380">
        <v>0</v>
      </c>
      <c r="D14" s="380">
        <v>194801.1</v>
      </c>
      <c r="E14" s="380">
        <v>0</v>
      </c>
      <c r="F14" s="380">
        <f>cef[[#This Row],[CEF (obra)]]+cef[[#This Row],[Pró soluto]]+cef[[#This Row],[PJ CEF]]</f>
        <v>194801.1</v>
      </c>
      <c r="G14" s="380"/>
      <c r="H14" s="380"/>
      <c r="I14" s="380"/>
      <c r="J14" s="380">
        <f>cef[[#This Row],[Entradas]]-cef[[#This Row],[Saídas]]</f>
        <v>194801.1</v>
      </c>
      <c r="K14" s="380">
        <f>AVERAGE(J$3:J14)</f>
        <v>856001.58083333343</v>
      </c>
      <c r="L14" s="393" t="str">
        <f>IFERROR(cef[[#This Row],[Entradas]]/cef[[#This Row],[Saídas]],"Sem saídas")</f>
        <v>Sem saídas</v>
      </c>
      <c r="M14" s="382" t="e">
        <f>AVERAGE(L$3:L14)</f>
        <v>#DIV/0!</v>
      </c>
    </row>
    <row r="15" spans="1:29" x14ac:dyDescent="0.25">
      <c r="A15" s="391" t="s">
        <v>7</v>
      </c>
      <c r="B15" s="392">
        <v>45717</v>
      </c>
      <c r="C15" s="380">
        <v>811541.83000000007</v>
      </c>
      <c r="D15" s="380">
        <v>178684.22</v>
      </c>
      <c r="E15" s="380">
        <v>385006.39</v>
      </c>
      <c r="F15" s="380">
        <f>cef[[#This Row],[CEF (obra)]]+cef[[#This Row],[Pró soluto]]+cef[[#This Row],[PJ CEF]]</f>
        <v>1375232.44</v>
      </c>
      <c r="G15" s="380"/>
      <c r="H15" s="380"/>
      <c r="I15" s="380"/>
      <c r="J15" s="380">
        <f>cef[[#This Row],[Entradas]]-cef[[#This Row],[Saídas]]</f>
        <v>1375232.44</v>
      </c>
      <c r="K15" s="380">
        <f>AVERAGE(J$3:J15)</f>
        <v>895942.41615384619</v>
      </c>
      <c r="L15" s="393" t="str">
        <f>IFERROR(cef[[#This Row],[Entradas]]/cef[[#This Row],[Saídas]],"Sem saídas")</f>
        <v>Sem saídas</v>
      </c>
      <c r="M15" s="382" t="e">
        <f>AVERAGE(L$3:L15)</f>
        <v>#DIV/0!</v>
      </c>
    </row>
    <row r="16" spans="1:29" x14ac:dyDescent="0.25">
      <c r="A16" s="391" t="s">
        <v>7</v>
      </c>
      <c r="B16" s="392">
        <v>45748</v>
      </c>
      <c r="C16" s="380">
        <v>471853.59000000008</v>
      </c>
      <c r="D16" s="380">
        <v>161090.87</v>
      </c>
      <c r="E16" s="380">
        <v>223853.73</v>
      </c>
      <c r="F16" s="380">
        <f>cef[[#This Row],[CEF (obra)]]+cef[[#This Row],[Pró soluto]]+cef[[#This Row],[PJ CEF]]</f>
        <v>856798.19000000006</v>
      </c>
      <c r="G16" s="380"/>
      <c r="H16" s="380"/>
      <c r="I16" s="380"/>
      <c r="J16" s="380">
        <f>cef[[#This Row],[Entradas]]-cef[[#This Row],[Saídas]]</f>
        <v>856798.19000000006</v>
      </c>
      <c r="K16" s="380">
        <f>AVERAGE(J$3:J16)</f>
        <v>893146.4</v>
      </c>
      <c r="L16" s="393" t="str">
        <f>IFERROR(cef[[#This Row],[Entradas]]/cef[[#This Row],[Saídas]],"Sem saídas")</f>
        <v>Sem saídas</v>
      </c>
      <c r="M16" s="382" t="e">
        <f>AVERAGE(L$3:L16)</f>
        <v>#DIV/0!</v>
      </c>
    </row>
    <row r="17" spans="1:13" x14ac:dyDescent="0.25">
      <c r="A17" s="391" t="s">
        <v>7</v>
      </c>
      <c r="B17" s="392">
        <v>45778</v>
      </c>
      <c r="C17" s="380">
        <v>284039.48000000004</v>
      </c>
      <c r="D17" s="380">
        <v>171594.68999999997</v>
      </c>
      <c r="E17" s="380">
        <v>134752.4</v>
      </c>
      <c r="F17" s="380">
        <f>cef[[#This Row],[CEF (obra)]]+cef[[#This Row],[Pró soluto]]+cef[[#This Row],[PJ CEF]]</f>
        <v>590386.57000000007</v>
      </c>
      <c r="G17" s="380"/>
      <c r="H17" s="380"/>
      <c r="I17" s="380"/>
      <c r="J17" s="380">
        <f>cef[[#This Row],[Entradas]]-cef[[#This Row],[Saídas]]</f>
        <v>590386.57000000007</v>
      </c>
      <c r="K17" s="380">
        <f>AVERAGE(J$3:J17)</f>
        <v>872962.41133333335</v>
      </c>
      <c r="L17" s="393" t="str">
        <f>IFERROR(cef[[#This Row],[Entradas]]/cef[[#This Row],[Saídas]],"Sem saídas")</f>
        <v>Sem saídas</v>
      </c>
      <c r="M17" s="382" t="e">
        <f>AVERAGE(L$3:L17)</f>
        <v>#DIV/0!</v>
      </c>
    </row>
    <row r="18" spans="1:13" x14ac:dyDescent="0.25">
      <c r="A18" s="391" t="s">
        <v>7</v>
      </c>
      <c r="B18" s="392">
        <v>45809</v>
      </c>
      <c r="C18" s="380">
        <v>609815.7200000002</v>
      </c>
      <c r="D18" s="380">
        <v>205826.19</v>
      </c>
      <c r="E18" s="380">
        <v>289304.8</v>
      </c>
      <c r="F18" s="380">
        <f>cef[[#This Row],[CEF (obra)]]+cef[[#This Row],[Pró soluto]]+cef[[#This Row],[PJ CEF]]</f>
        <v>1104946.7100000002</v>
      </c>
      <c r="G18" s="380"/>
      <c r="H18" s="380"/>
      <c r="I18" s="380"/>
      <c r="J18" s="380">
        <f>cef[[#This Row],[Entradas]]-cef[[#This Row],[Saídas]]</f>
        <v>1104946.7100000002</v>
      </c>
      <c r="K18" s="380">
        <f>AVERAGE(J$3:J18)</f>
        <v>887461.43</v>
      </c>
      <c r="L18" s="393" t="str">
        <f>IFERROR(cef[[#This Row],[Entradas]]/cef[[#This Row],[Saídas]],"Sem saídas")</f>
        <v>Sem saídas</v>
      </c>
      <c r="M18" s="382" t="e">
        <f>AVERAGE(L$3:L18)</f>
        <v>#DIV/0!</v>
      </c>
    </row>
    <row r="19" spans="1:13" x14ac:dyDescent="0.25">
      <c r="A19" s="391" t="s">
        <v>7</v>
      </c>
      <c r="B19" s="392">
        <v>45839</v>
      </c>
      <c r="C19" s="380">
        <v>361715.72000000009</v>
      </c>
      <c r="D19" s="380">
        <v>200933.43000000005</v>
      </c>
      <c r="E19" s="380">
        <v>171602.91</v>
      </c>
      <c r="F19" s="380">
        <f>cef[[#This Row],[CEF (obra)]]+cef[[#This Row],[Pró soluto]]+cef[[#This Row],[PJ CEF]]</f>
        <v>734252.06000000017</v>
      </c>
      <c r="G19" s="380"/>
      <c r="H19" s="380"/>
      <c r="I19" s="380"/>
      <c r="J19" s="380">
        <f>cef[[#This Row],[Entradas]]-cef[[#This Row],[Saídas]]</f>
        <v>734252.06000000017</v>
      </c>
      <c r="K19" s="380">
        <f>AVERAGE(J$3:J19)</f>
        <v>878449.11411764717</v>
      </c>
      <c r="L19" s="393" t="str">
        <f>IFERROR(cef[[#This Row],[Entradas]]/cef[[#This Row],[Saídas]],"Sem saídas")</f>
        <v>Sem saídas</v>
      </c>
      <c r="M19" s="382" t="e">
        <f>AVERAGE(L$3:L19)</f>
        <v>#DIV/0!</v>
      </c>
    </row>
    <row r="20" spans="1:13" x14ac:dyDescent="0.25">
      <c r="A20" s="391" t="s">
        <v>7</v>
      </c>
      <c r="B20" s="392">
        <v>45870</v>
      </c>
      <c r="C20" s="380">
        <v>1113631.06</v>
      </c>
      <c r="D20" s="380">
        <v>158381.34000000003</v>
      </c>
      <c r="E20" s="380">
        <v>366306.04</v>
      </c>
      <c r="F20" s="380">
        <f>cef[[#This Row],[CEF (obra)]]+cef[[#This Row],[Pró soluto]]+cef[[#This Row],[PJ CEF]]</f>
        <v>1638318.4400000002</v>
      </c>
      <c r="G20" s="380"/>
      <c r="H20" s="380"/>
      <c r="I20" s="380"/>
      <c r="J20" s="380">
        <f>cef[[#This Row],[Entradas]]-cef[[#This Row],[Saídas]]</f>
        <v>1638318.4400000002</v>
      </c>
      <c r="K20" s="380">
        <f>AVERAGE(J$3:J20)</f>
        <v>920664.07666666666</v>
      </c>
      <c r="L20" s="393" t="str">
        <f>IFERROR(cef[[#This Row],[Entradas]]/cef[[#This Row],[Saídas]],"Sem saídas")</f>
        <v>Sem saídas</v>
      </c>
      <c r="M20" s="382" t="e">
        <f>AVERAGE(L$3:L20)</f>
        <v>#DIV/0!</v>
      </c>
    </row>
    <row r="21" spans="1:13" x14ac:dyDescent="0.25">
      <c r="A21" s="391" t="s">
        <v>7</v>
      </c>
      <c r="B21" s="392">
        <v>45901</v>
      </c>
      <c r="C21" s="380">
        <v>534686.05000000016</v>
      </c>
      <c r="D21" s="380">
        <v>164561.26999999993</v>
      </c>
      <c r="E21" s="380">
        <v>181081.21</v>
      </c>
      <c r="F21" s="380">
        <f>cef[[#This Row],[CEF (obra)]]+cef[[#This Row],[Pró soluto]]+cef[[#This Row],[PJ CEF]]</f>
        <v>880328.53</v>
      </c>
      <c r="G21" s="380"/>
      <c r="H21" s="380"/>
      <c r="I21" s="380"/>
      <c r="J21" s="380">
        <f>cef[[#This Row],[Entradas]]-cef[[#This Row],[Saídas]]</f>
        <v>880328.53</v>
      </c>
      <c r="K21" s="380">
        <f>AVERAGE(J$3:J21)</f>
        <v>918541.15315789473</v>
      </c>
      <c r="L21" s="393" t="str">
        <f>IFERROR(cef[[#This Row],[Entradas]]/cef[[#This Row],[Saídas]],"Sem saídas")</f>
        <v>Sem saídas</v>
      </c>
      <c r="M21" s="382" t="e">
        <f>AVERAGE(L$3:L21)</f>
        <v>#DIV/0!</v>
      </c>
    </row>
    <row r="22" spans="1:13" x14ac:dyDescent="0.25">
      <c r="A22" s="391" t="s">
        <v>7</v>
      </c>
      <c r="B22" s="392">
        <v>45931</v>
      </c>
      <c r="C22" s="380">
        <v>666693.91000000015</v>
      </c>
      <c r="D22" s="380">
        <v>169178.13000000003</v>
      </c>
      <c r="E22" s="380">
        <v>266613.7</v>
      </c>
      <c r="F22" s="380">
        <f>cef[[#This Row],[CEF (obra)]]+cef[[#This Row],[Pró soluto]]+cef[[#This Row],[PJ CEF]]</f>
        <v>1102485.7400000002</v>
      </c>
      <c r="G22" s="380"/>
      <c r="H22" s="380"/>
      <c r="I22" s="380"/>
      <c r="J22" s="380">
        <f>cef[[#This Row],[Entradas]]-cef[[#This Row],[Saídas]]</f>
        <v>1102485.7400000002</v>
      </c>
      <c r="K22" s="380">
        <f>AVERAGE(J$3:J22)</f>
        <v>927738.38249999995</v>
      </c>
      <c r="L22" s="393" t="str">
        <f>IFERROR(cef[[#This Row],[Entradas]]/cef[[#This Row],[Saídas]],"Sem saídas")</f>
        <v>Sem saídas</v>
      </c>
      <c r="M22" s="382" t="e">
        <f>AVERAGE(L$3:L22)</f>
        <v>#DIV/0!</v>
      </c>
    </row>
    <row r="23" spans="1:13" x14ac:dyDescent="0.25">
      <c r="A23" s="391" t="s">
        <v>7</v>
      </c>
      <c r="B23" s="392">
        <v>45962</v>
      </c>
      <c r="C23" s="380">
        <v>583665.29999999993</v>
      </c>
      <c r="D23" s="380">
        <v>465485.06000000006</v>
      </c>
      <c r="E23" s="380">
        <v>230479.34</v>
      </c>
      <c r="F23" s="380">
        <f>cef[[#This Row],[CEF (obra)]]+cef[[#This Row],[Pró soluto]]+cef[[#This Row],[PJ CEF]]</f>
        <v>1279629.7</v>
      </c>
      <c r="G23" s="380"/>
      <c r="H23" s="380"/>
      <c r="I23" s="380"/>
      <c r="J23" s="380">
        <f>cef[[#This Row],[Entradas]]-cef[[#This Row],[Saídas]]</f>
        <v>1279629.7</v>
      </c>
      <c r="K23" s="380">
        <f>AVERAGE(J$3:J23)</f>
        <v>944495.11190476175</v>
      </c>
      <c r="L23" s="393" t="str">
        <f>IFERROR(cef[[#This Row],[Entradas]]/cef[[#This Row],[Saídas]],"Sem saídas")</f>
        <v>Sem saídas</v>
      </c>
      <c r="M23" s="382" t="e">
        <f>AVERAGE(L$3:L23)</f>
        <v>#DIV/0!</v>
      </c>
    </row>
    <row r="24" spans="1:13" x14ac:dyDescent="0.25">
      <c r="A24" s="391" t="s">
        <v>7</v>
      </c>
      <c r="B24" s="392">
        <v>45992</v>
      </c>
      <c r="C24" s="380">
        <v>1179535.3499999996</v>
      </c>
      <c r="D24" s="380">
        <v>479500.67999999976</v>
      </c>
      <c r="E24" s="380">
        <v>471701.2</v>
      </c>
      <c r="F24" s="380">
        <f>cef[[#This Row],[CEF (obra)]]+cef[[#This Row],[Pró soluto]]+cef[[#This Row],[PJ CEF]]</f>
        <v>2130737.2299999995</v>
      </c>
      <c r="G24" s="380"/>
      <c r="H24" s="380"/>
      <c r="I24" s="380"/>
      <c r="J24" s="380">
        <f>cef[[#This Row],[Entradas]]-cef[[#This Row],[Saídas]]</f>
        <v>2130737.2299999995</v>
      </c>
      <c r="K24" s="380">
        <f>AVERAGE(J$3:J24)</f>
        <v>998415.20818181813</v>
      </c>
      <c r="L24" s="393" t="str">
        <f>IFERROR(cef[[#This Row],[Entradas]]/cef[[#This Row],[Saídas]],"Sem saídas")</f>
        <v>Sem saídas</v>
      </c>
      <c r="M24" s="382" t="e">
        <f>AVERAGE(L$3:L24)</f>
        <v>#DIV/0!</v>
      </c>
    </row>
    <row r="25" spans="1:13" x14ac:dyDescent="0.25">
      <c r="A25" s="391" t="s">
        <v>7</v>
      </c>
      <c r="B25" s="392">
        <v>46023</v>
      </c>
      <c r="C25" s="380">
        <v>147152.89000000001</v>
      </c>
      <c r="D25" s="380">
        <v>412059.62999999989</v>
      </c>
      <c r="E25" s="380">
        <v>0</v>
      </c>
      <c r="F25" s="380">
        <f>cef[[#This Row],[CEF (obra)]]+cef[[#This Row],[Pró soluto]]+cef[[#This Row],[PJ CEF]]</f>
        <v>559212.5199999999</v>
      </c>
      <c r="G25" s="380"/>
      <c r="H25" s="380"/>
      <c r="I25" s="380"/>
      <c r="J25" s="380">
        <f>cef[[#This Row],[Entradas]]-cef[[#This Row],[Saídas]]</f>
        <v>559212.5199999999</v>
      </c>
      <c r="K25" s="380">
        <f>AVERAGE(J$3:J25)</f>
        <v>979319.43913043465</v>
      </c>
      <c r="L25" s="393" t="str">
        <f>IFERROR(cef[[#This Row],[Entradas]]/cef[[#This Row],[Saídas]],"Sem saídas")</f>
        <v>Sem saídas</v>
      </c>
      <c r="M25" s="382" t="e">
        <f>AVERAGE(L$3:L25)</f>
        <v>#DIV/0!</v>
      </c>
    </row>
    <row r="26" spans="1:13" x14ac:dyDescent="0.25">
      <c r="A26" s="391" t="s">
        <v>7</v>
      </c>
      <c r="B26" s="392">
        <v>46054</v>
      </c>
      <c r="C26" s="380">
        <v>122433.73999999996</v>
      </c>
      <c r="D26" s="380">
        <v>218124.53000000006</v>
      </c>
      <c r="E26" s="380">
        <v>46792.36</v>
      </c>
      <c r="F26" s="380">
        <f>cef[[#This Row],[CEF (obra)]]+cef[[#This Row],[Pró soluto]]+cef[[#This Row],[PJ CEF]]</f>
        <v>387350.63</v>
      </c>
      <c r="G26" s="380"/>
      <c r="H26" s="380"/>
      <c r="I26" s="380"/>
      <c r="J26" s="380">
        <f>cef[[#This Row],[Entradas]]-cef[[#This Row],[Saídas]]</f>
        <v>387350.63</v>
      </c>
      <c r="K26" s="380">
        <f>AVERAGE(J$3:J26)</f>
        <v>954654.07208333316</v>
      </c>
      <c r="L26" s="393" t="str">
        <f>IFERROR(cef[[#This Row],[Entradas]]/cef[[#This Row],[Saídas]],"Sem saídas")</f>
        <v>Sem saídas</v>
      </c>
      <c r="M26" s="382" t="e">
        <f>AVERAGE(L$3:L26)</f>
        <v>#DIV/0!</v>
      </c>
    </row>
    <row r="27" spans="1:13" x14ac:dyDescent="0.25">
      <c r="A27" s="391" t="s">
        <v>7</v>
      </c>
      <c r="B27" s="392">
        <v>46082</v>
      </c>
      <c r="C27" s="380">
        <v>0</v>
      </c>
      <c r="D27" s="380">
        <v>48455.239999999991</v>
      </c>
      <c r="E27" s="380">
        <v>0</v>
      </c>
      <c r="F27" s="380">
        <f>cef[[#This Row],[CEF (obra)]]+cef[[#This Row],[Pró soluto]]+cef[[#This Row],[PJ CEF]]</f>
        <v>48455.239999999991</v>
      </c>
      <c r="G27" s="380"/>
      <c r="H27" s="380"/>
      <c r="I27" s="380"/>
      <c r="J27" s="417">
        <f>cef[[#This Row],[Entradas]]-cef[[#This Row],[Saídas]]</f>
        <v>48455.239999999991</v>
      </c>
      <c r="K27" s="380">
        <f>AVERAGE(J$3:J27)</f>
        <v>918406.11879999982</v>
      </c>
      <c r="L27" s="420" t="str">
        <f>IFERROR(cef[[#This Row],[Entradas]]/cef[[#This Row],[Saídas]],"Sem saídas")</f>
        <v>Sem saídas</v>
      </c>
      <c r="M27" s="382" t="e">
        <f>AVERAGE(L$3:L27)</f>
        <v>#DIV/0!</v>
      </c>
    </row>
    <row r="28" spans="1:13" x14ac:dyDescent="0.25">
      <c r="A28" s="391" t="s">
        <v>7</v>
      </c>
      <c r="B28" s="392">
        <v>46113</v>
      </c>
      <c r="C28" s="380">
        <v>469637.81</v>
      </c>
      <c r="D28" s="380">
        <v>107966.98000000001</v>
      </c>
      <c r="E28" s="380">
        <v>0</v>
      </c>
      <c r="F28" s="380">
        <f>cef[[#This Row],[CEF (obra)]]+cef[[#This Row],[Pró soluto]]+cef[[#This Row],[PJ CEF]]</f>
        <v>577604.79</v>
      </c>
      <c r="G28" s="380"/>
      <c r="H28" s="380"/>
      <c r="I28" s="380"/>
      <c r="J28" s="417">
        <f>cef[[#This Row],[Entradas]]-cef[[#This Row],[Saídas]]</f>
        <v>577604.79</v>
      </c>
      <c r="K28" s="380">
        <f>AVERAGE(J$3:J28)</f>
        <v>905298.37538461515</v>
      </c>
      <c r="L28" s="420" t="str">
        <f>IFERROR(cef[[#This Row],[Entradas]]/cef[[#This Row],[Saídas]],"Sem saídas")</f>
        <v>Sem saídas</v>
      </c>
      <c r="M28" s="382" t="e">
        <f>AVERAGE(L$3:L28)</f>
        <v>#DIV/0!</v>
      </c>
    </row>
    <row r="29" spans="1:13" x14ac:dyDescent="0.25">
      <c r="A29" s="391" t="s">
        <v>7</v>
      </c>
      <c r="B29" s="392">
        <v>46143</v>
      </c>
      <c r="C29" s="380">
        <v>0</v>
      </c>
      <c r="D29" s="380">
        <v>39191.94999999999</v>
      </c>
      <c r="E29" s="380">
        <v>0</v>
      </c>
      <c r="F29" s="380">
        <f>cef[[#This Row],[CEF (obra)]]+cef[[#This Row],[Pró soluto]]+cef[[#This Row],[PJ CEF]]</f>
        <v>39191.94999999999</v>
      </c>
      <c r="G29" s="380"/>
      <c r="H29" s="380"/>
      <c r="I29" s="380"/>
      <c r="J29" s="417">
        <f>cef[[#This Row],[Entradas]]-cef[[#This Row],[Saídas]]</f>
        <v>39191.94999999999</v>
      </c>
      <c r="K29" s="380">
        <f>AVERAGE(J$3:J29)</f>
        <v>873220.35962962941</v>
      </c>
      <c r="L29" s="420" t="str">
        <f>IFERROR(cef[[#This Row],[Entradas]]/cef[[#This Row],[Saídas]],"Sem saídas")</f>
        <v>Sem saídas</v>
      </c>
      <c r="M29" s="382" t="e">
        <f>AVERAGE(L$3:L29)</f>
        <v>#DIV/0!</v>
      </c>
    </row>
    <row r="30" spans="1:13" x14ac:dyDescent="0.25">
      <c r="A30" s="391" t="s">
        <v>7</v>
      </c>
      <c r="B30" s="392">
        <v>46174</v>
      </c>
      <c r="C30" s="380">
        <v>829983.75</v>
      </c>
      <c r="D30" s="380">
        <v>69795.810000000012</v>
      </c>
      <c r="E30" s="380">
        <v>207868.87</v>
      </c>
      <c r="F30" s="380">
        <f>cef[[#This Row],[CEF (obra)]]+cef[[#This Row],[Pró soluto]]+cef[[#This Row],[PJ CEF]]</f>
        <v>1107648.4300000002</v>
      </c>
      <c r="G30" s="380"/>
      <c r="H30" s="380"/>
      <c r="I30" s="380"/>
      <c r="J30" s="417">
        <f>cef[[#This Row],[Entradas]]-cef[[#This Row],[Saídas]]</f>
        <v>1107648.4300000002</v>
      </c>
      <c r="K30" s="380">
        <f>AVERAGE(J$3:J30)</f>
        <v>881592.79071428545</v>
      </c>
      <c r="L30" s="420" t="str">
        <f>IFERROR(cef[[#This Row],[Entradas]]/cef[[#This Row],[Saídas]],"Sem saídas")</f>
        <v>Sem saídas</v>
      </c>
      <c r="M30" s="382" t="e">
        <f>AVERAGE(L$3:L30)</f>
        <v>#DIV/0!</v>
      </c>
    </row>
    <row r="31" spans="1:13" x14ac:dyDescent="0.25">
      <c r="A31" s="377" t="s">
        <v>8</v>
      </c>
      <c r="B31" s="378">
        <v>44986</v>
      </c>
      <c r="C31" s="379">
        <v>940381.03999999992</v>
      </c>
      <c r="D31" s="379">
        <v>444732.49000000005</v>
      </c>
      <c r="E31" s="379">
        <v>0</v>
      </c>
      <c r="F31" s="379">
        <f>cef[[#This Row],[CEF (obra)]]+cef[[#This Row],[Pró soluto]]+cef[[#This Row],[PJ CEF]]</f>
        <v>1385113.53</v>
      </c>
      <c r="G31" s="379"/>
      <c r="H31" s="379"/>
      <c r="I31" s="379"/>
      <c r="J31" s="418">
        <f>cef[[#This Row],[Entradas]]-cef[[#This Row],[Saídas]]</f>
        <v>1385113.53</v>
      </c>
      <c r="K31" s="380">
        <v>146318.1999999996</v>
      </c>
      <c r="L31" s="464" t="str">
        <f>IFERROR(cef[[#This Row],[Entradas]]/cef[[#This Row],[Saídas]],"Sem saídas")</f>
        <v>Sem saídas</v>
      </c>
      <c r="M31" s="382">
        <v>1.1842652654543053</v>
      </c>
    </row>
    <row r="32" spans="1:13" x14ac:dyDescent="0.25">
      <c r="A32" s="391" t="s">
        <v>8</v>
      </c>
      <c r="B32" s="392">
        <v>45017</v>
      </c>
      <c r="C32" s="380">
        <v>0</v>
      </c>
      <c r="D32" s="380">
        <v>184989.60000000003</v>
      </c>
      <c r="E32" s="380">
        <v>0</v>
      </c>
      <c r="F32" s="380">
        <f>cef[[#This Row],[CEF (obra)]]+cef[[#This Row],[Pró soluto]]+cef[[#This Row],[PJ CEF]]</f>
        <v>184989.60000000003</v>
      </c>
      <c r="G32" s="380"/>
      <c r="H32" s="380"/>
      <c r="I32" s="380"/>
      <c r="J32" s="417">
        <f>cef[[#This Row],[Entradas]]-cef[[#This Row],[Saídas]]</f>
        <v>184989.60000000003</v>
      </c>
      <c r="K32" s="380">
        <f>AVERAGE(J$31:J32)</f>
        <v>785051.56500000006</v>
      </c>
      <c r="L32" s="464" t="str">
        <f>IFERROR(cef[[#This Row],[Entradas]]/cef[[#This Row],[Saídas]],"Sem saídas")</f>
        <v>Sem saídas</v>
      </c>
      <c r="M32" s="382" t="e">
        <f>AVERAGE(L$31:L32)</f>
        <v>#DIV/0!</v>
      </c>
    </row>
    <row r="33" spans="1:18" x14ac:dyDescent="0.25">
      <c r="A33" s="391" t="s">
        <v>8</v>
      </c>
      <c r="B33" s="392">
        <v>45047</v>
      </c>
      <c r="C33" s="380">
        <v>354152.17000000004</v>
      </c>
      <c r="D33" s="380">
        <v>162624.99</v>
      </c>
      <c r="E33" s="380">
        <v>0</v>
      </c>
      <c r="F33" s="380">
        <f>cef[[#This Row],[CEF (obra)]]+cef[[#This Row],[Pró soluto]]+cef[[#This Row],[PJ CEF]]</f>
        <v>516777.16000000003</v>
      </c>
      <c r="G33" s="380"/>
      <c r="H33" s="380"/>
      <c r="I33" s="380"/>
      <c r="J33" s="417">
        <f>cef[[#This Row],[Entradas]]-cef[[#This Row],[Saídas]]</f>
        <v>516777.16000000003</v>
      </c>
      <c r="K33" s="380">
        <f>AVERAGE(J$31:J33)</f>
        <v>695626.76333333331</v>
      </c>
      <c r="L33" s="464" t="str">
        <f>IFERROR(cef[[#This Row],[Entradas]]/cef[[#This Row],[Saídas]],"Sem saídas")</f>
        <v>Sem saídas</v>
      </c>
      <c r="M33" s="382" t="e">
        <f>AVERAGE(L$31:L33)</f>
        <v>#DIV/0!</v>
      </c>
    </row>
    <row r="34" spans="1:18" x14ac:dyDescent="0.25">
      <c r="A34" s="391" t="s">
        <v>8</v>
      </c>
      <c r="B34" s="392">
        <v>45078</v>
      </c>
      <c r="C34" s="380">
        <v>97928.36</v>
      </c>
      <c r="D34" s="380">
        <v>227589.05</v>
      </c>
      <c r="E34" s="380">
        <v>0</v>
      </c>
      <c r="F34" s="380">
        <f>cef[[#This Row],[CEF (obra)]]+cef[[#This Row],[Pró soluto]]+cef[[#This Row],[PJ CEF]]</f>
        <v>325517.40999999997</v>
      </c>
      <c r="G34" s="380"/>
      <c r="H34" s="380"/>
      <c r="I34" s="380"/>
      <c r="J34" s="417">
        <f>cef[[#This Row],[Entradas]]-cef[[#This Row],[Saídas]]</f>
        <v>325517.40999999997</v>
      </c>
      <c r="K34" s="380">
        <f>AVERAGE(J$31:J34)</f>
        <v>603099.42500000005</v>
      </c>
      <c r="L34" s="464" t="str">
        <f>IFERROR(cef[[#This Row],[Entradas]]/cef[[#This Row],[Saídas]],"Sem saídas")</f>
        <v>Sem saídas</v>
      </c>
      <c r="M34" s="382" t="e">
        <f>AVERAGE(L$31:L34)</f>
        <v>#DIV/0!</v>
      </c>
    </row>
    <row r="35" spans="1:18" x14ac:dyDescent="0.25">
      <c r="A35" s="391" t="s">
        <v>8</v>
      </c>
      <c r="B35" s="392">
        <v>45108</v>
      </c>
      <c r="C35" s="380">
        <v>272840.02999999997</v>
      </c>
      <c r="D35" s="380">
        <v>197270.41</v>
      </c>
      <c r="E35" s="380">
        <v>0</v>
      </c>
      <c r="F35" s="380">
        <f>cef[[#This Row],[CEF (obra)]]+cef[[#This Row],[Pró soluto]]+cef[[#This Row],[PJ CEF]]</f>
        <v>470110.43999999994</v>
      </c>
      <c r="G35" s="380"/>
      <c r="H35" s="380"/>
      <c r="I35" s="380"/>
      <c r="J35" s="417">
        <f>cef[[#This Row],[Entradas]]-cef[[#This Row],[Saídas]]</f>
        <v>470110.43999999994</v>
      </c>
      <c r="K35" s="380">
        <f>AVERAGE(J$31:J35)</f>
        <v>576501.62800000003</v>
      </c>
      <c r="L35" s="464" t="str">
        <f>IFERROR(cef[[#This Row],[Entradas]]/cef[[#This Row],[Saídas]],"Sem saídas")</f>
        <v>Sem saídas</v>
      </c>
      <c r="M35" s="382" t="e">
        <f>AVERAGE(L$31:L35)</f>
        <v>#DIV/0!</v>
      </c>
    </row>
    <row r="36" spans="1:18" x14ac:dyDescent="0.25">
      <c r="A36" s="391" t="s">
        <v>8</v>
      </c>
      <c r="B36" s="392">
        <v>45139</v>
      </c>
      <c r="C36" s="380">
        <v>376036.06999999989</v>
      </c>
      <c r="D36" s="380">
        <v>289818.55999999994</v>
      </c>
      <c r="E36" s="380">
        <v>327575.88</v>
      </c>
      <c r="F36" s="380">
        <f>cef[[#This Row],[CEF (obra)]]+cef[[#This Row],[Pró soluto]]+cef[[#This Row],[PJ CEF]]</f>
        <v>993430.50999999989</v>
      </c>
      <c r="G36" s="380"/>
      <c r="H36" s="380"/>
      <c r="I36" s="380"/>
      <c r="J36" s="417">
        <f>cef[[#This Row],[Entradas]]-cef[[#This Row],[Saídas]]</f>
        <v>993430.50999999989</v>
      </c>
      <c r="K36" s="380">
        <f>AVERAGE(J$31:J36)</f>
        <v>645989.77500000002</v>
      </c>
      <c r="L36" s="464" t="str">
        <f>IFERROR(cef[[#This Row],[Entradas]]/cef[[#This Row],[Saídas]],"Sem saídas")</f>
        <v>Sem saídas</v>
      </c>
      <c r="M36" s="382" t="e">
        <f>AVERAGE(L$31:L36)</f>
        <v>#DIV/0!</v>
      </c>
    </row>
    <row r="37" spans="1:18" x14ac:dyDescent="0.25">
      <c r="A37" s="391" t="s">
        <v>8</v>
      </c>
      <c r="B37" s="392">
        <v>45170</v>
      </c>
      <c r="C37" s="380">
        <v>570076.61</v>
      </c>
      <c r="D37" s="380">
        <v>184807.37000000002</v>
      </c>
      <c r="E37" s="380">
        <v>445799.01</v>
      </c>
      <c r="F37" s="380">
        <f>cef[[#This Row],[CEF (obra)]]+cef[[#This Row],[Pró soluto]]+cef[[#This Row],[PJ CEF]]</f>
        <v>1200682.99</v>
      </c>
      <c r="G37" s="380"/>
      <c r="H37" s="380"/>
      <c r="I37" s="380"/>
      <c r="J37" s="417">
        <f>cef[[#This Row],[Entradas]]-cef[[#This Row],[Saídas]]</f>
        <v>1200682.99</v>
      </c>
      <c r="K37" s="380">
        <f>AVERAGE(J$31:J37)</f>
        <v>725231.66285714286</v>
      </c>
      <c r="L37" s="464" t="str">
        <f>IFERROR(cef[[#This Row],[Entradas]]/cef[[#This Row],[Saídas]],"Sem saídas")</f>
        <v>Sem saídas</v>
      </c>
      <c r="M37" s="382" t="e">
        <f>AVERAGE(L$31:L37)</f>
        <v>#DIV/0!</v>
      </c>
    </row>
    <row r="38" spans="1:18" x14ac:dyDescent="0.25">
      <c r="A38" s="391" t="s">
        <v>8</v>
      </c>
      <c r="B38" s="392">
        <v>45200</v>
      </c>
      <c r="C38" s="380">
        <v>806848.97999999986</v>
      </c>
      <c r="D38" s="380">
        <v>223110.24000000011</v>
      </c>
      <c r="E38" s="380">
        <v>0</v>
      </c>
      <c r="F38" s="380">
        <f>cef[[#This Row],[CEF (obra)]]+cef[[#This Row],[Pró soluto]]+cef[[#This Row],[PJ CEF]]</f>
        <v>1029959.22</v>
      </c>
      <c r="G38" s="380"/>
      <c r="H38" s="380"/>
      <c r="I38" s="380"/>
      <c r="J38" s="417">
        <f>cef[[#This Row],[Entradas]]-cef[[#This Row],[Saídas]]</f>
        <v>1029959.22</v>
      </c>
      <c r="K38" s="380">
        <f>AVERAGE(J$31:J38)</f>
        <v>763322.60749999993</v>
      </c>
      <c r="L38" s="464" t="str">
        <f>IFERROR(cef[[#This Row],[Entradas]]/cef[[#This Row],[Saídas]],"Sem saídas")</f>
        <v>Sem saídas</v>
      </c>
      <c r="M38" s="382" t="e">
        <f>AVERAGE(L$31:L38)</f>
        <v>#DIV/0!</v>
      </c>
    </row>
    <row r="39" spans="1:18" x14ac:dyDescent="0.25">
      <c r="A39" s="391" t="s">
        <v>8</v>
      </c>
      <c r="B39" s="392">
        <v>45231</v>
      </c>
      <c r="C39" s="380">
        <v>1024749.6700000006</v>
      </c>
      <c r="D39" s="380">
        <v>323529.63999999996</v>
      </c>
      <c r="E39" s="380">
        <v>1455283.7599999998</v>
      </c>
      <c r="F39" s="380">
        <f>cef[[#This Row],[CEF (obra)]]+cef[[#This Row],[Pró soluto]]+cef[[#This Row],[PJ CEF]]</f>
        <v>2803563.0700000003</v>
      </c>
      <c r="G39" s="380"/>
      <c r="H39" s="380"/>
      <c r="I39" s="380"/>
      <c r="J39" s="417">
        <f>cef[[#This Row],[Entradas]]-cef[[#This Row],[Saídas]]</f>
        <v>2803563.0700000003</v>
      </c>
      <c r="K39" s="380">
        <f>AVERAGE(J$31:J39)</f>
        <v>990015.99222222215</v>
      </c>
      <c r="L39" s="464" t="str">
        <f>IFERROR(cef[[#This Row],[Entradas]]/cef[[#This Row],[Saídas]],"Sem saídas")</f>
        <v>Sem saídas</v>
      </c>
      <c r="M39" s="382" t="e">
        <f>AVERAGE(L$31:L39)</f>
        <v>#DIV/0!</v>
      </c>
    </row>
    <row r="40" spans="1:18" x14ac:dyDescent="0.25">
      <c r="A40" s="391" t="s">
        <v>8</v>
      </c>
      <c r="B40" s="392">
        <v>45261</v>
      </c>
      <c r="C40" s="380">
        <v>0</v>
      </c>
      <c r="D40" s="380">
        <v>572166.24999999965</v>
      </c>
      <c r="E40" s="380">
        <v>0</v>
      </c>
      <c r="F40" s="380">
        <f>cef[[#This Row],[CEF (obra)]]+cef[[#This Row],[Pró soluto]]+cef[[#This Row],[PJ CEF]]</f>
        <v>572166.24999999965</v>
      </c>
      <c r="G40" s="380"/>
      <c r="H40" s="380"/>
      <c r="I40" s="380"/>
      <c r="J40" s="417">
        <f>cef[[#This Row],[Entradas]]-cef[[#This Row],[Saídas]]</f>
        <v>572166.24999999965</v>
      </c>
      <c r="K40" s="380">
        <f>AVERAGE(J$31:J40)</f>
        <v>948231.01799999992</v>
      </c>
      <c r="L40" s="464" t="str">
        <f>IFERROR(cef[[#This Row],[Entradas]]/cef[[#This Row],[Saídas]],"Sem saídas")</f>
        <v>Sem saídas</v>
      </c>
      <c r="M40" s="382" t="e">
        <f>AVERAGE(L$31:L40)</f>
        <v>#DIV/0!</v>
      </c>
    </row>
    <row r="41" spans="1:18" x14ac:dyDescent="0.25">
      <c r="A41" s="391" t="s">
        <v>8</v>
      </c>
      <c r="B41" s="392">
        <v>45292</v>
      </c>
      <c r="C41" s="380">
        <v>1958683.9300000004</v>
      </c>
      <c r="D41" s="380">
        <v>284469.04999999993</v>
      </c>
      <c r="E41" s="380">
        <v>1292869.73</v>
      </c>
      <c r="F41" s="380">
        <f>cef[[#This Row],[CEF (obra)]]+cef[[#This Row],[Pró soluto]]+cef[[#This Row],[PJ CEF]]</f>
        <v>3536022.7100000004</v>
      </c>
      <c r="G41" s="380"/>
      <c r="H41" s="380"/>
      <c r="I41" s="380"/>
      <c r="J41" s="417">
        <f>cef[[#This Row],[Entradas]]-cef[[#This Row],[Saídas]]</f>
        <v>3536022.7100000004</v>
      </c>
      <c r="K41" s="380">
        <f>AVERAGE(J$31:J41)</f>
        <v>1183484.8081818183</v>
      </c>
      <c r="L41" s="464" t="str">
        <f>IFERROR(cef[[#This Row],[Entradas]]/cef[[#This Row],[Saídas]],"Sem saídas")</f>
        <v>Sem saídas</v>
      </c>
      <c r="M41" s="382" t="e">
        <f>AVERAGE(L$31:L41)</f>
        <v>#DIV/0!</v>
      </c>
      <c r="O41" s="416" t="s">
        <v>6</v>
      </c>
      <c r="P41" t="s">
        <v>12</v>
      </c>
    </row>
    <row r="42" spans="1:18" x14ac:dyDescent="0.25">
      <c r="A42" s="391" t="s">
        <v>8</v>
      </c>
      <c r="B42" s="392">
        <v>45323</v>
      </c>
      <c r="C42" s="380">
        <v>876359.16999999981</v>
      </c>
      <c r="D42" s="380">
        <v>259345.05000000005</v>
      </c>
      <c r="E42" s="380">
        <v>641961.35</v>
      </c>
      <c r="F42" s="380">
        <f>cef[[#This Row],[CEF (obra)]]+cef[[#This Row],[Pró soluto]]+cef[[#This Row],[PJ CEF]]</f>
        <v>1777665.5699999998</v>
      </c>
      <c r="G42" s="380"/>
      <c r="H42" s="380"/>
      <c r="I42" s="380"/>
      <c r="J42" s="417">
        <f>cef[[#This Row],[Entradas]]-cef[[#This Row],[Saídas]]</f>
        <v>1777665.5699999998</v>
      </c>
      <c r="K42" s="380">
        <f>AVERAGE(J$31:J42)</f>
        <v>1232999.8716666668</v>
      </c>
      <c r="L42" s="464" t="str">
        <f>IFERROR(cef[[#This Row],[Entradas]]/cef[[#This Row],[Saídas]],"Sem saídas")</f>
        <v>Sem saídas</v>
      </c>
      <c r="M42" s="382" t="e">
        <f>AVERAGE(L$31:L42)</f>
        <v>#DIV/0!</v>
      </c>
    </row>
    <row r="43" spans="1:18" x14ac:dyDescent="0.25">
      <c r="A43" s="391" t="s">
        <v>8</v>
      </c>
      <c r="B43" s="392">
        <v>45352</v>
      </c>
      <c r="C43" s="380">
        <v>563373.9700000002</v>
      </c>
      <c r="D43" s="380">
        <v>232898.46000000008</v>
      </c>
      <c r="E43" s="380">
        <v>412689.22</v>
      </c>
      <c r="F43" s="380">
        <f>cef[[#This Row],[CEF (obra)]]+cef[[#This Row],[Pró soluto]]+cef[[#This Row],[PJ CEF]]</f>
        <v>1208961.6500000004</v>
      </c>
      <c r="G43" s="380"/>
      <c r="H43" s="380"/>
      <c r="I43" s="380"/>
      <c r="J43" s="417">
        <f>cef[[#This Row],[Entradas]]-cef[[#This Row],[Saídas]]</f>
        <v>1208961.6500000004</v>
      </c>
      <c r="K43" s="380">
        <f>AVERAGE(J$31:J43)</f>
        <v>1231150.7776923077</v>
      </c>
      <c r="L43" s="464" t="str">
        <f>IFERROR(cef[[#This Row],[Entradas]]/cef[[#This Row],[Saídas]],"Sem saídas")</f>
        <v>Sem saídas</v>
      </c>
      <c r="M43" s="382" t="e">
        <f>AVERAGE(L$31:L43)</f>
        <v>#DIV/0!</v>
      </c>
      <c r="O43" s="416" t="s">
        <v>985</v>
      </c>
      <c r="P43" s="416" t="s">
        <v>986</v>
      </c>
    </row>
    <row r="44" spans="1:18" x14ac:dyDescent="0.25">
      <c r="A44" s="391" t="s">
        <v>8</v>
      </c>
      <c r="B44" s="392">
        <v>45383</v>
      </c>
      <c r="C44" s="380">
        <v>1012521.0400000002</v>
      </c>
      <c r="D44" s="380">
        <v>399255.82</v>
      </c>
      <c r="E44" s="380">
        <v>556963.03</v>
      </c>
      <c r="F44" s="380">
        <f>cef[[#This Row],[CEF (obra)]]+cef[[#This Row],[Pró soluto]]+cef[[#This Row],[PJ CEF]]</f>
        <v>1968739.8900000001</v>
      </c>
      <c r="G44" s="380"/>
      <c r="H44" s="380"/>
      <c r="I44" s="380"/>
      <c r="J44" s="417">
        <f>cef[[#This Row],[Entradas]]-cef[[#This Row],[Saídas]]</f>
        <v>1968739.8900000001</v>
      </c>
      <c r="K44" s="380">
        <f>AVERAGE(J$31:J44)</f>
        <v>1283835.7142857143</v>
      </c>
      <c r="L44" s="464" t="str">
        <f>IFERROR(cef[[#This Row],[Entradas]]/cef[[#This Row],[Saídas]],"Sem saídas")</f>
        <v>Sem saídas</v>
      </c>
      <c r="M44" s="382" t="e">
        <f>AVERAGE(L$31:L44)</f>
        <v>#DIV/0!</v>
      </c>
      <c r="O44" s="416" t="s">
        <v>987</v>
      </c>
      <c r="P44" t="s">
        <v>966</v>
      </c>
      <c r="Q44" t="s">
        <v>968</v>
      </c>
      <c r="R44" t="s">
        <v>989</v>
      </c>
    </row>
    <row r="45" spans="1:18" x14ac:dyDescent="0.25">
      <c r="A45" s="391" t="s">
        <v>8</v>
      </c>
      <c r="B45" s="392">
        <v>45413</v>
      </c>
      <c r="C45" s="380">
        <v>921286.14999999979</v>
      </c>
      <c r="D45" s="380">
        <v>168565.01</v>
      </c>
      <c r="E45" s="380">
        <v>0</v>
      </c>
      <c r="F45" s="380">
        <f>cef[[#This Row],[CEF (obra)]]+cef[[#This Row],[Pró soluto]]+cef[[#This Row],[PJ CEF]]</f>
        <v>1089851.1599999997</v>
      </c>
      <c r="G45" s="380"/>
      <c r="H45" s="380"/>
      <c r="I45" s="380"/>
      <c r="J45" s="417">
        <f>cef[[#This Row],[Entradas]]-cef[[#This Row],[Saídas]]</f>
        <v>1089851.1599999997</v>
      </c>
      <c r="K45" s="380">
        <f>AVERAGE(J$31:J45)</f>
        <v>1270903.4106666667</v>
      </c>
      <c r="L45" s="464" t="str">
        <f>IFERROR(cef[[#This Row],[Entradas]]/cef[[#This Row],[Saídas]],"Sem saídas")</f>
        <v>Sem saídas</v>
      </c>
      <c r="M45" s="382" t="e">
        <f>AVERAGE(L$31:L45)</f>
        <v>#DIV/0!</v>
      </c>
      <c r="O45" s="408">
        <v>45627</v>
      </c>
      <c r="P45" s="409">
        <v>1424402.83</v>
      </c>
      <c r="Q45" s="409">
        <v>1424402.83</v>
      </c>
      <c r="R45" s="409">
        <v>2848805.66</v>
      </c>
    </row>
    <row r="46" spans="1:18" x14ac:dyDescent="0.25">
      <c r="A46" s="391" t="s">
        <v>8</v>
      </c>
      <c r="B46" s="392">
        <v>45444</v>
      </c>
      <c r="C46" s="380">
        <v>788351.45000000007</v>
      </c>
      <c r="D46" s="380">
        <v>251690.35000000009</v>
      </c>
      <c r="E46" s="380">
        <v>0</v>
      </c>
      <c r="F46" s="380">
        <f>cef[[#This Row],[CEF (obra)]]+cef[[#This Row],[Pró soluto]]+cef[[#This Row],[PJ CEF]]</f>
        <v>1040041.8000000002</v>
      </c>
      <c r="G46" s="380"/>
      <c r="H46" s="380"/>
      <c r="I46" s="380"/>
      <c r="J46" s="417">
        <f>cef[[#This Row],[Entradas]]-cef[[#This Row],[Saídas]]</f>
        <v>1040041.8000000002</v>
      </c>
      <c r="K46" s="380">
        <f>AVERAGE(J$31:J46)</f>
        <v>1256474.56</v>
      </c>
      <c r="L46" s="464" t="str">
        <f>IFERROR(cef[[#This Row],[Entradas]]/cef[[#This Row],[Saídas]],"Sem saídas")</f>
        <v>Sem saídas</v>
      </c>
      <c r="M46" s="382" t="e">
        <f>AVERAGE(L$31:L46)</f>
        <v>#DIV/0!</v>
      </c>
      <c r="O46" s="408">
        <v>45658</v>
      </c>
      <c r="P46" s="409">
        <v>44304.369999999981</v>
      </c>
      <c r="Q46" s="409">
        <v>44304.369999999981</v>
      </c>
      <c r="R46" s="409">
        <v>88608.739999999962</v>
      </c>
    </row>
    <row r="47" spans="1:18" x14ac:dyDescent="0.25">
      <c r="A47" s="391" t="s">
        <v>8</v>
      </c>
      <c r="B47" s="392">
        <v>45474</v>
      </c>
      <c r="C47" s="380">
        <v>710607.38999999978</v>
      </c>
      <c r="D47" s="380">
        <v>195609.94000000003</v>
      </c>
      <c r="E47" s="380">
        <v>0</v>
      </c>
      <c r="F47" s="380">
        <f>cef[[#This Row],[CEF (obra)]]+cef[[#This Row],[Pró soluto]]+cef[[#This Row],[PJ CEF]]</f>
        <v>906217.32999999984</v>
      </c>
      <c r="G47" s="380"/>
      <c r="H47" s="380"/>
      <c r="I47" s="380"/>
      <c r="J47" s="417">
        <f>cef[[#This Row],[Entradas]]-cef[[#This Row],[Saídas]]</f>
        <v>906217.32999999984</v>
      </c>
      <c r="K47" s="380">
        <f>AVERAGE(J$31:J47)</f>
        <v>1235871.1935294117</v>
      </c>
      <c r="L47" s="464" t="str">
        <f>IFERROR(cef[[#This Row],[Entradas]]/cef[[#This Row],[Saídas]],"Sem saídas")</f>
        <v>Sem saídas</v>
      </c>
      <c r="M47" s="382" t="e">
        <f>AVERAGE(L$31:L47)</f>
        <v>#DIV/0!</v>
      </c>
      <c r="O47" s="408">
        <v>45689</v>
      </c>
      <c r="P47" s="409">
        <v>58613.389999999992</v>
      </c>
      <c r="Q47" s="409">
        <v>58613.389999999992</v>
      </c>
      <c r="R47" s="409">
        <v>117226.77999999998</v>
      </c>
    </row>
    <row r="48" spans="1:18" x14ac:dyDescent="0.25">
      <c r="A48" s="391" t="s">
        <v>8</v>
      </c>
      <c r="B48" s="392">
        <v>45505</v>
      </c>
      <c r="C48" s="380">
        <v>563053.46</v>
      </c>
      <c r="D48" s="380">
        <v>690843.96</v>
      </c>
      <c r="E48" s="380">
        <v>0</v>
      </c>
      <c r="F48" s="380">
        <f>cef[[#This Row],[CEF (obra)]]+cef[[#This Row],[Pró soluto]]+cef[[#This Row],[PJ CEF]]</f>
        <v>1253897.42</v>
      </c>
      <c r="G48" s="380"/>
      <c r="H48" s="380"/>
      <c r="I48" s="380"/>
      <c r="J48" s="417">
        <f>cef[[#This Row],[Entradas]]-cef[[#This Row],[Saídas]]</f>
        <v>1253897.42</v>
      </c>
      <c r="K48" s="380">
        <f>AVERAGE(J$31:J48)</f>
        <v>1236872.6505555557</v>
      </c>
      <c r="L48" s="464" t="str">
        <f>IFERROR(cef[[#This Row],[Entradas]]/cef[[#This Row],[Saídas]],"Sem saídas")</f>
        <v>Sem saídas</v>
      </c>
      <c r="M48" s="382" t="e">
        <f>AVERAGE(L$31:L48)</f>
        <v>#DIV/0!</v>
      </c>
      <c r="O48" s="408">
        <v>45717</v>
      </c>
      <c r="P48" s="409">
        <v>753489.6100000001</v>
      </c>
      <c r="Q48" s="409">
        <v>753489.6100000001</v>
      </c>
      <c r="R48" s="409">
        <v>1506979.2200000002</v>
      </c>
    </row>
    <row r="49" spans="1:42" x14ac:dyDescent="0.25">
      <c r="A49" s="391" t="s">
        <v>8</v>
      </c>
      <c r="B49" s="392">
        <v>45536</v>
      </c>
      <c r="C49" s="380">
        <v>469484.42999999993</v>
      </c>
      <c r="D49" s="380">
        <v>216855.5499999999</v>
      </c>
      <c r="E49" s="380">
        <v>0</v>
      </c>
      <c r="F49" s="380">
        <f>cef[[#This Row],[CEF (obra)]]+cef[[#This Row],[Pró soluto]]+cef[[#This Row],[PJ CEF]]</f>
        <v>686339.97999999986</v>
      </c>
      <c r="G49" s="380"/>
      <c r="H49" s="380"/>
      <c r="I49" s="380"/>
      <c r="J49" s="417">
        <f>cef[[#This Row],[Entradas]]-cef[[#This Row],[Saídas]]</f>
        <v>686339.97999999986</v>
      </c>
      <c r="K49" s="380">
        <f>AVERAGE(J$31:J49)</f>
        <v>1207897.2468421054</v>
      </c>
      <c r="L49" s="464" t="str">
        <f>IFERROR(cef[[#This Row],[Entradas]]/cef[[#This Row],[Saídas]],"Sem saídas")</f>
        <v>Sem saídas</v>
      </c>
      <c r="M49" s="382" t="e">
        <f>AVERAGE(L$31:L49)</f>
        <v>#DIV/0!</v>
      </c>
      <c r="O49" s="408">
        <v>45748</v>
      </c>
      <c r="P49" s="409">
        <v>651375.7300000001</v>
      </c>
      <c r="Q49" s="409">
        <v>651375.7300000001</v>
      </c>
      <c r="R49" s="409">
        <v>1302751.4600000002</v>
      </c>
    </row>
    <row r="50" spans="1:42" x14ac:dyDescent="0.25">
      <c r="A50" s="391" t="s">
        <v>8</v>
      </c>
      <c r="B50" s="392">
        <v>45566</v>
      </c>
      <c r="C50" s="380">
        <v>722801.88000000035</v>
      </c>
      <c r="D50" s="380">
        <v>522230.35</v>
      </c>
      <c r="E50" s="380">
        <v>0</v>
      </c>
      <c r="F50" s="380">
        <f>cef[[#This Row],[CEF (obra)]]+cef[[#This Row],[Pró soluto]]+cef[[#This Row],[PJ CEF]]</f>
        <v>1245032.2300000004</v>
      </c>
      <c r="G50" s="380"/>
      <c r="H50" s="380"/>
      <c r="I50" s="380"/>
      <c r="J50" s="417">
        <f>cef[[#This Row],[Entradas]]-cef[[#This Row],[Saídas]]</f>
        <v>1245032.2300000004</v>
      </c>
      <c r="K50" s="380">
        <f>AVERAGE(J$31:J50)</f>
        <v>1209753.996</v>
      </c>
      <c r="L50" s="464" t="str">
        <f>IFERROR(cef[[#This Row],[Entradas]]/cef[[#This Row],[Saídas]],"Sem saídas")</f>
        <v>Sem saídas</v>
      </c>
      <c r="M50" s="382" t="e">
        <f>AVERAGE(L$31:L50)</f>
        <v>#DIV/0!</v>
      </c>
      <c r="O50" s="408">
        <v>45778</v>
      </c>
      <c r="P50" s="409">
        <v>84505.01999999999</v>
      </c>
      <c r="Q50" s="409">
        <v>84505.01999999999</v>
      </c>
      <c r="R50" s="409">
        <v>169010.03999999998</v>
      </c>
    </row>
    <row r="51" spans="1:42" x14ac:dyDescent="0.25">
      <c r="A51" s="391" t="s">
        <v>8</v>
      </c>
      <c r="B51" s="392">
        <v>45597</v>
      </c>
      <c r="C51" s="380">
        <v>967451.24000000011</v>
      </c>
      <c r="D51" s="380">
        <v>230277.87000000005</v>
      </c>
      <c r="E51" s="380">
        <v>0</v>
      </c>
      <c r="F51" s="380">
        <f>cef[[#This Row],[CEF (obra)]]+cef[[#This Row],[Pró soluto]]+cef[[#This Row],[PJ CEF]]</f>
        <v>1197729.1100000001</v>
      </c>
      <c r="G51" s="380"/>
      <c r="H51" s="380"/>
      <c r="I51" s="380"/>
      <c r="J51" s="417">
        <f>cef[[#This Row],[Entradas]]-cef[[#This Row],[Saídas]]</f>
        <v>1197729.1100000001</v>
      </c>
      <c r="K51" s="380">
        <f>AVERAGE(J$31:J51)</f>
        <v>1209181.3823809524</v>
      </c>
      <c r="L51" s="464" t="str">
        <f>IFERROR(cef[[#This Row],[Entradas]]/cef[[#This Row],[Saídas]],"Sem saídas")</f>
        <v>Sem saídas</v>
      </c>
      <c r="M51" s="382" t="e">
        <f>AVERAGE(L$31:L51)</f>
        <v>#DIV/0!</v>
      </c>
      <c r="O51" s="408">
        <v>45809</v>
      </c>
      <c r="P51" s="409">
        <v>67778.12</v>
      </c>
      <c r="Q51" s="409">
        <v>67778.12</v>
      </c>
      <c r="R51" s="409">
        <v>135556.24</v>
      </c>
    </row>
    <row r="52" spans="1:42" x14ac:dyDescent="0.25">
      <c r="A52" s="391" t="s">
        <v>8</v>
      </c>
      <c r="B52" s="392">
        <v>45627</v>
      </c>
      <c r="C52" s="380">
        <v>701396.27999999991</v>
      </c>
      <c r="D52" s="380">
        <v>420295.62000000011</v>
      </c>
      <c r="E52" s="380">
        <v>0</v>
      </c>
      <c r="F52" s="380">
        <f>cef[[#This Row],[CEF (obra)]]+cef[[#This Row],[Pró soluto]]+cef[[#This Row],[PJ CEF]]</f>
        <v>1121691.8999999999</v>
      </c>
      <c r="G52" s="380"/>
      <c r="H52" s="380"/>
      <c r="I52" s="380"/>
      <c r="J52" s="417">
        <f>cef[[#This Row],[Entradas]]-cef[[#This Row],[Saídas]]</f>
        <v>1121691.8999999999</v>
      </c>
      <c r="K52" s="380">
        <f>AVERAGE(J$31:J52)</f>
        <v>1205204.5877272727</v>
      </c>
      <c r="L52" s="464" t="str">
        <f>IFERROR(cef[[#This Row],[Entradas]]/cef[[#This Row],[Saídas]],"Sem saídas")</f>
        <v>Sem saídas</v>
      </c>
      <c r="M52" s="382" t="e">
        <f>AVERAGE(L$31:L52)</f>
        <v>#DIV/0!</v>
      </c>
      <c r="O52" s="408">
        <v>45839</v>
      </c>
      <c r="P52" s="409">
        <v>2154177.1400000006</v>
      </c>
      <c r="Q52" s="409">
        <v>2154177.1400000006</v>
      </c>
      <c r="R52" s="409">
        <v>4308354.2800000012</v>
      </c>
    </row>
    <row r="53" spans="1:42" x14ac:dyDescent="0.25">
      <c r="A53" s="391" t="s">
        <v>8</v>
      </c>
      <c r="B53" s="392">
        <v>45658</v>
      </c>
      <c r="C53" s="380">
        <v>0</v>
      </c>
      <c r="D53" s="380">
        <v>214665.92</v>
      </c>
      <c r="E53" s="380">
        <v>0</v>
      </c>
      <c r="F53" s="380">
        <f>cef[[#This Row],[CEF (obra)]]+cef[[#This Row],[Pró soluto]]+cef[[#This Row],[PJ CEF]]</f>
        <v>214665.92</v>
      </c>
      <c r="G53" s="380"/>
      <c r="H53" s="380"/>
      <c r="I53" s="380"/>
      <c r="J53" s="417">
        <f>cef[[#This Row],[Entradas]]-cef[[#This Row],[Saídas]]</f>
        <v>214665.92</v>
      </c>
      <c r="K53" s="380">
        <f>AVERAGE(J$31:J53)</f>
        <v>1162137.6891304348</v>
      </c>
      <c r="L53" s="464" t="str">
        <f>IFERROR(cef[[#This Row],[Entradas]]/cef[[#This Row],[Saídas]],"Sem saídas")</f>
        <v>Sem saídas</v>
      </c>
      <c r="M53" s="382" t="e">
        <f>AVERAGE(L$31:L53)</f>
        <v>#DIV/0!</v>
      </c>
      <c r="O53" s="408">
        <v>45870</v>
      </c>
      <c r="P53" s="409">
        <v>894244.30999999971</v>
      </c>
      <c r="Q53" s="409">
        <v>894244.30999999971</v>
      </c>
      <c r="R53" s="409">
        <v>1788488.6199999994</v>
      </c>
    </row>
    <row r="54" spans="1:42" x14ac:dyDescent="0.25">
      <c r="A54" s="391" t="s">
        <v>8</v>
      </c>
      <c r="B54" s="392">
        <v>45689</v>
      </c>
      <c r="C54" s="380">
        <v>88657.180000000008</v>
      </c>
      <c r="D54" s="380">
        <v>712134.75000000012</v>
      </c>
      <c r="E54" s="380">
        <v>0</v>
      </c>
      <c r="F54" s="380">
        <f>cef[[#This Row],[CEF (obra)]]+cef[[#This Row],[Pró soluto]]+cef[[#This Row],[PJ CEF]]</f>
        <v>800791.93000000017</v>
      </c>
      <c r="G54" s="380"/>
      <c r="H54" s="380"/>
      <c r="I54" s="380"/>
      <c r="J54" s="417">
        <f>cef[[#This Row],[Entradas]]-cef[[#This Row],[Saídas]]</f>
        <v>800791.93000000017</v>
      </c>
      <c r="K54" s="380">
        <f>AVERAGE(J$31:J54)</f>
        <v>1147081.6158333335</v>
      </c>
      <c r="L54" s="464" t="str">
        <f>IFERROR(cef[[#This Row],[Entradas]]/cef[[#This Row],[Saídas]],"Sem saídas")</f>
        <v>Sem saídas</v>
      </c>
      <c r="M54" s="382" t="e">
        <f>AVERAGE(L$31:L54)</f>
        <v>#DIV/0!</v>
      </c>
      <c r="O54" s="408">
        <v>45901</v>
      </c>
      <c r="P54" s="409">
        <v>1244544.9600000004</v>
      </c>
      <c r="Q54" s="409">
        <v>1244544.9600000004</v>
      </c>
      <c r="R54" s="409">
        <v>2489089.9200000009</v>
      </c>
    </row>
    <row r="55" spans="1:42" x14ac:dyDescent="0.25">
      <c r="A55" s="391" t="s">
        <v>8</v>
      </c>
      <c r="B55" s="392">
        <v>45717</v>
      </c>
      <c r="C55" s="380">
        <v>335875.68999999989</v>
      </c>
      <c r="D55" s="380">
        <v>94919.28</v>
      </c>
      <c r="E55" s="380">
        <v>0</v>
      </c>
      <c r="F55" s="380">
        <f>cef[[#This Row],[CEF (obra)]]+cef[[#This Row],[Pró soluto]]+cef[[#This Row],[PJ CEF]]</f>
        <v>430794.96999999986</v>
      </c>
      <c r="G55" s="380"/>
      <c r="H55" s="380"/>
      <c r="I55" s="380"/>
      <c r="J55" s="417">
        <f>cef[[#This Row],[Entradas]]-cef[[#This Row],[Saídas]]</f>
        <v>430794.96999999986</v>
      </c>
      <c r="K55" s="380">
        <f>AVERAGE(J$31:J55)</f>
        <v>1118430.1499999999</v>
      </c>
      <c r="L55" s="464" t="str">
        <f>IFERROR(cef[[#This Row],[Entradas]]/cef[[#This Row],[Saídas]],"Sem saídas")</f>
        <v>Sem saídas</v>
      </c>
      <c r="M55" s="382" t="e">
        <f>AVERAGE(L$31:L55)</f>
        <v>#DIV/0!</v>
      </c>
      <c r="O55" s="408">
        <v>45931</v>
      </c>
      <c r="P55" s="409">
        <v>702769.83000000007</v>
      </c>
      <c r="Q55" s="409">
        <v>702769.83000000007</v>
      </c>
      <c r="R55" s="409">
        <v>1405539.6600000001</v>
      </c>
    </row>
    <row r="56" spans="1:42" x14ac:dyDescent="0.25">
      <c r="A56" s="391" t="s">
        <v>8</v>
      </c>
      <c r="B56" s="392">
        <v>45748</v>
      </c>
      <c r="C56" s="380">
        <v>0</v>
      </c>
      <c r="D56" s="380">
        <v>70018.959999999992</v>
      </c>
      <c r="E56" s="380">
        <v>0</v>
      </c>
      <c r="F56" s="380">
        <f>cef[[#This Row],[CEF (obra)]]+cef[[#This Row],[Pró soluto]]+cef[[#This Row],[PJ CEF]]</f>
        <v>70018.959999999992</v>
      </c>
      <c r="G56" s="380"/>
      <c r="H56" s="380"/>
      <c r="I56" s="380"/>
      <c r="J56" s="417">
        <f>cef[[#This Row],[Entradas]]-cef[[#This Row],[Saídas]]</f>
        <v>70018.959999999992</v>
      </c>
      <c r="K56" s="380">
        <f>AVERAGE(J$31:J56)</f>
        <v>1078106.6426923077</v>
      </c>
      <c r="L56" s="464" t="str">
        <f>IFERROR(cef[[#This Row],[Entradas]]/cef[[#This Row],[Saídas]],"Sem saídas")</f>
        <v>Sem saídas</v>
      </c>
      <c r="M56" s="382" t="e">
        <f>AVERAGE(L$31:L56)</f>
        <v>#DIV/0!</v>
      </c>
      <c r="O56" s="408">
        <v>45962</v>
      </c>
      <c r="P56" s="409">
        <v>788933.34</v>
      </c>
      <c r="Q56" s="409">
        <v>788933.34</v>
      </c>
      <c r="R56" s="409">
        <v>1577866.68</v>
      </c>
      <c r="AB56" s="416" t="s">
        <v>990</v>
      </c>
      <c r="AC56" s="416" t="s">
        <v>986</v>
      </c>
      <c r="AJ56" s="416" t="s">
        <v>991</v>
      </c>
      <c r="AK56" s="416" t="s">
        <v>986</v>
      </c>
    </row>
    <row r="57" spans="1:42" x14ac:dyDescent="0.25">
      <c r="A57" s="391" t="s">
        <v>8</v>
      </c>
      <c r="B57" s="392">
        <v>45778</v>
      </c>
      <c r="C57" s="380">
        <v>443100.31</v>
      </c>
      <c r="D57" s="380">
        <v>50241.820000000007</v>
      </c>
      <c r="E57" s="380">
        <v>0</v>
      </c>
      <c r="F57" s="380">
        <f>cef[[#This Row],[CEF (obra)]]+cef[[#This Row],[Pró soluto]]+cef[[#This Row],[PJ CEF]]</f>
        <v>493342.13</v>
      </c>
      <c r="G57" s="380"/>
      <c r="H57" s="380"/>
      <c r="I57" s="380"/>
      <c r="J57" s="417">
        <f>cef[[#This Row],[Entradas]]-cef[[#This Row],[Saídas]]</f>
        <v>493342.13</v>
      </c>
      <c r="K57" s="380">
        <f>AVERAGE(J$31:J57)</f>
        <v>1056448.6977777777</v>
      </c>
      <c r="L57" s="464" t="str">
        <f>IFERROR(cef[[#This Row],[Entradas]]/cef[[#This Row],[Saídas]],"Sem saídas")</f>
        <v>Sem saídas</v>
      </c>
      <c r="M57" s="382" t="e">
        <f>AVERAGE(L$31:L57)</f>
        <v>#DIV/0!</v>
      </c>
      <c r="O57" s="408">
        <v>45992</v>
      </c>
      <c r="P57" s="409">
        <v>1946637.1600000011</v>
      </c>
      <c r="Q57" s="409">
        <v>1946637.1600000011</v>
      </c>
      <c r="R57" s="409">
        <v>3893274.3200000022</v>
      </c>
      <c r="AB57" s="416" t="s">
        <v>987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989</v>
      </c>
      <c r="AJ57" s="416" t="s">
        <v>987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989</v>
      </c>
    </row>
    <row r="58" spans="1:42" x14ac:dyDescent="0.25">
      <c r="A58" s="391" t="s">
        <v>8</v>
      </c>
      <c r="B58" s="392">
        <v>45809</v>
      </c>
      <c r="C58" s="380">
        <v>1105591.31</v>
      </c>
      <c r="D58" s="380">
        <v>43286.430000000008</v>
      </c>
      <c r="E58" s="380">
        <v>0</v>
      </c>
      <c r="F58" s="380">
        <f>cef[[#This Row],[CEF (obra)]]+cef[[#This Row],[Pró soluto]]+cef[[#This Row],[PJ CEF]]</f>
        <v>1148877.74</v>
      </c>
      <c r="G58" s="380"/>
      <c r="H58" s="380"/>
      <c r="I58" s="380"/>
      <c r="J58" s="417">
        <f>cef[[#This Row],[Entradas]]-cef[[#This Row],[Saídas]]</f>
        <v>1148877.74</v>
      </c>
      <c r="K58" s="380">
        <f>AVERAGE(J$31:J58)</f>
        <v>1059749.7349999999</v>
      </c>
      <c r="L58" s="464" t="str">
        <f>IFERROR(cef[[#This Row],[Entradas]]/cef[[#This Row],[Saídas]],"Sem saídas")</f>
        <v>Sem saídas</v>
      </c>
      <c r="M58" s="382" t="e">
        <f>AVERAGE(L$31:L58)</f>
        <v>#DIV/0!</v>
      </c>
      <c r="O58" s="408">
        <v>46023</v>
      </c>
      <c r="P58" s="409">
        <v>369758.81</v>
      </c>
      <c r="Q58" s="409">
        <v>369758.81</v>
      </c>
      <c r="R58" s="409">
        <v>739517.62</v>
      </c>
      <c r="AB58" s="410">
        <v>44986</v>
      </c>
      <c r="AC58" s="638"/>
      <c r="AD58" s="411">
        <v>1.1842652654543053</v>
      </c>
      <c r="AE58" s="411"/>
      <c r="AF58" s="411"/>
      <c r="AG58" s="411"/>
      <c r="AH58" s="411">
        <v>1.1842652654543053</v>
      </c>
      <c r="AJ58" s="410">
        <v>44986</v>
      </c>
      <c r="AK58" s="412"/>
      <c r="AL58" s="412">
        <v>146318.1999999996</v>
      </c>
      <c r="AM58" s="412"/>
      <c r="AN58" s="412"/>
      <c r="AO58" s="412"/>
      <c r="AP58" s="412">
        <v>146318.1999999996</v>
      </c>
    </row>
    <row r="59" spans="1:42" x14ac:dyDescent="0.25">
      <c r="A59" s="391" t="s">
        <v>8</v>
      </c>
      <c r="B59" s="392">
        <v>45839</v>
      </c>
      <c r="C59" s="380">
        <v>176202.97</v>
      </c>
      <c r="D59" s="380">
        <v>98466.25</v>
      </c>
      <c r="E59" s="380">
        <v>0</v>
      </c>
      <c r="F59" s="380">
        <f>cef[[#This Row],[CEF (obra)]]+cef[[#This Row],[Pró soluto]]+cef[[#This Row],[PJ CEF]]</f>
        <v>274669.21999999997</v>
      </c>
      <c r="G59" s="380"/>
      <c r="H59" s="380"/>
      <c r="I59" s="380"/>
      <c r="J59" s="417">
        <f>cef[[#This Row],[Entradas]]-cef[[#This Row],[Saídas]]</f>
        <v>274669.21999999997</v>
      </c>
      <c r="K59" s="380">
        <f>AVERAGE(J$31:J59)</f>
        <v>1032677.9931034482</v>
      </c>
      <c r="L59" s="464" t="str">
        <f>IFERROR(cef[[#This Row],[Entradas]]/cef[[#This Row],[Saídas]],"Sem saídas")</f>
        <v>Sem saídas</v>
      </c>
      <c r="M59" s="382" t="e">
        <f>AVERAGE(L$31:L59)</f>
        <v>#DIV/0!</v>
      </c>
      <c r="O59" s="408">
        <v>46054</v>
      </c>
      <c r="P59" s="409">
        <v>1590004.1199999999</v>
      </c>
      <c r="Q59" s="409">
        <v>1590004.1199999999</v>
      </c>
      <c r="R59" s="409">
        <v>3180008.2399999998</v>
      </c>
      <c r="AB59" s="410">
        <v>45017</v>
      </c>
      <c r="AC59" s="638"/>
      <c r="AD59" s="411"/>
      <c r="AE59" s="411"/>
      <c r="AF59" s="411"/>
      <c r="AG59" s="411"/>
      <c r="AH59" s="411"/>
      <c r="AJ59" s="410">
        <v>45017</v>
      </c>
      <c r="AK59" s="412"/>
      <c r="AL59" s="412">
        <v>470190.51999999996</v>
      </c>
      <c r="AM59" s="412"/>
      <c r="AN59" s="412"/>
      <c r="AO59" s="412"/>
      <c r="AP59" s="412">
        <v>470190.51999999996</v>
      </c>
    </row>
    <row r="60" spans="1:42" x14ac:dyDescent="0.25">
      <c r="A60" s="391" t="s">
        <v>8</v>
      </c>
      <c r="B60" s="392">
        <v>45870</v>
      </c>
      <c r="C60" s="380">
        <v>185305.78</v>
      </c>
      <c r="D60" s="380">
        <v>64317.71</v>
      </c>
      <c r="E60" s="380">
        <v>0</v>
      </c>
      <c r="F60" s="380">
        <f>cef[[#This Row],[CEF (obra)]]+cef[[#This Row],[Pró soluto]]+cef[[#This Row],[PJ CEF]]</f>
        <v>249623.49</v>
      </c>
      <c r="G60" s="380"/>
      <c r="H60" s="380"/>
      <c r="I60" s="380"/>
      <c r="J60" s="417">
        <f>cef[[#This Row],[Entradas]]-cef[[#This Row],[Saídas]]</f>
        <v>249623.49</v>
      </c>
      <c r="K60" s="380">
        <f>AVERAGE(J$31:J60)</f>
        <v>1006576.1763333331</v>
      </c>
      <c r="L60" s="464" t="str">
        <f>IFERROR(cef[[#This Row],[Entradas]]/cef[[#This Row],[Saídas]],"Sem saídas")</f>
        <v>Sem saídas</v>
      </c>
      <c r="M60" s="382" t="e">
        <f>AVERAGE(L$31:L60)</f>
        <v>#DIV/0!</v>
      </c>
      <c r="O60" s="408">
        <v>46082</v>
      </c>
      <c r="P60" s="409">
        <v>2106666.6699999995</v>
      </c>
      <c r="Q60" s="409">
        <v>2106666.6699999995</v>
      </c>
      <c r="R60" s="409">
        <v>4213333.3399999989</v>
      </c>
      <c r="AB60" s="410">
        <v>45047</v>
      </c>
      <c r="AC60" s="638"/>
      <c r="AD60" s="411"/>
      <c r="AE60" s="411"/>
      <c r="AF60" s="411"/>
      <c r="AG60" s="411"/>
      <c r="AH60" s="411"/>
      <c r="AJ60" s="410">
        <v>45047</v>
      </c>
      <c r="AK60" s="412"/>
      <c r="AL60" s="412">
        <v>431511.07</v>
      </c>
      <c r="AM60" s="412"/>
      <c r="AN60" s="412"/>
      <c r="AO60" s="412"/>
      <c r="AP60" s="412">
        <v>431511.07</v>
      </c>
    </row>
    <row r="61" spans="1:42" x14ac:dyDescent="0.25">
      <c r="A61" s="391" t="s">
        <v>8</v>
      </c>
      <c r="B61" s="392">
        <v>45901</v>
      </c>
      <c r="C61" s="380">
        <v>537888.06999999995</v>
      </c>
      <c r="D61" s="380">
        <v>21166.01</v>
      </c>
      <c r="E61" s="380">
        <v>0</v>
      </c>
      <c r="F61" s="380">
        <f>cef[[#This Row],[CEF (obra)]]+cef[[#This Row],[Pró soluto]]+cef[[#This Row],[PJ CEF]]</f>
        <v>559054.07999999996</v>
      </c>
      <c r="G61" s="380"/>
      <c r="H61" s="380"/>
      <c r="I61" s="380"/>
      <c r="J61" s="417">
        <f>cef[[#This Row],[Entradas]]-cef[[#This Row],[Saídas]]</f>
        <v>559054.07999999996</v>
      </c>
      <c r="K61" s="380">
        <f>AVERAGE(J$31:J61)</f>
        <v>992139.97967741918</v>
      </c>
      <c r="L61" s="464" t="str">
        <f>IFERROR(cef[[#This Row],[Entradas]]/cef[[#This Row],[Saídas]],"Sem saídas")</f>
        <v>Sem saídas</v>
      </c>
      <c r="M61" s="382" t="e">
        <f>AVERAGE(L$31:L61)</f>
        <v>#DIV/0!</v>
      </c>
      <c r="O61" s="408">
        <v>46113</v>
      </c>
      <c r="P61" s="409">
        <v>1909623.2699999991</v>
      </c>
      <c r="Q61" s="409">
        <v>1909623.2699999991</v>
      </c>
      <c r="R61" s="409">
        <v>3819246.5399999982</v>
      </c>
      <c r="AB61" s="410">
        <v>45078</v>
      </c>
      <c r="AC61" s="638"/>
      <c r="AD61" s="411"/>
      <c r="AE61" s="411"/>
      <c r="AF61" s="411"/>
      <c r="AG61" s="411"/>
      <c r="AH61" s="411"/>
      <c r="AJ61" s="410">
        <v>45078</v>
      </c>
      <c r="AK61" s="412"/>
      <c r="AL61" s="412">
        <v>348115.39250000002</v>
      </c>
      <c r="AM61" s="412"/>
      <c r="AN61" s="412"/>
      <c r="AO61" s="412"/>
      <c r="AP61" s="412">
        <v>348115.39250000002</v>
      </c>
    </row>
    <row r="62" spans="1:42" x14ac:dyDescent="0.25">
      <c r="A62" s="391" t="s">
        <v>8</v>
      </c>
      <c r="B62" s="392">
        <v>45931</v>
      </c>
      <c r="C62" s="380">
        <v>0</v>
      </c>
      <c r="D62" s="380">
        <v>3382.05</v>
      </c>
      <c r="E62" s="380">
        <v>0</v>
      </c>
      <c r="F62" s="380">
        <f>cef[[#This Row],[CEF (obra)]]+cef[[#This Row],[Pró soluto]]+cef[[#This Row],[PJ CEF]]</f>
        <v>3382.05</v>
      </c>
      <c r="G62" s="380"/>
      <c r="H62" s="380"/>
      <c r="I62" s="380"/>
      <c r="J62" s="417">
        <f>cef[[#This Row],[Entradas]]-cef[[#This Row],[Saídas]]</f>
        <v>3382.05</v>
      </c>
      <c r="K62" s="380">
        <f>AVERAGE(J$31:J62)</f>
        <v>961241.29437499982</v>
      </c>
      <c r="L62" s="464" t="str">
        <f>IFERROR(cef[[#This Row],[Entradas]]/cef[[#This Row],[Saídas]],"Sem saídas")</f>
        <v>Sem saídas</v>
      </c>
      <c r="M62" s="382" t="e">
        <f>AVERAGE(L$31:L62)</f>
        <v>#DIV/0!</v>
      </c>
      <c r="O62" s="408">
        <v>46143</v>
      </c>
      <c r="P62" s="409">
        <v>2337007.2500000005</v>
      </c>
      <c r="Q62" s="409">
        <v>2337007.2500000005</v>
      </c>
      <c r="R62" s="409">
        <v>4674014.5000000009</v>
      </c>
      <c r="AB62" s="410">
        <v>45108</v>
      </c>
      <c r="AC62" s="638"/>
      <c r="AD62" s="411"/>
      <c r="AE62" s="411"/>
      <c r="AF62" s="411"/>
      <c r="AG62" s="411"/>
      <c r="AH62" s="411"/>
      <c r="AJ62" s="410">
        <v>45108</v>
      </c>
      <c r="AK62" s="412"/>
      <c r="AL62" s="412">
        <v>333060.32</v>
      </c>
      <c r="AM62" s="412"/>
      <c r="AN62" s="412"/>
      <c r="AO62" s="412"/>
      <c r="AP62" s="412">
        <v>333060.32</v>
      </c>
    </row>
    <row r="63" spans="1:42" x14ac:dyDescent="0.25">
      <c r="A63" s="413" t="s">
        <v>8</v>
      </c>
      <c r="B63" s="414">
        <v>45962</v>
      </c>
      <c r="C63" s="415">
        <v>317349.81999999995</v>
      </c>
      <c r="D63" s="415">
        <v>1501.38</v>
      </c>
      <c r="E63" s="415">
        <v>0</v>
      </c>
      <c r="F63" s="415">
        <f>cef[[#This Row],[CEF (obra)]]+cef[[#This Row],[Pró soluto]]+cef[[#This Row],[PJ CEF]]</f>
        <v>318851.19999999995</v>
      </c>
      <c r="G63" s="415"/>
      <c r="H63" s="415"/>
      <c r="I63" s="415"/>
      <c r="J63" s="419">
        <f>cef[[#This Row],[Entradas]]-cef[[#This Row],[Saídas]]</f>
        <v>318851.19999999995</v>
      </c>
      <c r="K63" s="380">
        <f>AVERAGE(J$31:J63)</f>
        <v>941774.92787878774</v>
      </c>
      <c r="L63" s="464" t="str">
        <f>IFERROR(cef[[#This Row],[Entradas]]/cef[[#This Row],[Saídas]],"Sem saídas")</f>
        <v>Sem saídas</v>
      </c>
      <c r="M63" s="382" t="e">
        <f>AVERAGE(L$31:L63)</f>
        <v>#DIV/0!</v>
      </c>
      <c r="O63" s="408">
        <v>46174</v>
      </c>
      <c r="P63" s="409">
        <v>1691149.4100000008</v>
      </c>
      <c r="Q63" s="409">
        <v>1691149.4100000008</v>
      </c>
      <c r="R63" s="409">
        <v>3382298.8200000017</v>
      </c>
      <c r="AB63" s="410">
        <v>45139</v>
      </c>
      <c r="AC63" s="638"/>
      <c r="AD63" s="411"/>
      <c r="AE63" s="411"/>
      <c r="AF63" s="411"/>
      <c r="AG63" s="411"/>
      <c r="AH63" s="411"/>
      <c r="AJ63" s="410">
        <v>45139</v>
      </c>
      <c r="AK63" s="412"/>
      <c r="AL63" s="412">
        <v>394818.92499999999</v>
      </c>
      <c r="AM63" s="412"/>
      <c r="AN63" s="412"/>
      <c r="AO63" s="412"/>
      <c r="AP63" s="412">
        <v>394818.92499999999</v>
      </c>
    </row>
    <row r="64" spans="1:42" x14ac:dyDescent="0.25">
      <c r="A64" s="413" t="s">
        <v>8</v>
      </c>
      <c r="B64" s="414">
        <v>45992</v>
      </c>
      <c r="C64" s="415">
        <v>0</v>
      </c>
      <c r="D64" s="415">
        <v>13985.89</v>
      </c>
      <c r="E64" s="415">
        <v>0</v>
      </c>
      <c r="F64" s="415">
        <f>cef[[#This Row],[CEF (obra)]]+cef[[#This Row],[Pró soluto]]+cef[[#This Row],[PJ CEF]]</f>
        <v>13985.89</v>
      </c>
      <c r="G64" s="415"/>
      <c r="H64" s="415"/>
      <c r="I64" s="415"/>
      <c r="J64" s="419">
        <f>cef[[#This Row],[Entradas]]-cef[[#This Row],[Saídas]]</f>
        <v>13985.89</v>
      </c>
      <c r="K64" s="380">
        <f>AVERAGE(J$31:J64)</f>
        <v>914487.01499999978</v>
      </c>
      <c r="L64" s="464" t="str">
        <f>IFERROR(cef[[#This Row],[Entradas]]/cef[[#This Row],[Saídas]],"Sem saídas")</f>
        <v>Sem saídas</v>
      </c>
      <c r="M64" s="382" t="e">
        <f>AVERAGE(L$31:L64)</f>
        <v>#DIV/0!</v>
      </c>
      <c r="O64" s="273" t="s">
        <v>989</v>
      </c>
      <c r="P64" s="409">
        <v>20819985.34</v>
      </c>
      <c r="Q64" s="409">
        <v>20819985.34</v>
      </c>
      <c r="R64" s="409">
        <v>41639970.68</v>
      </c>
      <c r="AB64" s="410">
        <v>45170</v>
      </c>
      <c r="AC64" s="638"/>
      <c r="AD64" s="411"/>
      <c r="AE64" s="411"/>
      <c r="AF64" s="411"/>
      <c r="AG64" s="411"/>
      <c r="AH64" s="411"/>
      <c r="AJ64" s="410">
        <v>45170</v>
      </c>
      <c r="AK64" s="412"/>
      <c r="AL64" s="412">
        <v>483541.31</v>
      </c>
      <c r="AM64" s="412"/>
      <c r="AN64" s="412"/>
      <c r="AO64" s="412"/>
      <c r="AP64" s="412">
        <v>483541.31</v>
      </c>
    </row>
    <row r="65" spans="1:42" x14ac:dyDescent="0.25">
      <c r="A65" s="413" t="s">
        <v>8</v>
      </c>
      <c r="B65" s="414">
        <v>46023</v>
      </c>
      <c r="C65" s="415">
        <v>0</v>
      </c>
      <c r="D65" s="415">
        <v>934.92</v>
      </c>
      <c r="E65" s="415">
        <v>0</v>
      </c>
      <c r="F65" s="415">
        <f>cef[[#This Row],[CEF (obra)]]+cef[[#This Row],[Pró soluto]]+cef[[#This Row],[PJ CEF]]</f>
        <v>934.92</v>
      </c>
      <c r="G65" s="415"/>
      <c r="H65" s="415"/>
      <c r="I65" s="415"/>
      <c r="J65" s="419">
        <f>cef[[#This Row],[Entradas]]-cef[[#This Row],[Saídas]]</f>
        <v>934.92</v>
      </c>
      <c r="K65" s="380">
        <f>AVERAGE(J$31:J65)</f>
        <v>888385.5265714284</v>
      </c>
      <c r="L65" s="464" t="str">
        <f>IFERROR(cef[[#This Row],[Entradas]]/cef[[#This Row],[Saídas]],"Sem saídas")</f>
        <v>Sem saídas</v>
      </c>
      <c r="M65" s="382" t="e">
        <f>AVERAGE(L$31:L65)</f>
        <v>#DIV/0!</v>
      </c>
      <c r="AB65" s="410">
        <v>45200</v>
      </c>
      <c r="AC65" s="638"/>
      <c r="AD65" s="411"/>
      <c r="AE65" s="411"/>
      <c r="AF65" s="411"/>
      <c r="AG65" s="411"/>
      <c r="AH65" s="411"/>
      <c r="AJ65" s="410">
        <v>45200</v>
      </c>
      <c r="AK65" s="412"/>
      <c r="AL65" s="412">
        <v>523954.76874999999</v>
      </c>
      <c r="AM65" s="412"/>
      <c r="AN65" s="412"/>
      <c r="AO65" s="412"/>
      <c r="AP65" s="412">
        <v>523954.76874999999</v>
      </c>
    </row>
    <row r="66" spans="1:42" x14ac:dyDescent="0.25">
      <c r="A66" s="413" t="s">
        <v>8</v>
      </c>
      <c r="B66" s="414">
        <v>46054</v>
      </c>
      <c r="C66" s="415">
        <v>365069.01999999984</v>
      </c>
      <c r="D66" s="415">
        <v>57529.19000000001</v>
      </c>
      <c r="E66" s="415">
        <v>0</v>
      </c>
      <c r="F66" s="415">
        <f>cef[[#This Row],[CEF (obra)]]+cef[[#This Row],[Pró soluto]]+cef[[#This Row],[PJ CEF]]</f>
        <v>422598.20999999985</v>
      </c>
      <c r="G66" s="415"/>
      <c r="H66" s="415"/>
      <c r="I66" s="415"/>
      <c r="J66" s="419">
        <f>cef[[#This Row],[Entradas]]-cef[[#This Row],[Saídas]]</f>
        <v>422598.20999999985</v>
      </c>
      <c r="K66" s="380">
        <f>AVERAGE(J$31:J66)</f>
        <v>875446.98999999987</v>
      </c>
      <c r="L66" s="464" t="str">
        <f>IFERROR(cef[[#This Row],[Entradas]]/cef[[#This Row],[Saídas]],"Sem saídas")</f>
        <v>Sem saídas</v>
      </c>
      <c r="M66" s="382" t="e">
        <f>AVERAGE(L$31:L66)</f>
        <v>#DIV/0!</v>
      </c>
      <c r="AB66" s="410">
        <v>45231</v>
      </c>
      <c r="AC66" s="638"/>
      <c r="AD66" s="411"/>
      <c r="AE66" s="411"/>
      <c r="AF66" s="411"/>
      <c r="AG66" s="411"/>
      <c r="AH66" s="411"/>
      <c r="AJ66" s="410">
        <v>45231</v>
      </c>
      <c r="AK66" s="412"/>
      <c r="AL66" s="412">
        <v>741296.84222222224</v>
      </c>
      <c r="AM66" s="412"/>
      <c r="AN66" s="412"/>
      <c r="AO66" s="412"/>
      <c r="AP66" s="412">
        <v>741296.84222222224</v>
      </c>
    </row>
    <row r="67" spans="1:42" x14ac:dyDescent="0.25">
      <c r="A67" s="413" t="s">
        <v>8</v>
      </c>
      <c r="B67" s="414">
        <v>46082</v>
      </c>
      <c r="C67" s="415">
        <v>0</v>
      </c>
      <c r="D67" s="415">
        <v>314424.14</v>
      </c>
      <c r="E67" s="415">
        <v>0</v>
      </c>
      <c r="F67" s="415">
        <f>cef[[#This Row],[CEF (obra)]]+cef[[#This Row],[Pró soluto]]+cef[[#This Row],[PJ CEF]]</f>
        <v>314424.14</v>
      </c>
      <c r="G67" s="415"/>
      <c r="H67" s="415"/>
      <c r="I67" s="415"/>
      <c r="J67" s="419">
        <f>cef[[#This Row],[Entradas]]-cef[[#This Row],[Saídas]]</f>
        <v>314424.14</v>
      </c>
      <c r="K67" s="380">
        <f>AVERAGE(J$31:J67)</f>
        <v>860284.21027027024</v>
      </c>
      <c r="L67" s="464" t="str">
        <f>IFERROR(cef[[#This Row],[Entradas]]/cef[[#This Row],[Saídas]],"Sem saídas")</f>
        <v>Sem saídas</v>
      </c>
      <c r="M67" s="382" t="e">
        <f>AVERAGE(L$31:L67)</f>
        <v>#DIV/0!</v>
      </c>
      <c r="AB67" s="410">
        <v>45261</v>
      </c>
      <c r="AC67" s="638"/>
      <c r="AD67" s="411"/>
      <c r="AE67" s="411"/>
      <c r="AF67" s="411"/>
      <c r="AG67" s="411"/>
      <c r="AH67" s="411"/>
      <c r="AJ67" s="410">
        <v>45261</v>
      </c>
      <c r="AK67" s="412"/>
      <c r="AL67" s="412">
        <v>667167.15800000005</v>
      </c>
      <c r="AM67" s="412"/>
      <c r="AN67" s="412"/>
      <c r="AO67" s="412"/>
      <c r="AP67" s="412">
        <v>667167.15800000005</v>
      </c>
    </row>
    <row r="68" spans="1:42" x14ac:dyDescent="0.25">
      <c r="A68" s="413" t="s">
        <v>8</v>
      </c>
      <c r="B68" s="414">
        <v>46113</v>
      </c>
      <c r="C68" s="415">
        <v>0</v>
      </c>
      <c r="D68" s="415">
        <v>254883.32</v>
      </c>
      <c r="E68" s="415">
        <v>0</v>
      </c>
      <c r="F68" s="415">
        <f>cef[[#This Row],[CEF (obra)]]+cef[[#This Row],[Pró soluto]]+cef[[#This Row],[PJ CEF]]</f>
        <v>254883.32</v>
      </c>
      <c r="G68" s="415"/>
      <c r="H68" s="415"/>
      <c r="I68" s="415"/>
      <c r="J68" s="419">
        <f>cef[[#This Row],[Entradas]]-cef[[#This Row],[Saídas]]</f>
        <v>254883.32</v>
      </c>
      <c r="K68" s="380">
        <f>AVERAGE(J$31:J68)</f>
        <v>844352.60789473681</v>
      </c>
      <c r="L68" s="464" t="str">
        <f>IFERROR(cef[[#This Row],[Entradas]]/cef[[#This Row],[Saídas]],"Sem saídas")</f>
        <v>Sem saídas</v>
      </c>
      <c r="M68" s="382" t="e">
        <f>AVERAGE(L$31:L68)</f>
        <v>#DIV/0!</v>
      </c>
      <c r="AB68" s="410">
        <v>45292</v>
      </c>
      <c r="AC68" s="638"/>
      <c r="AD68" s="411"/>
      <c r="AE68" s="411"/>
      <c r="AF68" s="411"/>
      <c r="AG68" s="411"/>
      <c r="AH68" s="411"/>
      <c r="AJ68" s="410">
        <v>45292</v>
      </c>
      <c r="AK68" s="412"/>
      <c r="AL68" s="412">
        <v>902111.3854545455</v>
      </c>
      <c r="AM68" s="412"/>
      <c r="AN68" s="412"/>
      <c r="AO68" s="412"/>
      <c r="AP68" s="412">
        <v>902111.3854545455</v>
      </c>
    </row>
    <row r="69" spans="1:42" x14ac:dyDescent="0.25">
      <c r="A69" s="413" t="s">
        <v>8</v>
      </c>
      <c r="B69" s="414">
        <v>46143</v>
      </c>
      <c r="C69" s="415">
        <v>0</v>
      </c>
      <c r="D69" s="415">
        <v>14390.919999999998</v>
      </c>
      <c r="E69" s="415">
        <v>0</v>
      </c>
      <c r="F69" s="415">
        <f>cef[[#This Row],[CEF (obra)]]+cef[[#This Row],[Pró soluto]]+cef[[#This Row],[PJ CEF]]</f>
        <v>14390.919999999998</v>
      </c>
      <c r="G69" s="415"/>
      <c r="H69" s="415"/>
      <c r="I69" s="415"/>
      <c r="J69" s="419">
        <f>cef[[#This Row],[Entradas]]-cef[[#This Row],[Saídas]]</f>
        <v>14390.919999999998</v>
      </c>
      <c r="K69" s="380">
        <f>AVERAGE(J$31:J69)</f>
        <v>823071.53897435893</v>
      </c>
      <c r="L69" s="464" t="str">
        <f>IFERROR(cef[[#This Row],[Entradas]]/cef[[#This Row],[Saídas]],"Sem saídas")</f>
        <v>Sem saídas</v>
      </c>
      <c r="M69" s="382" t="e">
        <f>AVERAGE(L$31:L69)</f>
        <v>#DIV/0!</v>
      </c>
      <c r="AB69" s="410">
        <v>45323</v>
      </c>
      <c r="AC69" s="638"/>
      <c r="AD69" s="411"/>
      <c r="AE69" s="411"/>
      <c r="AF69" s="411"/>
      <c r="AG69" s="411"/>
      <c r="AH69" s="411"/>
      <c r="AJ69" s="410">
        <v>45323</v>
      </c>
      <c r="AK69" s="412"/>
      <c r="AL69" s="412">
        <v>953462.14666666661</v>
      </c>
      <c r="AM69" s="412"/>
      <c r="AN69" s="412"/>
      <c r="AO69" s="412"/>
      <c r="AP69" s="412">
        <v>953462.14666666661</v>
      </c>
    </row>
    <row r="70" spans="1:42" x14ac:dyDescent="0.25">
      <c r="A70" s="413" t="s">
        <v>8</v>
      </c>
      <c r="B70" s="414">
        <v>46174</v>
      </c>
      <c r="C70" s="415">
        <v>0</v>
      </c>
      <c r="D70" s="415">
        <v>503080.77999999997</v>
      </c>
      <c r="E70" s="415">
        <v>0</v>
      </c>
      <c r="F70" s="415">
        <f>cef[[#This Row],[CEF (obra)]]+cef[[#This Row],[Pró soluto]]+cef[[#This Row],[PJ CEF]]</f>
        <v>503080.77999999997</v>
      </c>
      <c r="G70" s="415"/>
      <c r="H70" s="415"/>
      <c r="I70" s="415"/>
      <c r="J70" s="419">
        <f>cef[[#This Row],[Entradas]]-cef[[#This Row],[Saídas]]</f>
        <v>503080.77999999997</v>
      </c>
      <c r="K70" s="380">
        <f>AVERAGE(J$31:J70)</f>
        <v>815071.77</v>
      </c>
      <c r="L70" s="464" t="str">
        <f>IFERROR(cef[[#This Row],[Entradas]]/cef[[#This Row],[Saídas]],"Sem saídas")</f>
        <v>Sem saídas</v>
      </c>
      <c r="M70" s="382" t="e">
        <f>AVERAGE(L$31:L70)</f>
        <v>#DIV/0!</v>
      </c>
      <c r="AB70" s="410">
        <v>45352</v>
      </c>
      <c r="AC70" s="411">
        <v>2.8164559392000723</v>
      </c>
      <c r="AD70" s="411"/>
      <c r="AE70" s="411"/>
      <c r="AF70" s="411"/>
      <c r="AG70" s="411"/>
      <c r="AH70" s="411">
        <v>2.8164559392000723</v>
      </c>
      <c r="AJ70" s="410">
        <v>45352</v>
      </c>
      <c r="AK70" s="412">
        <v>448512.18000000005</v>
      </c>
      <c r="AL70" s="412">
        <v>955200.6884615384</v>
      </c>
      <c r="AM70" s="412"/>
      <c r="AN70" s="412"/>
      <c r="AO70" s="412"/>
      <c r="AP70" s="412">
        <v>1403712.8684615386</v>
      </c>
    </row>
    <row r="71" spans="1:42" x14ac:dyDescent="0.25">
      <c r="A71" s="377" t="s">
        <v>9</v>
      </c>
      <c r="B71" s="378">
        <v>45839</v>
      </c>
      <c r="C71" s="379">
        <v>827362.36999999988</v>
      </c>
      <c r="D71" s="379">
        <v>342289.25000000006</v>
      </c>
      <c r="E71" s="379">
        <v>493410.63</v>
      </c>
      <c r="F71" s="379">
        <f>cef[[#This Row],[CEF (obra)]]+cef[[#This Row],[Pró soluto]]+cef[[#This Row],[PJ CEF]]</f>
        <v>1663062.25</v>
      </c>
      <c r="G71" s="379"/>
      <c r="H71" s="379"/>
      <c r="I71" s="379"/>
      <c r="J71" s="418">
        <f>cef[[#This Row],[Entradas]]-cef[[#This Row],[Saídas]]</f>
        <v>1663062.25</v>
      </c>
      <c r="K71" s="380">
        <v>694419.24</v>
      </c>
      <c r="L71" s="464" t="str">
        <f>IFERROR(cef[[#This Row],[Entradas]]/cef[[#This Row],[Saídas]],"Sem saídas")</f>
        <v>Sem saídas</v>
      </c>
      <c r="M71" s="382">
        <v>2.1086693883660885</v>
      </c>
      <c r="AB71" s="410">
        <v>45383</v>
      </c>
      <c r="AC71" s="411"/>
      <c r="AD71" s="411"/>
      <c r="AE71" s="411"/>
      <c r="AF71" s="411"/>
      <c r="AG71" s="411"/>
      <c r="AH71" s="411"/>
      <c r="AJ71" s="410">
        <v>45383</v>
      </c>
      <c r="AK71" s="412">
        <v>829055.375</v>
      </c>
      <c r="AL71" s="412">
        <v>999078.07285714278</v>
      </c>
      <c r="AM71" s="412"/>
      <c r="AN71" s="412"/>
      <c r="AO71" s="412"/>
      <c r="AP71" s="412">
        <v>1828133.4478571429</v>
      </c>
    </row>
    <row r="72" spans="1:42" x14ac:dyDescent="0.25">
      <c r="A72" s="391" t="s">
        <v>9</v>
      </c>
      <c r="B72" s="392">
        <v>45870</v>
      </c>
      <c r="C72" s="380">
        <v>982859.48000000021</v>
      </c>
      <c r="D72" s="380">
        <v>451575.84</v>
      </c>
      <c r="E72" s="380">
        <v>831222.47</v>
      </c>
      <c r="F72" s="380">
        <f>cef[[#This Row],[CEF (obra)]]+cef[[#This Row],[Pró soluto]]+cef[[#This Row],[PJ CEF]]</f>
        <v>2265657.79</v>
      </c>
      <c r="G72" s="380"/>
      <c r="H72" s="380"/>
      <c r="I72" s="380"/>
      <c r="J72" s="417">
        <f>cef[[#This Row],[Entradas]]-cef[[#This Row],[Saídas]]</f>
        <v>2265657.79</v>
      </c>
      <c r="K72" s="380">
        <f>AVERAGE(J$71:J72)</f>
        <v>1964360.02</v>
      </c>
      <c r="L72" s="464" t="str">
        <f>IFERROR(cef[[#This Row],[Entradas]]/cef[[#This Row],[Saídas]],"Sem saídas")</f>
        <v>Sem saídas</v>
      </c>
      <c r="M72" s="382" t="e">
        <f>AVERAGE(L$71:L72)</f>
        <v>#DIV/0!</v>
      </c>
      <c r="AB72" s="410">
        <v>45413</v>
      </c>
      <c r="AC72" s="411"/>
      <c r="AD72" s="411"/>
      <c r="AE72" s="411"/>
      <c r="AF72" s="411"/>
      <c r="AG72" s="411"/>
      <c r="AH72" s="411"/>
      <c r="AJ72" s="410">
        <v>45413</v>
      </c>
      <c r="AK72" s="412">
        <v>696955.19000000006</v>
      </c>
      <c r="AL72" s="412">
        <v>993891.94466666668</v>
      </c>
      <c r="AM72" s="412"/>
      <c r="AN72" s="412"/>
      <c r="AO72" s="412"/>
      <c r="AP72" s="412">
        <v>1690847.1346666669</v>
      </c>
    </row>
    <row r="73" spans="1:42" x14ac:dyDescent="0.25">
      <c r="A73" s="391" t="s">
        <v>9</v>
      </c>
      <c r="B73" s="392">
        <v>45901</v>
      </c>
      <c r="C73" s="380">
        <v>939217.09000000008</v>
      </c>
      <c r="D73" s="380">
        <v>300379.3000000001</v>
      </c>
      <c r="E73" s="380">
        <v>229516.7</v>
      </c>
      <c r="F73" s="380">
        <f>cef[[#This Row],[CEF (obra)]]+cef[[#This Row],[Pró soluto]]+cef[[#This Row],[PJ CEF]]</f>
        <v>1469113.09</v>
      </c>
      <c r="G73" s="380"/>
      <c r="H73" s="380"/>
      <c r="I73" s="380"/>
      <c r="J73" s="417">
        <f>cef[[#This Row],[Entradas]]-cef[[#This Row],[Saídas]]</f>
        <v>1469113.09</v>
      </c>
      <c r="K73" s="380">
        <f>AVERAGE(J$71:J73)</f>
        <v>1799277.71</v>
      </c>
      <c r="L73" s="464" t="str">
        <f>IFERROR(cef[[#This Row],[Entradas]]/cef[[#This Row],[Saídas]],"Sem saídas")</f>
        <v>Sem saídas</v>
      </c>
      <c r="M73" s="382" t="e">
        <f>AVERAGE(L$71:L73)</f>
        <v>#DIV/0!</v>
      </c>
      <c r="AB73" s="410">
        <v>45444</v>
      </c>
      <c r="AC73" s="411"/>
      <c r="AD73" s="411"/>
      <c r="AE73" s="411"/>
      <c r="AF73" s="411"/>
      <c r="AG73" s="411"/>
      <c r="AH73" s="411"/>
      <c r="AJ73" s="410">
        <v>45444</v>
      </c>
      <c r="AK73" s="412">
        <v>522716.39250000002</v>
      </c>
      <c r="AL73" s="412">
        <v>981045.66374999995</v>
      </c>
      <c r="AM73" s="412"/>
      <c r="AN73" s="412"/>
      <c r="AO73" s="412"/>
      <c r="AP73" s="412">
        <v>1503762.0562499999</v>
      </c>
    </row>
    <row r="74" spans="1:42" x14ac:dyDescent="0.25">
      <c r="A74" s="391" t="s">
        <v>9</v>
      </c>
      <c r="B74" s="392">
        <v>45931</v>
      </c>
      <c r="C74" s="380">
        <v>939704.95000000019</v>
      </c>
      <c r="D74" s="380">
        <v>455291.67</v>
      </c>
      <c r="E74" s="380">
        <v>314892.83</v>
      </c>
      <c r="F74" s="380">
        <f>cef[[#This Row],[CEF (obra)]]+cef[[#This Row],[Pró soluto]]+cef[[#This Row],[PJ CEF]]</f>
        <v>1709889.4500000002</v>
      </c>
      <c r="G74" s="380"/>
      <c r="H74" s="380"/>
      <c r="I74" s="380"/>
      <c r="J74" s="417">
        <f>cef[[#This Row],[Entradas]]-cef[[#This Row],[Saídas]]</f>
        <v>1709889.4500000002</v>
      </c>
      <c r="K74" s="380">
        <f>AVERAGE(J$71:J74)</f>
        <v>1776930.645</v>
      </c>
      <c r="L74" s="464" t="str">
        <f>IFERROR(cef[[#This Row],[Entradas]]/cef[[#This Row],[Saídas]],"Sem saídas")</f>
        <v>Sem saídas</v>
      </c>
      <c r="M74" s="382" t="e">
        <f>AVERAGE(L$71:L74)</f>
        <v>#DIV/0!</v>
      </c>
      <c r="AB74" s="410">
        <v>45474</v>
      </c>
      <c r="AC74" s="411"/>
      <c r="AD74" s="411"/>
      <c r="AE74" s="411"/>
      <c r="AF74" s="411"/>
      <c r="AG74" s="411"/>
      <c r="AH74" s="411"/>
      <c r="AJ74" s="410">
        <v>45474</v>
      </c>
      <c r="AK74" s="412">
        <v>487909.72599999997</v>
      </c>
      <c r="AL74" s="412">
        <v>965137.53</v>
      </c>
      <c r="AM74" s="412"/>
      <c r="AN74" s="412"/>
      <c r="AO74" s="412"/>
      <c r="AP74" s="412">
        <v>1453047.2560000001</v>
      </c>
    </row>
    <row r="75" spans="1:42" x14ac:dyDescent="0.25">
      <c r="A75" s="391" t="s">
        <v>9</v>
      </c>
      <c r="B75" s="392">
        <v>45962</v>
      </c>
      <c r="C75" s="380">
        <v>1166094.3099999996</v>
      </c>
      <c r="D75" s="380">
        <v>297011.78999999986</v>
      </c>
      <c r="E75" s="380">
        <v>378061.31</v>
      </c>
      <c r="F75" s="380">
        <f>cef[[#This Row],[CEF (obra)]]+cef[[#This Row],[Pró soluto]]+cef[[#This Row],[PJ CEF]]</f>
        <v>1841167.4099999995</v>
      </c>
      <c r="G75" s="380"/>
      <c r="H75" s="380"/>
      <c r="I75" s="380"/>
      <c r="J75" s="417">
        <f>cef[[#This Row],[Entradas]]-cef[[#This Row],[Saídas]]</f>
        <v>1841167.4099999995</v>
      </c>
      <c r="K75" s="380">
        <f>AVERAGE(J$71:J75)</f>
        <v>1789777.9980000001</v>
      </c>
      <c r="L75" s="464" t="str">
        <f>IFERROR(cef[[#This Row],[Entradas]]/cef[[#This Row],[Saídas]],"Sem saídas")</f>
        <v>Sem saídas</v>
      </c>
      <c r="M75" s="382" t="e">
        <f>AVERAGE(L$71:L75)</f>
        <v>#DIV/0!</v>
      </c>
      <c r="AB75" s="410">
        <v>45505</v>
      </c>
      <c r="AC75" s="411"/>
      <c r="AD75" s="411"/>
      <c r="AE75" s="411"/>
      <c r="AF75" s="411"/>
      <c r="AG75" s="411"/>
      <c r="AH75" s="411"/>
      <c r="AJ75" s="410">
        <v>45505</v>
      </c>
      <c r="AK75" s="412">
        <v>426037.08166666661</v>
      </c>
      <c r="AL75" s="412">
        <v>942799.52611111104</v>
      </c>
      <c r="AM75" s="412"/>
      <c r="AN75" s="412"/>
      <c r="AO75" s="412"/>
      <c r="AP75" s="412">
        <v>1368836.6077777776</v>
      </c>
    </row>
    <row r="76" spans="1:42" x14ac:dyDescent="0.25">
      <c r="A76" s="391" t="s">
        <v>9</v>
      </c>
      <c r="B76" s="392">
        <v>45992</v>
      </c>
      <c r="C76" s="380">
        <v>831449.08000000019</v>
      </c>
      <c r="D76" s="380">
        <v>508965.64999999997</v>
      </c>
      <c r="E76" s="380">
        <v>0</v>
      </c>
      <c r="F76" s="380">
        <f>cef[[#This Row],[CEF (obra)]]+cef[[#This Row],[Pró soluto]]+cef[[#This Row],[PJ CEF]]</f>
        <v>1340414.7300000002</v>
      </c>
      <c r="G76" s="380"/>
      <c r="H76" s="380"/>
      <c r="I76" s="380"/>
      <c r="J76" s="417">
        <f>cef[[#This Row],[Entradas]]-cef[[#This Row],[Saídas]]</f>
        <v>1340414.7300000002</v>
      </c>
      <c r="K76" s="380">
        <f>AVERAGE(J$71:J76)</f>
        <v>1714884.12</v>
      </c>
      <c r="L76" s="464" t="str">
        <f>IFERROR(cef[[#This Row],[Entradas]]/cef[[#This Row],[Saídas]],"Sem saídas")</f>
        <v>Sem saídas</v>
      </c>
      <c r="M76" s="382" t="e">
        <f>AVERAGE(L$71:L76)</f>
        <v>#DIV/0!</v>
      </c>
      <c r="AB76" s="410">
        <v>45536</v>
      </c>
      <c r="AC76" s="411"/>
      <c r="AD76" s="411"/>
      <c r="AE76" s="411"/>
      <c r="AF76" s="411"/>
      <c r="AG76" s="411"/>
      <c r="AH76" s="411"/>
      <c r="AJ76" s="410">
        <v>45536</v>
      </c>
      <c r="AK76" s="412">
        <v>466309.68714285706</v>
      </c>
      <c r="AL76" s="412">
        <v>917888.20526315784</v>
      </c>
      <c r="AM76" s="412"/>
      <c r="AN76" s="412"/>
      <c r="AO76" s="412"/>
      <c r="AP76" s="412">
        <v>1384197.892406015</v>
      </c>
    </row>
    <row r="77" spans="1:42" x14ac:dyDescent="0.25">
      <c r="A77" s="391" t="s">
        <v>9</v>
      </c>
      <c r="B77" s="392">
        <v>46023</v>
      </c>
      <c r="C77" s="380">
        <v>1119925.7699999996</v>
      </c>
      <c r="D77" s="380">
        <v>276493.44000000006</v>
      </c>
      <c r="E77" s="380">
        <v>313227.59000000003</v>
      </c>
      <c r="F77" s="380">
        <f>cef[[#This Row],[CEF (obra)]]+cef[[#This Row],[Pró soluto]]+cef[[#This Row],[PJ CEF]]</f>
        <v>1709646.7999999996</v>
      </c>
      <c r="G77" s="380"/>
      <c r="H77" s="380"/>
      <c r="I77" s="380"/>
      <c r="J77" s="417">
        <f>cef[[#This Row],[Entradas]]-cef[[#This Row],[Saídas]]</f>
        <v>1709646.7999999996</v>
      </c>
      <c r="K77" s="380">
        <f>AVERAGE(J$71:J77)</f>
        <v>1714135.9314285715</v>
      </c>
      <c r="L77" s="464" t="str">
        <f>IFERROR(cef[[#This Row],[Entradas]]/cef[[#This Row],[Saídas]],"Sem saídas")</f>
        <v>Sem saídas</v>
      </c>
      <c r="M77" s="382" t="e">
        <f>AVERAGE(L$71:L77)</f>
        <v>#DIV/0!</v>
      </c>
      <c r="AB77" s="410">
        <v>45566</v>
      </c>
      <c r="AC77" s="411"/>
      <c r="AD77" s="411"/>
      <c r="AE77" s="411"/>
      <c r="AF77" s="411"/>
      <c r="AG77" s="411"/>
      <c r="AH77" s="411"/>
      <c r="AJ77" s="410">
        <v>45566</v>
      </c>
      <c r="AK77" s="412">
        <v>588383.38124999986</v>
      </c>
      <c r="AL77" s="412">
        <v>908133.88899999985</v>
      </c>
      <c r="AM77" s="412"/>
      <c r="AN77" s="412"/>
      <c r="AO77" s="412"/>
      <c r="AP77" s="412">
        <v>1496517.2702499996</v>
      </c>
    </row>
    <row r="78" spans="1:42" x14ac:dyDescent="0.25">
      <c r="A78" s="391" t="s">
        <v>9</v>
      </c>
      <c r="B78" s="392">
        <v>46054</v>
      </c>
      <c r="C78" s="380">
        <v>1101401.2699999996</v>
      </c>
      <c r="D78" s="380">
        <v>312842.15999999997</v>
      </c>
      <c r="E78" s="380">
        <v>0</v>
      </c>
      <c r="F78" s="380">
        <f>cef[[#This Row],[CEF (obra)]]+cef[[#This Row],[Pró soluto]]+cef[[#This Row],[PJ CEF]]</f>
        <v>1414243.4299999995</v>
      </c>
      <c r="G78" s="380"/>
      <c r="H78" s="380"/>
      <c r="I78" s="380"/>
      <c r="J78" s="417">
        <f>cef[[#This Row],[Entradas]]-cef[[#This Row],[Saídas]]</f>
        <v>1414243.4299999995</v>
      </c>
      <c r="K78" s="380">
        <f>AVERAGE(J$71:J78)</f>
        <v>1676649.3687499999</v>
      </c>
      <c r="L78" s="464" t="str">
        <f>IFERROR(cef[[#This Row],[Entradas]]/cef[[#This Row],[Saídas]],"Sem saídas")</f>
        <v>Sem saídas</v>
      </c>
      <c r="M78" s="382" t="e">
        <f>AVERAGE(L$71:L78)</f>
        <v>#DIV/0!</v>
      </c>
      <c r="AB78" s="410">
        <v>45597</v>
      </c>
      <c r="AC78" s="411"/>
      <c r="AD78" s="411"/>
      <c r="AE78" s="411"/>
      <c r="AF78" s="411"/>
      <c r="AG78" s="411"/>
      <c r="AH78" s="411"/>
      <c r="AJ78" s="410">
        <v>45597</v>
      </c>
      <c r="AK78" s="412">
        <v>528863.87888888875</v>
      </c>
      <c r="AL78" s="412">
        <v>910958.52476190461</v>
      </c>
      <c r="AM78" s="412"/>
      <c r="AN78" s="412"/>
      <c r="AO78" s="412"/>
      <c r="AP78" s="412">
        <v>1439822.4036507932</v>
      </c>
    </row>
    <row r="79" spans="1:42" x14ac:dyDescent="0.25">
      <c r="A79" s="391" t="s">
        <v>9</v>
      </c>
      <c r="B79" s="392">
        <v>46082</v>
      </c>
      <c r="C79" s="380">
        <v>1708471.2600000007</v>
      </c>
      <c r="D79" s="380">
        <v>363041.84</v>
      </c>
      <c r="E79" s="380">
        <v>528249.98</v>
      </c>
      <c r="F79" s="380">
        <f>cef[[#This Row],[CEF (obra)]]+cef[[#This Row],[Pró soluto]]+cef[[#This Row],[PJ CEF]]</f>
        <v>2599763.080000001</v>
      </c>
      <c r="G79" s="380"/>
      <c r="H79" s="380"/>
      <c r="I79" s="380"/>
      <c r="J79" s="417">
        <f>cef[[#This Row],[Entradas]]-cef[[#This Row],[Saídas]]</f>
        <v>2599763.080000001</v>
      </c>
      <c r="K79" s="380">
        <f>AVERAGE(J$71:J79)</f>
        <v>1779217.5588888889</v>
      </c>
      <c r="L79" s="464" t="str">
        <f>IFERROR(cef[[#This Row],[Entradas]]/cef[[#This Row],[Saídas]],"Sem saídas")</f>
        <v>Sem saídas</v>
      </c>
      <c r="M79" s="382" t="e">
        <f>AVERAGE(L$71:L79)</f>
        <v>#DIV/0!</v>
      </c>
      <c r="AB79" s="410">
        <v>45627</v>
      </c>
      <c r="AC79" s="411"/>
      <c r="AD79" s="411"/>
      <c r="AE79" s="411"/>
      <c r="AF79" s="411"/>
      <c r="AG79" s="411">
        <v>11.387683082784552</v>
      </c>
      <c r="AH79" s="411">
        <v>11.387683082784552</v>
      </c>
      <c r="AJ79" s="410">
        <v>45627</v>
      </c>
      <c r="AK79" s="412">
        <v>565476.10899999994</v>
      </c>
      <c r="AL79" s="412">
        <v>901432.96818181803</v>
      </c>
      <c r="AM79" s="412"/>
      <c r="AN79" s="412"/>
      <c r="AO79" s="412">
        <v>1299320.07</v>
      </c>
      <c r="AP79" s="412">
        <v>2766229.1471818183</v>
      </c>
    </row>
    <row r="80" spans="1:42" x14ac:dyDescent="0.25">
      <c r="A80" s="391" t="s">
        <v>9</v>
      </c>
      <c r="B80" s="392">
        <v>46113</v>
      </c>
      <c r="C80" s="380">
        <v>759311.25999999966</v>
      </c>
      <c r="D80" s="380">
        <v>323746.52</v>
      </c>
      <c r="E80" s="380">
        <v>0</v>
      </c>
      <c r="F80" s="380">
        <f>cef[[#This Row],[CEF (obra)]]+cef[[#This Row],[Pró soluto]]+cef[[#This Row],[PJ CEF]]</f>
        <v>1083057.7799999998</v>
      </c>
      <c r="G80" s="380"/>
      <c r="H80" s="380"/>
      <c r="I80" s="380"/>
      <c r="J80" s="417">
        <f>cef[[#This Row],[Entradas]]-cef[[#This Row],[Saídas]]</f>
        <v>1083057.7799999998</v>
      </c>
      <c r="K80" s="380">
        <f>AVERAGE(J$71:J80)</f>
        <v>1709601.5810000002</v>
      </c>
      <c r="L80" s="464" t="str">
        <f>IFERROR(cef[[#This Row],[Entradas]]/cef[[#This Row],[Saídas]],"Sem saídas")</f>
        <v>Sem saídas</v>
      </c>
      <c r="M80" s="382" t="e">
        <f>AVERAGE(L$71:L80)</f>
        <v>#DIV/0!</v>
      </c>
      <c r="AB80" s="410">
        <v>45658</v>
      </c>
      <c r="AC80" s="411"/>
      <c r="AD80" s="411"/>
      <c r="AE80" s="411"/>
      <c r="AF80" s="411"/>
      <c r="AG80" s="411"/>
      <c r="AH80" s="411"/>
      <c r="AJ80" s="410">
        <v>45658</v>
      </c>
      <c r="AK80" s="412">
        <v>656515.40090909076</v>
      </c>
      <c r="AL80" s="412">
        <v>862240.23043478245</v>
      </c>
      <c r="AM80" s="412"/>
      <c r="AN80" s="412"/>
      <c r="AO80" s="412">
        <v>734353.6</v>
      </c>
      <c r="AP80" s="412">
        <v>2253109.2313438733</v>
      </c>
    </row>
    <row r="81" spans="1:42" x14ac:dyDescent="0.25">
      <c r="A81" s="391" t="s">
        <v>9</v>
      </c>
      <c r="B81" s="392">
        <v>46143</v>
      </c>
      <c r="C81" s="380">
        <v>1759933.8199999998</v>
      </c>
      <c r="D81" s="380">
        <v>251592.24000000002</v>
      </c>
      <c r="E81" s="380">
        <v>434622.68</v>
      </c>
      <c r="F81" s="380">
        <f>cef[[#This Row],[CEF (obra)]]+cef[[#This Row],[Pró soluto]]+cef[[#This Row],[PJ CEF]]</f>
        <v>2446148.7399999998</v>
      </c>
      <c r="G81" s="380"/>
      <c r="H81" s="380"/>
      <c r="I81" s="380"/>
      <c r="J81" s="417">
        <f>cef[[#This Row],[Entradas]]-cef[[#This Row],[Saídas]]</f>
        <v>2446148.7399999998</v>
      </c>
      <c r="K81" s="380">
        <f>AVERAGE(J$71:J81)</f>
        <v>1776560.4136363638</v>
      </c>
      <c r="L81" s="464" t="str">
        <f>IFERROR(cef[[#This Row],[Entradas]]/cef[[#This Row],[Saídas]],"Sem saídas")</f>
        <v>Sem saídas</v>
      </c>
      <c r="M81" s="382" t="e">
        <f>AVERAGE(L$71:L81)</f>
        <v>#DIV/0!</v>
      </c>
      <c r="AB81" s="410">
        <v>45689</v>
      </c>
      <c r="AC81" s="411"/>
      <c r="AD81" s="411"/>
      <c r="AE81" s="411"/>
      <c r="AF81" s="411"/>
      <c r="AG81" s="411"/>
      <c r="AH81" s="411"/>
      <c r="AJ81" s="410">
        <v>45689</v>
      </c>
      <c r="AK81" s="412">
        <v>601805.78416666656</v>
      </c>
      <c r="AL81" s="412">
        <v>830007.60333333316</v>
      </c>
      <c r="AM81" s="412"/>
      <c r="AN81" s="412"/>
      <c r="AO81" s="412">
        <v>509106.86333333328</v>
      </c>
      <c r="AP81" s="412">
        <v>1940920.250833333</v>
      </c>
    </row>
    <row r="82" spans="1:42" x14ac:dyDescent="0.25">
      <c r="A82" s="391" t="s">
        <v>9</v>
      </c>
      <c r="B82" s="392">
        <v>46174</v>
      </c>
      <c r="C82" s="380">
        <v>145534.51999999999</v>
      </c>
      <c r="D82" s="380">
        <v>291611.06000000006</v>
      </c>
      <c r="E82" s="380">
        <v>0</v>
      </c>
      <c r="F82" s="380">
        <f>cef[[#This Row],[CEF (obra)]]+cef[[#This Row],[Pró soluto]]+cef[[#This Row],[PJ CEF]]</f>
        <v>437145.58000000007</v>
      </c>
      <c r="G82" s="380"/>
      <c r="H82" s="380"/>
      <c r="I82" s="380"/>
      <c r="J82" s="417">
        <f>cef[[#This Row],[Entradas]]-cef[[#This Row],[Saídas]]</f>
        <v>437145.58000000007</v>
      </c>
      <c r="K82" s="380">
        <f>AVERAGE(J$71:J82)</f>
        <v>1664942.5108333335</v>
      </c>
      <c r="L82" s="464" t="str">
        <f>IFERROR(cef[[#This Row],[Entradas]]/cef[[#This Row],[Saídas]],"Sem saídas")</f>
        <v>Sem saídas</v>
      </c>
      <c r="M82" s="382" t="e">
        <f>AVERAGE(L$71:L82)</f>
        <v>#DIV/0!</v>
      </c>
      <c r="AB82" s="410">
        <v>45717</v>
      </c>
      <c r="AC82" s="411"/>
      <c r="AD82" s="411"/>
      <c r="AE82" s="411"/>
      <c r="AF82" s="411"/>
      <c r="AG82" s="411"/>
      <c r="AH82" s="411"/>
      <c r="AJ82" s="410">
        <v>45717</v>
      </c>
      <c r="AK82" s="412">
        <v>647555.20230769226</v>
      </c>
      <c r="AL82" s="412">
        <v>810242.32679999992</v>
      </c>
      <c r="AM82" s="412"/>
      <c r="AN82" s="412"/>
      <c r="AO82" s="412">
        <v>570202.55000000005</v>
      </c>
      <c r="AP82" s="412">
        <v>2028000.0791076922</v>
      </c>
    </row>
    <row r="83" spans="1:42" x14ac:dyDescent="0.25">
      <c r="A83" s="377" t="s">
        <v>10</v>
      </c>
      <c r="B83" s="378">
        <v>46023</v>
      </c>
      <c r="C83" s="379">
        <v>198001.33999999997</v>
      </c>
      <c r="D83" s="379">
        <v>136443.48000000001</v>
      </c>
      <c r="E83" s="379">
        <v>513271.28</v>
      </c>
      <c r="F83" s="379">
        <f>cef[[#This Row],[CEF (obra)]]+cef[[#This Row],[Pró soluto]]+cef[[#This Row],[PJ CEF]]</f>
        <v>847716.1</v>
      </c>
      <c r="G83" s="379"/>
      <c r="H83" s="379"/>
      <c r="I83" s="379"/>
      <c r="J83" s="418">
        <f>cef[[#This Row],[Entradas]]-cef[[#This Row],[Saídas]]</f>
        <v>847716.1</v>
      </c>
      <c r="K83" s="380">
        <v>667080.07999999996</v>
      </c>
      <c r="L83" s="464" t="str">
        <f>IFERROR(cef[[#This Row],[Entradas]]/cef[[#This Row],[Saídas]],"Sem saídas")</f>
        <v>Sem saídas</v>
      </c>
      <c r="M83" s="382">
        <v>16.09485718630339</v>
      </c>
      <c r="AB83" s="410">
        <v>45748</v>
      </c>
      <c r="AC83" s="411"/>
      <c r="AD83" s="411"/>
      <c r="AE83" s="411"/>
      <c r="AF83" s="411"/>
      <c r="AG83" s="411"/>
      <c r="AH83" s="411"/>
      <c r="AJ83" s="410">
        <v>45748</v>
      </c>
      <c r="AK83" s="412">
        <v>650994.63928571425</v>
      </c>
      <c r="AL83" s="412">
        <v>779079.1603846153</v>
      </c>
      <c r="AM83" s="412"/>
      <c r="AN83" s="412"/>
      <c r="AO83" s="412">
        <v>586437.18599999999</v>
      </c>
      <c r="AP83" s="412">
        <v>2016510.9856703295</v>
      </c>
    </row>
    <row r="84" spans="1:42" x14ac:dyDescent="0.25">
      <c r="A84" s="391" t="s">
        <v>10</v>
      </c>
      <c r="B84" s="392">
        <v>46054</v>
      </c>
      <c r="C84" s="380">
        <v>169265.99</v>
      </c>
      <c r="D84" s="380">
        <v>177330.35000000003</v>
      </c>
      <c r="E84" s="380">
        <v>272968.38</v>
      </c>
      <c r="F84" s="380">
        <f>cef[[#This Row],[CEF (obra)]]+cef[[#This Row],[Pró soluto]]+cef[[#This Row],[PJ CEF]]</f>
        <v>619564.72</v>
      </c>
      <c r="G84" s="380"/>
      <c r="H84" s="380"/>
      <c r="I84" s="380"/>
      <c r="J84" s="417">
        <f>cef[[#This Row],[Entradas]]-cef[[#This Row],[Saídas]]</f>
        <v>619564.72</v>
      </c>
      <c r="K84" s="380">
        <f>AVERAGE(J$83:J84)</f>
        <v>733640.40999999992</v>
      </c>
      <c r="L84" s="464" t="str">
        <f>IFERROR(cef[[#This Row],[Entradas]]/cef[[#This Row],[Saídas]],"Sem saídas")</f>
        <v>Sem saídas</v>
      </c>
      <c r="M84" s="382" t="e">
        <f>AVERAGE(L$83:L84)</f>
        <v>#DIV/0!</v>
      </c>
      <c r="AB84" s="410">
        <v>45778</v>
      </c>
      <c r="AC84" s="411"/>
      <c r="AD84" s="411"/>
      <c r="AE84" s="411"/>
      <c r="AF84" s="411"/>
      <c r="AG84" s="411"/>
      <c r="AH84" s="411"/>
      <c r="AJ84" s="410">
        <v>45778</v>
      </c>
      <c r="AK84" s="412">
        <v>635514.45533333335</v>
      </c>
      <c r="AL84" s="412">
        <v>766635.49925925909</v>
      </c>
      <c r="AM84" s="412"/>
      <c r="AN84" s="412"/>
      <c r="AO84" s="412">
        <v>502781.82500000001</v>
      </c>
      <c r="AP84" s="412">
        <v>1904931.7795925925</v>
      </c>
    </row>
    <row r="85" spans="1:42" x14ac:dyDescent="0.25">
      <c r="A85" s="391" t="s">
        <v>10</v>
      </c>
      <c r="B85" s="392">
        <v>46082</v>
      </c>
      <c r="C85" s="380">
        <v>610291.91000000015</v>
      </c>
      <c r="D85" s="380">
        <v>236318.49999999988</v>
      </c>
      <c r="E85" s="380">
        <v>1245070.1599999999</v>
      </c>
      <c r="F85" s="380">
        <f>cef[[#This Row],[CEF (obra)]]+cef[[#This Row],[Pró soluto]]+cef[[#This Row],[PJ CEF]]</f>
        <v>2091680.5699999998</v>
      </c>
      <c r="G85" s="380"/>
      <c r="H85" s="380"/>
      <c r="I85" s="380"/>
      <c r="J85" s="417">
        <f>cef[[#This Row],[Entradas]]-cef[[#This Row],[Saídas]]</f>
        <v>2091680.5699999998</v>
      </c>
      <c r="K85" s="380">
        <f>AVERAGE(J$83:J85)</f>
        <v>1186320.4633333331</v>
      </c>
      <c r="L85" s="420" t="str">
        <f>IFERROR(cef[[#This Row],[Entradas]]/cef[[#This Row],[Saídas]],"Sem saídas")</f>
        <v>Sem saídas</v>
      </c>
      <c r="M85" s="382" t="e">
        <f>AVERAGE(L$83:L85)</f>
        <v>#DIV/0!</v>
      </c>
      <c r="AB85" s="410">
        <v>45809</v>
      </c>
      <c r="AC85" s="411"/>
      <c r="AD85" s="411"/>
      <c r="AE85" s="411"/>
      <c r="AF85" s="411"/>
      <c r="AG85" s="411"/>
      <c r="AH85" s="411"/>
      <c r="AJ85" s="410">
        <v>45809</v>
      </c>
      <c r="AK85" s="412">
        <v>651989.83437499998</v>
      </c>
      <c r="AL85" s="412">
        <v>778741.0639285713</v>
      </c>
      <c r="AM85" s="412"/>
      <c r="AN85" s="412"/>
      <c r="AO85" s="412">
        <v>440638.43857142859</v>
      </c>
      <c r="AP85" s="412">
        <v>1871369.3368749998</v>
      </c>
    </row>
    <row r="86" spans="1:42" x14ac:dyDescent="0.25">
      <c r="A86" s="391" t="s">
        <v>10</v>
      </c>
      <c r="B86" s="392">
        <v>46113</v>
      </c>
      <c r="C86" s="380">
        <v>228006.02000000008</v>
      </c>
      <c r="D86" s="380">
        <v>99187.03</v>
      </c>
      <c r="E86" s="380">
        <v>465160.57</v>
      </c>
      <c r="F86" s="380">
        <f>cef[[#This Row],[CEF (obra)]]+cef[[#This Row],[Pró soluto]]+cef[[#This Row],[PJ CEF]]</f>
        <v>792353.62000000011</v>
      </c>
      <c r="G86" s="380"/>
      <c r="H86" s="380"/>
      <c r="I86" s="380"/>
      <c r="J86" s="417">
        <f>cef[[#This Row],[Entradas]]-cef[[#This Row],[Saídas]]</f>
        <v>792353.62000000011</v>
      </c>
      <c r="K86" s="380">
        <f>AVERAGE(J$83:J86)</f>
        <v>1087828.7524999999</v>
      </c>
      <c r="L86" s="420" t="str">
        <f>IFERROR(cef[[#This Row],[Entradas]]/cef[[#This Row],[Saídas]],"Sem saídas")</f>
        <v>Sem saídas</v>
      </c>
      <c r="M86" s="382" t="e">
        <f>AVERAGE(L$83:L86)</f>
        <v>#DIV/0!</v>
      </c>
      <c r="AB86" s="410">
        <v>45839</v>
      </c>
      <c r="AC86" s="411"/>
      <c r="AD86" s="411"/>
      <c r="AE86" s="411">
        <v>2.1086693883660885</v>
      </c>
      <c r="AF86" s="411"/>
      <c r="AG86" s="411"/>
      <c r="AH86" s="411">
        <v>2.1086693883660885</v>
      </c>
      <c r="AJ86" s="410">
        <v>45839</v>
      </c>
      <c r="AK86" s="412">
        <v>645009.17529411765</v>
      </c>
      <c r="AL86" s="412">
        <v>757963.88827586186</v>
      </c>
      <c r="AM86" s="412">
        <v>694419.24</v>
      </c>
      <c r="AN86" s="412"/>
      <c r="AO86" s="412">
        <v>654830.77625000011</v>
      </c>
      <c r="AP86" s="412">
        <v>2752223.0798199796</v>
      </c>
    </row>
    <row r="87" spans="1:42" x14ac:dyDescent="0.25">
      <c r="A87" s="391" t="s">
        <v>10</v>
      </c>
      <c r="B87" s="392">
        <v>46143</v>
      </c>
      <c r="C87" s="380">
        <v>920258.59999999974</v>
      </c>
      <c r="D87" s="380">
        <v>124387.84999999998</v>
      </c>
      <c r="E87" s="380">
        <v>919179.34</v>
      </c>
      <c r="F87" s="380">
        <f>cef[[#This Row],[CEF (obra)]]+cef[[#This Row],[Pró soluto]]+cef[[#This Row],[PJ CEF]]</f>
        <v>1963825.7899999996</v>
      </c>
      <c r="G87" s="380"/>
      <c r="H87" s="380"/>
      <c r="I87" s="380"/>
      <c r="J87" s="417">
        <f>cef[[#This Row],[Entradas]]-cef[[#This Row],[Saídas]]</f>
        <v>1963825.7899999996</v>
      </c>
      <c r="K87" s="380">
        <f>AVERAGE(J$83:J87)</f>
        <v>1263028.1599999997</v>
      </c>
      <c r="L87" s="420" t="str">
        <f>IFERROR(cef[[#This Row],[Entradas]]/cef[[#This Row],[Saídas]],"Sem saídas")</f>
        <v>Sem saídas</v>
      </c>
      <c r="M87" s="382" t="e">
        <f>AVERAGE(L$83:L87)</f>
        <v>#DIV/0!</v>
      </c>
      <c r="AB87" s="410">
        <v>45870</v>
      </c>
      <c r="AC87" s="411"/>
      <c r="AD87" s="411"/>
      <c r="AE87" s="411"/>
      <c r="AF87" s="411"/>
      <c r="AG87" s="411"/>
      <c r="AH87" s="411"/>
      <c r="AJ87" s="410">
        <v>45870</v>
      </c>
      <c r="AK87" s="412">
        <v>691394.06</v>
      </c>
      <c r="AL87" s="412">
        <v>738875.28466666653</v>
      </c>
      <c r="AM87" s="412">
        <v>1567427.4750000001</v>
      </c>
      <c r="AN87" s="412"/>
      <c r="AO87" s="412">
        <v>681432.28</v>
      </c>
      <c r="AP87" s="412">
        <v>3679129.0996666672</v>
      </c>
    </row>
    <row r="88" spans="1:42" x14ac:dyDescent="0.25">
      <c r="A88" s="391" t="s">
        <v>10</v>
      </c>
      <c r="B88" s="392">
        <v>46174</v>
      </c>
      <c r="C88" s="380">
        <v>958044.72999999986</v>
      </c>
      <c r="D88" s="380">
        <v>175241.02000000005</v>
      </c>
      <c r="E88" s="380">
        <v>793792.24</v>
      </c>
      <c r="F88" s="380">
        <f>cef[[#This Row],[CEF (obra)]]+cef[[#This Row],[Pró soluto]]+cef[[#This Row],[PJ CEF]]</f>
        <v>1927077.99</v>
      </c>
      <c r="G88" s="380"/>
      <c r="H88" s="380"/>
      <c r="I88" s="380"/>
      <c r="J88" s="417">
        <f>cef[[#This Row],[Entradas]]-cef[[#This Row],[Saídas]]</f>
        <v>1927077.99</v>
      </c>
      <c r="K88" s="380">
        <f>AVERAGE(J$83:J88)</f>
        <v>1373703.1316666666</v>
      </c>
      <c r="L88" s="420" t="str">
        <f>IFERROR(cef[[#This Row],[Entradas]]/cef[[#This Row],[Saídas]],"Sem saídas")</f>
        <v>Sem saídas</v>
      </c>
      <c r="M88" s="382" t="e">
        <f>AVERAGE(L$83:L88)</f>
        <v>#DIV/0!</v>
      </c>
      <c r="AB88" s="410">
        <v>45901</v>
      </c>
      <c r="AC88" s="411"/>
      <c r="AD88" s="411"/>
      <c r="AE88" s="411"/>
      <c r="AF88" s="411"/>
      <c r="AG88" s="411"/>
      <c r="AH88" s="411"/>
      <c r="AJ88" s="410">
        <v>45901</v>
      </c>
      <c r="AK88" s="412">
        <v>692676.86</v>
      </c>
      <c r="AL88" s="412">
        <v>732391.82612903207</v>
      </c>
      <c r="AM88" s="412">
        <v>1434529.58</v>
      </c>
      <c r="AN88" s="412"/>
      <c r="AO88" s="412">
        <v>737743.54800000007</v>
      </c>
      <c r="AP88" s="412">
        <v>3597341.8141290322</v>
      </c>
    </row>
    <row r="89" spans="1:42" x14ac:dyDescent="0.25">
      <c r="A89" s="377" t="s">
        <v>12</v>
      </c>
      <c r="B89" s="378">
        <v>45627</v>
      </c>
      <c r="C89" s="379">
        <v>495939.11</v>
      </c>
      <c r="D89" s="379">
        <v>1071870.7599999998</v>
      </c>
      <c r="E89" s="379">
        <v>928463.72</v>
      </c>
      <c r="F89" s="379">
        <f>cef[[#This Row],[CEF (obra)]]+cef[[#This Row],[Pró soluto]]+cef[[#This Row],[PJ CEF]]</f>
        <v>2496273.59</v>
      </c>
      <c r="G89" s="379"/>
      <c r="H89" s="379"/>
      <c r="I89" s="379"/>
      <c r="J89" s="418">
        <f>cef[[#This Row],[Entradas]]-cef[[#This Row],[Saídas]]</f>
        <v>2496273.59</v>
      </c>
      <c r="K89" s="380">
        <v>1299320.07</v>
      </c>
      <c r="L89" s="464" t="str">
        <f>IFERROR(cef[[#This Row],[Entradas]]/cef[[#This Row],[Saídas]],"Sem saídas")</f>
        <v>Sem saídas</v>
      </c>
      <c r="M89" s="382">
        <v>11.387683082784552</v>
      </c>
      <c r="AB89" s="410">
        <v>45931</v>
      </c>
      <c r="AC89" s="411"/>
      <c r="AD89" s="411"/>
      <c r="AE89" s="411"/>
      <c r="AF89" s="411"/>
      <c r="AG89" s="411"/>
      <c r="AH89" s="411"/>
      <c r="AJ89" s="410">
        <v>45931</v>
      </c>
      <c r="AK89" s="412">
        <v>704708.39749999996</v>
      </c>
      <c r="AL89" s="412">
        <v>709504.58156249986</v>
      </c>
      <c r="AM89" s="412">
        <v>1389546.6300000001</v>
      </c>
      <c r="AN89" s="412"/>
      <c r="AO89" s="412">
        <v>734564.11909090914</v>
      </c>
      <c r="AP89" s="412">
        <v>3538323.7281534094</v>
      </c>
    </row>
    <row r="90" spans="1:42" x14ac:dyDescent="0.25">
      <c r="A90" s="391" t="s">
        <v>12</v>
      </c>
      <c r="B90" s="392">
        <v>45658</v>
      </c>
      <c r="C90" s="380">
        <v>44304.369999999981</v>
      </c>
      <c r="D90" s="380">
        <v>621457.04999999993</v>
      </c>
      <c r="E90" s="380">
        <v>0</v>
      </c>
      <c r="F90" s="380">
        <f>cef[[#This Row],[CEF (obra)]]+cef[[#This Row],[Pró soluto]]+cef[[#This Row],[PJ CEF]]</f>
        <v>665761.41999999993</v>
      </c>
      <c r="G90" s="380"/>
      <c r="H90" s="380"/>
      <c r="I90" s="380"/>
      <c r="J90" s="417">
        <f>cef[[#This Row],[Entradas]]-cef[[#This Row],[Saídas]]</f>
        <v>665761.41999999993</v>
      </c>
      <c r="K90" s="380">
        <f>AVERAGE(J$89:J90)</f>
        <v>1581017.5049999999</v>
      </c>
      <c r="L90" s="464" t="str">
        <f>IFERROR(cef[[#This Row],[Entradas]]/cef[[#This Row],[Saídas]],"Sem saídas")</f>
        <v>Sem saídas</v>
      </c>
      <c r="M90" s="382" t="e">
        <f>AVERAGE(L$89:L90)</f>
        <v>#DIV/0!</v>
      </c>
      <c r="AB90" s="410">
        <v>45962</v>
      </c>
      <c r="AC90" s="411"/>
      <c r="AD90" s="411"/>
      <c r="AE90" s="411"/>
      <c r="AF90" s="411"/>
      <c r="AG90" s="411"/>
      <c r="AH90" s="411"/>
      <c r="AJ90" s="410">
        <v>45962</v>
      </c>
      <c r="AK90" s="412">
        <v>709919.64714285708</v>
      </c>
      <c r="AL90" s="412">
        <v>697621.10393939377</v>
      </c>
      <c r="AM90" s="412">
        <v>1420468.4280000001</v>
      </c>
      <c r="AN90" s="412"/>
      <c r="AO90" s="412">
        <v>739094.88750000007</v>
      </c>
      <c r="AP90" s="412">
        <v>3567104.0665822513</v>
      </c>
    </row>
    <row r="91" spans="1:42" x14ac:dyDescent="0.25">
      <c r="A91" s="391" t="s">
        <v>12</v>
      </c>
      <c r="B91" s="392">
        <v>45689</v>
      </c>
      <c r="C91" s="380">
        <v>58613.389999999992</v>
      </c>
      <c r="D91" s="380">
        <v>308846.3</v>
      </c>
      <c r="E91" s="380">
        <v>0</v>
      </c>
      <c r="F91" s="380">
        <f>cef[[#This Row],[CEF (obra)]]+cef[[#This Row],[Pró soluto]]+cef[[#This Row],[PJ CEF]]</f>
        <v>367459.69</v>
      </c>
      <c r="G91" s="380"/>
      <c r="H91" s="380"/>
      <c r="I91" s="380"/>
      <c r="J91" s="417">
        <f>cef[[#This Row],[Entradas]]-cef[[#This Row],[Saídas]]</f>
        <v>367459.69</v>
      </c>
      <c r="K91" s="380">
        <f>AVERAGE(J$89:J91)</f>
        <v>1176498.2333333332</v>
      </c>
      <c r="L91" s="464" t="str">
        <f>IFERROR(cef[[#This Row],[Entradas]]/cef[[#This Row],[Saídas]],"Sem saídas")</f>
        <v>Sem saídas</v>
      </c>
      <c r="M91" s="382" t="e">
        <f>AVERAGE(L$89:L91)</f>
        <v>#DIV/0!</v>
      </c>
      <c r="AB91" s="410">
        <v>45992</v>
      </c>
      <c r="AC91" s="411"/>
      <c r="AD91" s="411"/>
      <c r="AE91" s="411"/>
      <c r="AF91" s="411"/>
      <c r="AG91" s="411"/>
      <c r="AH91" s="411"/>
      <c r="AJ91" s="410">
        <v>45992</v>
      </c>
      <c r="AK91" s="412">
        <v>752706.77909090905</v>
      </c>
      <c r="AL91" s="412">
        <v>677102.8361764705</v>
      </c>
      <c r="AM91" s="412">
        <v>1322298.5366666669</v>
      </c>
      <c r="AN91" s="412"/>
      <c r="AO91" s="412">
        <v>831982.75461538485</v>
      </c>
      <c r="AP91" s="412">
        <v>3584090.9065494314</v>
      </c>
    </row>
    <row r="92" spans="1:42" x14ac:dyDescent="0.25">
      <c r="A92" s="391" t="s">
        <v>12</v>
      </c>
      <c r="B92" s="392">
        <v>45717</v>
      </c>
      <c r="C92" s="380">
        <v>516780.94000000006</v>
      </c>
      <c r="D92" s="380">
        <v>323553.12000000005</v>
      </c>
      <c r="E92" s="380">
        <v>236708.67</v>
      </c>
      <c r="F92" s="380">
        <f>cef[[#This Row],[CEF (obra)]]+cef[[#This Row],[Pró soluto]]+cef[[#This Row],[PJ CEF]]</f>
        <v>1077042.73</v>
      </c>
      <c r="G92" s="380"/>
      <c r="H92" s="380"/>
      <c r="I92" s="380"/>
      <c r="J92" s="417">
        <f>cef[[#This Row],[Entradas]]-cef[[#This Row],[Saídas]]</f>
        <v>1077042.73</v>
      </c>
      <c r="K92" s="380">
        <f>AVERAGE(J$89:J92)</f>
        <v>1151634.3574999999</v>
      </c>
      <c r="L92" s="464" t="str">
        <f>IFERROR(cef[[#This Row],[Entradas]]/cef[[#This Row],[Saídas]],"Sem saídas")</f>
        <v>Sem saídas</v>
      </c>
      <c r="M92" s="382" t="e">
        <f>AVERAGE(L$89:L92)</f>
        <v>#DIV/0!</v>
      </c>
      <c r="AB92" s="410">
        <v>46023</v>
      </c>
      <c r="AC92" s="411"/>
      <c r="AD92" s="411"/>
      <c r="AE92" s="411"/>
      <c r="AF92" s="411">
        <v>16.09485718630339</v>
      </c>
      <c r="AG92" s="411"/>
      <c r="AH92" s="411">
        <v>16.09485718630339</v>
      </c>
      <c r="AJ92" s="410">
        <v>46023</v>
      </c>
      <c r="AK92" s="412">
        <v>726378.3491304348</v>
      </c>
      <c r="AL92" s="412">
        <v>657757.04085714277</v>
      </c>
      <c r="AM92" s="412">
        <v>1338134.94</v>
      </c>
      <c r="AN92" s="412">
        <v>667080.07999999996</v>
      </c>
      <c r="AO92" s="412">
        <v>798966.75857142883</v>
      </c>
      <c r="AP92" s="412">
        <v>4188317.1685590064</v>
      </c>
    </row>
    <row r="93" spans="1:42" x14ac:dyDescent="0.25">
      <c r="A93" s="391" t="s">
        <v>12</v>
      </c>
      <c r="B93" s="392">
        <v>45748</v>
      </c>
      <c r="C93" s="380">
        <v>378142.71000000008</v>
      </c>
      <c r="D93" s="380">
        <v>412665.67999999988</v>
      </c>
      <c r="E93" s="380">
        <v>273233.02</v>
      </c>
      <c r="F93" s="380">
        <f>cef[[#This Row],[CEF (obra)]]+cef[[#This Row],[Pró soluto]]+cef[[#This Row],[PJ CEF]]</f>
        <v>1064041.4099999999</v>
      </c>
      <c r="G93" s="380"/>
      <c r="H93" s="380"/>
      <c r="I93" s="380"/>
      <c r="J93" s="417">
        <f>cef[[#This Row],[Entradas]]-cef[[#This Row],[Saídas]]</f>
        <v>1064041.4099999999</v>
      </c>
      <c r="K93" s="380">
        <f>AVERAGE(J$89:J93)</f>
        <v>1134115.7679999999</v>
      </c>
      <c r="L93" s="464" t="str">
        <f>IFERROR(cef[[#This Row],[Entradas]]/cef[[#This Row],[Saídas]],"Sem saídas")</f>
        <v>Sem saídas</v>
      </c>
      <c r="M93" s="382" t="e">
        <f>AVERAGE(L$89:L93)</f>
        <v>#DIV/0!</v>
      </c>
      <c r="AB93" s="410">
        <v>46054</v>
      </c>
      <c r="AC93" s="411"/>
      <c r="AD93" s="411"/>
      <c r="AE93" s="411"/>
      <c r="AF93" s="411"/>
      <c r="AG93" s="411"/>
      <c r="AH93" s="411"/>
      <c r="AJ93" s="410">
        <v>46054</v>
      </c>
      <c r="AK93" s="412">
        <v>703163.67208333325</v>
      </c>
      <c r="AL93" s="412">
        <v>649626.81805555546</v>
      </c>
      <c r="AM93" s="412">
        <v>1308543.23125</v>
      </c>
      <c r="AN93" s="412">
        <v>576753.495</v>
      </c>
      <c r="AO93" s="412">
        <v>851702.58266666683</v>
      </c>
      <c r="AP93" s="412">
        <v>4089789.7990555554</v>
      </c>
    </row>
    <row r="94" spans="1:42" x14ac:dyDescent="0.25">
      <c r="A94" s="391" t="s">
        <v>12</v>
      </c>
      <c r="B94" s="392">
        <v>45778</v>
      </c>
      <c r="C94" s="380">
        <v>84505.01999999999</v>
      </c>
      <c r="D94" s="380">
        <v>305704.12999999995</v>
      </c>
      <c r="E94" s="380">
        <v>0</v>
      </c>
      <c r="F94" s="380">
        <f>cef[[#This Row],[CEF (obra)]]+cef[[#This Row],[Pró soluto]]+cef[[#This Row],[PJ CEF]]</f>
        <v>390209.14999999991</v>
      </c>
      <c r="G94" s="380"/>
      <c r="H94" s="380"/>
      <c r="I94" s="380"/>
      <c r="J94" s="417">
        <f>cef[[#This Row],[Entradas]]-cef[[#This Row],[Saídas]]</f>
        <v>390209.14999999991</v>
      </c>
      <c r="K94" s="380">
        <f>AVERAGE(J$89:J94)</f>
        <v>1010131.3316666667</v>
      </c>
      <c r="L94" s="464" t="str">
        <f>IFERROR(cef[[#This Row],[Entradas]]/cef[[#This Row],[Saídas]],"Sem saídas")</f>
        <v>Sem saídas</v>
      </c>
      <c r="M94" s="382" t="e">
        <f>AVERAGE(L$89:L94)</f>
        <v>#DIV/0!</v>
      </c>
      <c r="AB94" s="410">
        <v>46082</v>
      </c>
      <c r="AC94" s="638"/>
      <c r="AD94" s="638"/>
      <c r="AE94" s="638"/>
      <c r="AF94" s="638"/>
      <c r="AG94" s="638"/>
      <c r="AH94" s="638"/>
      <c r="AJ94" s="410">
        <v>46082</v>
      </c>
      <c r="AK94" s="412">
        <v>675037.12520000001</v>
      </c>
      <c r="AL94" s="412">
        <v>632069.33648648637</v>
      </c>
      <c r="AM94" s="412">
        <v>1411674.121111111</v>
      </c>
      <c r="AN94" s="412">
        <v>1002956.3533333334</v>
      </c>
      <c r="AO94" s="412">
        <v>930137.83812500013</v>
      </c>
      <c r="AP94" s="412">
        <v>4651874.7742559304</v>
      </c>
    </row>
    <row r="95" spans="1:42" x14ac:dyDescent="0.25">
      <c r="A95" s="391" t="s">
        <v>12</v>
      </c>
      <c r="B95" s="392">
        <v>45809</v>
      </c>
      <c r="C95" s="380">
        <v>67778.12</v>
      </c>
      <c r="D95" s="380">
        <v>394586.61</v>
      </c>
      <c r="E95" s="380">
        <v>0</v>
      </c>
      <c r="F95" s="380">
        <f>cef[[#This Row],[CEF (obra)]]+cef[[#This Row],[Pró soluto]]+cef[[#This Row],[PJ CEF]]</f>
        <v>462364.73</v>
      </c>
      <c r="G95" s="380"/>
      <c r="H95" s="380"/>
      <c r="I95" s="380"/>
      <c r="J95" s="417">
        <f>cef[[#This Row],[Entradas]]-cef[[#This Row],[Saídas]]</f>
        <v>462364.73</v>
      </c>
      <c r="K95" s="380">
        <f>AVERAGE(J$89:J95)</f>
        <v>931878.96000000008</v>
      </c>
      <c r="L95" s="464" t="str">
        <f>IFERROR(cef[[#This Row],[Entradas]]/cef[[#This Row],[Saídas]],"Sem saídas")</f>
        <v>Sem saídas</v>
      </c>
      <c r="M95" s="382" t="e">
        <f>AVERAGE(L$89:L95)</f>
        <v>#DIV/0!</v>
      </c>
      <c r="AB95" s="410">
        <v>46113</v>
      </c>
      <c r="AC95" s="638"/>
      <c r="AD95" s="638"/>
      <c r="AE95" s="638"/>
      <c r="AF95" s="638"/>
      <c r="AG95" s="638"/>
      <c r="AH95" s="638"/>
      <c r="AJ95" s="410">
        <v>46113</v>
      </c>
      <c r="AK95" s="412">
        <v>667137.15153846145</v>
      </c>
      <c r="AL95" s="412">
        <v>615435.93289473676</v>
      </c>
      <c r="AM95" s="412">
        <v>1346437.835</v>
      </c>
      <c r="AN95" s="412">
        <v>925508.91250000009</v>
      </c>
      <c r="AO95" s="412">
        <v>987754.62823529413</v>
      </c>
      <c r="AP95" s="412">
        <v>4542274.460168492</v>
      </c>
    </row>
    <row r="96" spans="1:42" x14ac:dyDescent="0.25">
      <c r="A96" s="391" t="s">
        <v>12</v>
      </c>
      <c r="B96" s="392">
        <v>45839</v>
      </c>
      <c r="C96" s="380">
        <v>1649826.5100000005</v>
      </c>
      <c r="D96" s="380">
        <v>357789.26</v>
      </c>
      <c r="E96" s="380">
        <v>504350.63</v>
      </c>
      <c r="F96" s="380">
        <f>cef[[#This Row],[CEF (obra)]]+cef[[#This Row],[Pró soluto]]+cef[[#This Row],[PJ CEF]]</f>
        <v>2511966.4000000004</v>
      </c>
      <c r="G96" s="380"/>
      <c r="H96" s="380"/>
      <c r="I96" s="380"/>
      <c r="J96" s="417">
        <f>cef[[#This Row],[Entradas]]-cef[[#This Row],[Saídas]]</f>
        <v>2511966.4000000004</v>
      </c>
      <c r="K96" s="380">
        <f>AVERAGE(J$89:J96)</f>
        <v>1129389.8900000001</v>
      </c>
      <c r="L96" s="464" t="str">
        <f>IFERROR(cef[[#This Row],[Entradas]]/cef[[#This Row],[Saídas]],"Sem saídas")</f>
        <v>Sem saídas</v>
      </c>
      <c r="M96" s="382" t="e">
        <f>AVERAGE(L$89:L96)</f>
        <v>#DIV/0!</v>
      </c>
      <c r="AB96" s="410">
        <v>46143</v>
      </c>
      <c r="AC96" s="638"/>
      <c r="AD96" s="638"/>
      <c r="AE96" s="638"/>
      <c r="AF96" s="638"/>
      <c r="AG96" s="638"/>
      <c r="AH96" s="638"/>
      <c r="AJ96" s="410">
        <v>46143</v>
      </c>
      <c r="AK96" s="412">
        <v>642428.36814814806</v>
      </c>
      <c r="AL96" s="412">
        <v>599655.52435897419</v>
      </c>
      <c r="AM96" s="412">
        <v>1423539.5318181817</v>
      </c>
      <c r="AN96" s="412">
        <v>1108294.7179999999</v>
      </c>
      <c r="AO96" s="412">
        <v>1062713.1072222223</v>
      </c>
      <c r="AP96" s="412">
        <v>4836631.2495475262</v>
      </c>
    </row>
    <row r="97" spans="1:42" x14ac:dyDescent="0.25">
      <c r="A97" s="391" t="s">
        <v>12</v>
      </c>
      <c r="B97" s="392">
        <v>45870</v>
      </c>
      <c r="C97" s="380">
        <v>644723.45999999973</v>
      </c>
      <c r="D97" s="380">
        <v>406869.40000000008</v>
      </c>
      <c r="E97" s="380">
        <v>249520.85</v>
      </c>
      <c r="F97" s="380">
        <f>cef[[#This Row],[CEF (obra)]]+cef[[#This Row],[Pró soluto]]+cef[[#This Row],[PJ CEF]]</f>
        <v>1301113.71</v>
      </c>
      <c r="G97" s="380"/>
      <c r="H97" s="380"/>
      <c r="I97" s="380"/>
      <c r="J97" s="417">
        <f>cef[[#This Row],[Entradas]]-cef[[#This Row],[Saídas]]</f>
        <v>1301113.71</v>
      </c>
      <c r="K97" s="380">
        <f>AVERAGE(J$89:J97)</f>
        <v>1148470.3144444446</v>
      </c>
      <c r="L97" s="464" t="str">
        <f>IFERROR(cef[[#This Row],[Entradas]]/cef[[#This Row],[Saídas]],"Sem saídas")</f>
        <v>Sem saídas</v>
      </c>
      <c r="M97" s="382" t="e">
        <f>AVERAGE(L$89:L97)</f>
        <v>#DIV/0!</v>
      </c>
      <c r="AB97" s="410">
        <v>46174</v>
      </c>
      <c r="AC97" s="638"/>
      <c r="AD97" s="638"/>
      <c r="AE97" s="638"/>
      <c r="AF97" s="638"/>
      <c r="AG97" s="638"/>
      <c r="AH97" s="638"/>
      <c r="AJ97" s="410">
        <v>46174</v>
      </c>
      <c r="AK97" s="412">
        <v>656550.66285714286</v>
      </c>
      <c r="AL97" s="412">
        <v>584664.13624999986</v>
      </c>
      <c r="AM97" s="412">
        <v>1317039.1141666665</v>
      </c>
      <c r="AN97" s="412">
        <v>1215551.76</v>
      </c>
      <c r="AO97" s="412">
        <v>1095788.7021052632</v>
      </c>
      <c r="AP97" s="412">
        <v>4869594.3753790725</v>
      </c>
    </row>
    <row r="98" spans="1:42" x14ac:dyDescent="0.25">
      <c r="A98" s="391" t="s">
        <v>12</v>
      </c>
      <c r="B98" s="392">
        <v>45901</v>
      </c>
      <c r="C98" s="380">
        <v>928745.06000000029</v>
      </c>
      <c r="D98" s="380">
        <v>333805.48000000016</v>
      </c>
      <c r="E98" s="380">
        <v>315799.90000000002</v>
      </c>
      <c r="F98" s="380">
        <f>cef[[#This Row],[CEF (obra)]]+cef[[#This Row],[Pró soluto]]+cef[[#This Row],[PJ CEF]]</f>
        <v>1578350.4400000004</v>
      </c>
      <c r="G98" s="380"/>
      <c r="H98" s="380"/>
      <c r="I98" s="380"/>
      <c r="J98" s="417">
        <f>cef[[#This Row],[Entradas]]-cef[[#This Row],[Saídas]]</f>
        <v>1578350.4400000004</v>
      </c>
      <c r="K98" s="380">
        <f>AVERAGE(J$89:J98)</f>
        <v>1191458.3270000003</v>
      </c>
      <c r="L98" s="464" t="str">
        <f>IFERROR(cef[[#This Row],[Entradas]]/cef[[#This Row],[Saídas]],"Sem saídas")</f>
        <v>Sem saídas</v>
      </c>
      <c r="M98" s="382" t="e">
        <f>AVERAGE(L$89:L98)</f>
        <v>#DIV/0!</v>
      </c>
      <c r="AB98" s="273" t="s">
        <v>989</v>
      </c>
      <c r="AC98" s="638">
        <v>2.8164559392000723</v>
      </c>
      <c r="AD98" s="638">
        <v>1.1842652654543053</v>
      </c>
      <c r="AE98" s="638">
        <v>2.1086693883660885</v>
      </c>
      <c r="AF98" s="638">
        <v>16.09485718630339</v>
      </c>
      <c r="AG98" s="638">
        <v>11.387683082784552</v>
      </c>
      <c r="AH98" s="638">
        <v>33.591930862108413</v>
      </c>
      <c r="AJ98" s="273" t="s">
        <v>989</v>
      </c>
      <c r="AK98" s="412">
        <v>17671704.56581131</v>
      </c>
      <c r="AL98" s="412">
        <v>28750729.245440148</v>
      </c>
      <c r="AM98" s="412">
        <v>15974058.663012624</v>
      </c>
      <c r="AN98" s="412">
        <v>5496145.3188333325</v>
      </c>
      <c r="AO98" s="412">
        <v>14749552.515286932</v>
      </c>
      <c r="AP98" s="412">
        <v>82642190.308384359</v>
      </c>
    </row>
    <row r="99" spans="1:42" x14ac:dyDescent="0.25">
      <c r="A99" s="391" t="s">
        <v>12</v>
      </c>
      <c r="B99" s="392">
        <v>45931</v>
      </c>
      <c r="C99" s="380">
        <v>537517.63</v>
      </c>
      <c r="D99" s="380">
        <v>339636.15999999974</v>
      </c>
      <c r="E99" s="380">
        <v>165252.20000000001</v>
      </c>
      <c r="F99" s="380">
        <f>cef[[#This Row],[CEF (obra)]]+cef[[#This Row],[Pró soluto]]+cef[[#This Row],[PJ CEF]]</f>
        <v>1042405.9899999998</v>
      </c>
      <c r="G99" s="380"/>
      <c r="H99" s="380"/>
      <c r="I99" s="380"/>
      <c r="J99" s="417">
        <f>cef[[#This Row],[Entradas]]-cef[[#This Row],[Saídas]]</f>
        <v>1042405.9899999998</v>
      </c>
      <c r="K99" s="380">
        <f>AVERAGE(J$89:J99)</f>
        <v>1177908.114545455</v>
      </c>
      <c r="L99" s="464" t="str">
        <f>IFERROR(cef[[#This Row],[Entradas]]/cef[[#This Row],[Saídas]],"Sem saídas")</f>
        <v>Sem saídas</v>
      </c>
      <c r="M99" s="382" t="e">
        <f>AVERAGE(L$89:L99)</f>
        <v>#DIV/0!</v>
      </c>
    </row>
    <row r="100" spans="1:42" x14ac:dyDescent="0.25">
      <c r="A100" s="391" t="s">
        <v>12</v>
      </c>
      <c r="B100" s="392">
        <v>45962</v>
      </c>
      <c r="C100" s="380">
        <v>588359.97</v>
      </c>
      <c r="D100" s="380">
        <v>352242.49999999983</v>
      </c>
      <c r="E100" s="380">
        <v>200573.37</v>
      </c>
      <c r="F100" s="380">
        <f>cef[[#This Row],[CEF (obra)]]+cef[[#This Row],[Pró soluto]]+cef[[#This Row],[PJ CEF]]</f>
        <v>1141175.8399999999</v>
      </c>
      <c r="G100" s="380"/>
      <c r="H100" s="380"/>
      <c r="I100" s="380"/>
      <c r="J100" s="417">
        <f>cef[[#This Row],[Entradas]]-cef[[#This Row],[Saídas]]</f>
        <v>1141175.8399999999</v>
      </c>
      <c r="K100" s="380">
        <f>AVERAGE(J$89:J100)</f>
        <v>1174847.091666667</v>
      </c>
      <c r="L100" s="464" t="str">
        <f>IFERROR(cef[[#This Row],[Entradas]]/cef[[#This Row],[Saídas]],"Sem saídas")</f>
        <v>Sem saídas</v>
      </c>
      <c r="M100" s="382" t="e">
        <f>AVERAGE(L$89:L100)</f>
        <v>#DIV/0!</v>
      </c>
    </row>
    <row r="101" spans="1:42" x14ac:dyDescent="0.25">
      <c r="A101" s="391" t="s">
        <v>12</v>
      </c>
      <c r="B101" s="392">
        <v>45992</v>
      </c>
      <c r="C101" s="380">
        <v>1946637.1600000011</v>
      </c>
      <c r="D101" s="380">
        <v>1294743.74</v>
      </c>
      <c r="E101" s="380">
        <v>0</v>
      </c>
      <c r="F101" s="380">
        <f>cef[[#This Row],[CEF (obra)]]+cef[[#This Row],[Pró soluto]]+cef[[#This Row],[PJ CEF]]</f>
        <v>3241380.9000000013</v>
      </c>
      <c r="G101" s="380"/>
      <c r="H101" s="380"/>
      <c r="I101" s="380"/>
      <c r="J101" s="417">
        <f>cef[[#This Row],[Entradas]]-cef[[#This Row],[Saídas]]</f>
        <v>3241380.9000000013</v>
      </c>
      <c r="K101" s="380">
        <f>AVERAGE(J$89:J101)</f>
        <v>1333811.230769231</v>
      </c>
      <c r="L101" s="464" t="str">
        <f>IFERROR(cef[[#This Row],[Entradas]]/cef[[#This Row],[Saídas]],"Sem saídas")</f>
        <v>Sem saídas</v>
      </c>
      <c r="M101" s="382" t="e">
        <f>AVERAGE(L$89:L101)</f>
        <v>#DIV/0!</v>
      </c>
    </row>
    <row r="102" spans="1:42" x14ac:dyDescent="0.25">
      <c r="A102" s="391" t="s">
        <v>12</v>
      </c>
      <c r="B102" s="392">
        <v>46023</v>
      </c>
      <c r="C102" s="380">
        <v>57774.05</v>
      </c>
      <c r="D102" s="380">
        <v>539760.57999999984</v>
      </c>
      <c r="E102" s="380">
        <v>311984.76</v>
      </c>
      <c r="F102" s="380">
        <f>cef[[#This Row],[CEF (obra)]]+cef[[#This Row],[Pró soluto]]+cef[[#This Row],[PJ CEF]]</f>
        <v>909519.3899999999</v>
      </c>
      <c r="G102" s="380"/>
      <c r="H102" s="380"/>
      <c r="I102" s="380"/>
      <c r="J102" s="417">
        <f>cef[[#This Row],[Entradas]]-cef[[#This Row],[Saídas]]</f>
        <v>909519.3899999999</v>
      </c>
      <c r="K102" s="380">
        <f>AVERAGE(J$89:J102)</f>
        <v>1303504.6707142859</v>
      </c>
      <c r="L102" s="464" t="str">
        <f>IFERROR(cef[[#This Row],[Entradas]]/cef[[#This Row],[Saídas]],"Sem saídas")</f>
        <v>Sem saídas</v>
      </c>
      <c r="M102" s="382" t="e">
        <f>AVERAGE(L$89:L102)</f>
        <v>#DIV/0!</v>
      </c>
    </row>
    <row r="103" spans="1:42" x14ac:dyDescent="0.25">
      <c r="A103" s="391" t="s">
        <v>12</v>
      </c>
      <c r="B103" s="392">
        <v>46054</v>
      </c>
      <c r="C103" s="380">
        <v>1211974.5899999999</v>
      </c>
      <c r="D103" s="380">
        <v>370051.12999999995</v>
      </c>
      <c r="E103" s="380">
        <v>378029.53</v>
      </c>
      <c r="F103" s="380">
        <f>cef[[#This Row],[CEF (obra)]]+cef[[#This Row],[Pró soluto]]+cef[[#This Row],[PJ CEF]]</f>
        <v>1960055.2499999998</v>
      </c>
      <c r="G103" s="380"/>
      <c r="H103" s="380"/>
      <c r="I103" s="380"/>
      <c r="J103" s="417">
        <f>cef[[#This Row],[Entradas]]-cef[[#This Row],[Saídas]]</f>
        <v>1960055.2499999998</v>
      </c>
      <c r="K103" s="380">
        <f>AVERAGE(J$89:J103)</f>
        <v>1347274.7093333337</v>
      </c>
      <c r="L103" s="464" t="str">
        <f>IFERROR(cef[[#This Row],[Entradas]]/cef[[#This Row],[Saídas]],"Sem saídas")</f>
        <v>Sem saídas</v>
      </c>
      <c r="M103" s="382" t="e">
        <f>AVERAGE(L$89:L103)</f>
        <v>#DIV/0!</v>
      </c>
    </row>
    <row r="104" spans="1:42" x14ac:dyDescent="0.25">
      <c r="A104" s="391" t="s">
        <v>12</v>
      </c>
      <c r="B104" s="392">
        <v>46082</v>
      </c>
      <c r="C104" s="380">
        <v>1634370.3599999996</v>
      </c>
      <c r="D104" s="380">
        <v>472403.00999999983</v>
      </c>
      <c r="E104" s="380">
        <v>472296.31</v>
      </c>
      <c r="F104" s="380">
        <f>cef[[#This Row],[CEF (obra)]]+cef[[#This Row],[Pró soluto]]+cef[[#This Row],[PJ CEF]]</f>
        <v>2579069.6799999997</v>
      </c>
      <c r="G104" s="380"/>
      <c r="H104" s="380"/>
      <c r="I104" s="380"/>
      <c r="J104" s="417">
        <f>cef[[#This Row],[Entradas]]-cef[[#This Row],[Saídas]]</f>
        <v>2579069.6799999997</v>
      </c>
      <c r="K104" s="380">
        <f>AVERAGE(J$89:J104)</f>
        <v>1424261.8950000003</v>
      </c>
      <c r="L104" s="420" t="str">
        <f>IFERROR(cef[[#This Row],[Entradas]]/cef[[#This Row],[Saídas]],"Sem saídas")</f>
        <v>Sem saídas</v>
      </c>
      <c r="M104" s="382" t="e">
        <f>AVERAGE(L$89:L104)</f>
        <v>#DIV/0!</v>
      </c>
    </row>
    <row r="105" spans="1:42" x14ac:dyDescent="0.25">
      <c r="A105" s="391" t="s">
        <v>12</v>
      </c>
      <c r="B105" s="392">
        <v>46113</v>
      </c>
      <c r="C105" s="380">
        <v>1471911.8199999991</v>
      </c>
      <c r="D105" s="380">
        <v>434535.72000000026</v>
      </c>
      <c r="E105" s="380">
        <v>437711.45</v>
      </c>
      <c r="F105" s="380">
        <f>cef[[#This Row],[CEF (obra)]]+cef[[#This Row],[Pró soluto]]+cef[[#This Row],[PJ CEF]]</f>
        <v>2344158.9899999993</v>
      </c>
      <c r="G105" s="380"/>
      <c r="H105" s="380"/>
      <c r="I105" s="380"/>
      <c r="J105" s="417">
        <f>cef[[#This Row],[Entradas]]-cef[[#This Row],[Saídas]]</f>
        <v>2344158.9899999993</v>
      </c>
      <c r="K105" s="380">
        <f>AVERAGE(J$89:J105)</f>
        <v>1478373.4888235296</v>
      </c>
      <c r="L105" s="420" t="str">
        <f>IFERROR(cef[[#This Row],[Entradas]]/cef[[#This Row],[Saídas]],"Sem saídas")</f>
        <v>Sem saídas</v>
      </c>
      <c r="M105" s="382" t="e">
        <f>AVERAGE(L$89:L105)</f>
        <v>#DIV/0!</v>
      </c>
    </row>
    <row r="106" spans="1:42" x14ac:dyDescent="0.25">
      <c r="A106" s="391" t="s">
        <v>12</v>
      </c>
      <c r="B106" s="392">
        <v>46143</v>
      </c>
      <c r="C106" s="380">
        <v>1858492.0300000005</v>
      </c>
      <c r="D106" s="380">
        <v>341701.4</v>
      </c>
      <c r="E106" s="380">
        <v>478515.22</v>
      </c>
      <c r="F106" s="380">
        <f>cef[[#This Row],[CEF (obra)]]+cef[[#This Row],[Pró soluto]]+cef[[#This Row],[PJ CEF]]</f>
        <v>2678708.6500000004</v>
      </c>
      <c r="G106" s="380"/>
      <c r="H106" s="380"/>
      <c r="I106" s="380"/>
      <c r="J106" s="417">
        <f>cef[[#This Row],[Entradas]]-cef[[#This Row],[Saídas]]</f>
        <v>2678708.6500000004</v>
      </c>
      <c r="K106" s="380">
        <f>AVERAGE(J$89:J106)</f>
        <v>1545058.7755555557</v>
      </c>
      <c r="L106" s="420" t="str">
        <f>IFERROR(cef[[#This Row],[Entradas]]/cef[[#This Row],[Saídas]],"Sem saídas")</f>
        <v>Sem saídas</v>
      </c>
      <c r="M106" s="382" t="e">
        <f>AVERAGE(L$89:L106)</f>
        <v>#DIV/0!</v>
      </c>
    </row>
    <row r="107" spans="1:42" x14ac:dyDescent="0.25">
      <c r="A107" s="391" t="s">
        <v>12</v>
      </c>
      <c r="B107" s="392">
        <v>46174</v>
      </c>
      <c r="C107" s="380">
        <v>1326854.9400000009</v>
      </c>
      <c r="D107" s="380">
        <v>382074.25000000006</v>
      </c>
      <c r="E107" s="380">
        <v>364294.47</v>
      </c>
      <c r="F107" s="380">
        <f>cef[[#This Row],[CEF (obra)]]+cef[[#This Row],[Pró soluto]]+cef[[#This Row],[PJ CEF]]</f>
        <v>2073223.6600000008</v>
      </c>
      <c r="G107" s="380"/>
      <c r="H107" s="380"/>
      <c r="I107" s="380"/>
      <c r="J107" s="417">
        <f>cef[[#This Row],[Entradas]]-cef[[#This Row],[Saídas]]</f>
        <v>2073223.6600000008</v>
      </c>
      <c r="K107" s="380">
        <f>AVERAGE(J$89:J107)</f>
        <v>1572856.9273684211</v>
      </c>
      <c r="L107" s="420" t="str">
        <f>IFERROR(cef[[#This Row],[Entradas]]/cef[[#This Row],[Saídas]],"Sem saídas")</f>
        <v>Sem saídas</v>
      </c>
      <c r="M107" s="382" t="e">
        <f>AVERAGE(L$89:L107)</f>
        <v>#DIV/0!</v>
      </c>
    </row>
  </sheetData>
  <phoneticPr fontId="21" type="noConversion"/>
  <conditionalFormatting sqref="J3:K26 J89:K103">
    <cfRule type="cellIs" dxfId="8" priority="8" operator="lessThan">
      <formula>0</formula>
    </cfRule>
  </conditionalFormatting>
  <conditionalFormatting sqref="J31:K84">
    <cfRule type="cellIs" dxfId="7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G13"/>
  <sheetViews>
    <sheetView showGridLines="0" zoomScale="80" zoomScaleNormal="80" workbookViewId="0">
      <selection activeCell="K5" sqref="K5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542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16384" width="9.140625" style="1"/>
  </cols>
  <sheetData>
    <row r="1" spans="1:33" ht="31.5" x14ac:dyDescent="0.5">
      <c r="A1" s="14" t="str">
        <f>_xlfn.CONCAT("Resumo dos empreendimentos ativos em ", TEXT(inputs!$A$1, "dd/mmm/aaaa"))</f>
        <v>Resumo dos empreendimentos ativos em 30/jun/2026</v>
      </c>
      <c r="B1" s="5"/>
      <c r="R1" s="14" t="s">
        <v>1185</v>
      </c>
    </row>
    <row r="2" spans="1:33" ht="34.5" x14ac:dyDescent="0.25">
      <c r="A2" s="206"/>
      <c r="B2" s="206"/>
      <c r="C2" s="207" t="s">
        <v>26</v>
      </c>
      <c r="D2" s="207" t="s">
        <v>27</v>
      </c>
      <c r="E2" s="207" t="s">
        <v>26</v>
      </c>
      <c r="F2" s="207" t="s">
        <v>28</v>
      </c>
      <c r="G2" s="207" t="s">
        <v>29</v>
      </c>
      <c r="H2" s="207" t="s">
        <v>29</v>
      </c>
      <c r="I2" s="207" t="s">
        <v>29</v>
      </c>
      <c r="J2" s="207" t="s">
        <v>30</v>
      </c>
      <c r="K2" s="207" t="s">
        <v>30</v>
      </c>
      <c r="L2" s="208" t="s">
        <v>31</v>
      </c>
      <c r="M2" s="207" t="s">
        <v>32</v>
      </c>
      <c r="R2" s="543">
        <v>46023</v>
      </c>
      <c r="S2" s="543">
        <v>46054</v>
      </c>
      <c r="T2" s="544">
        <v>46054</v>
      </c>
      <c r="U2" s="545">
        <v>46054</v>
      </c>
      <c r="V2" s="543">
        <v>46082</v>
      </c>
      <c r="W2" s="544">
        <v>46082</v>
      </c>
      <c r="X2" s="545">
        <v>46082</v>
      </c>
      <c r="Y2" s="543">
        <v>46113</v>
      </c>
      <c r="Z2" s="544">
        <v>46113</v>
      </c>
      <c r="AA2" s="545">
        <v>46113</v>
      </c>
      <c r="AB2" s="543">
        <v>46143</v>
      </c>
      <c r="AC2" s="544">
        <v>46143</v>
      </c>
      <c r="AD2" s="545">
        <v>46143</v>
      </c>
      <c r="AE2" s="543">
        <v>46174</v>
      </c>
      <c r="AF2" s="544">
        <v>46174</v>
      </c>
      <c r="AG2" s="545">
        <v>46174</v>
      </c>
    </row>
    <row r="3" spans="1:33" ht="45" x14ac:dyDescent="0.25">
      <c r="A3" s="209" t="s">
        <v>33</v>
      </c>
      <c r="B3" s="209" t="s">
        <v>34</v>
      </c>
      <c r="C3" s="210" t="s">
        <v>61</v>
      </c>
      <c r="D3" s="211" t="s">
        <v>62</v>
      </c>
      <c r="E3" s="210" t="s">
        <v>63</v>
      </c>
      <c r="F3" s="211" t="s">
        <v>64</v>
      </c>
      <c r="G3" s="211" t="s">
        <v>60</v>
      </c>
      <c r="H3" s="210" t="s">
        <v>35</v>
      </c>
      <c r="I3" s="211" t="s">
        <v>36</v>
      </c>
      <c r="J3" s="211" t="s">
        <v>65</v>
      </c>
      <c r="K3" s="212" t="s">
        <v>66</v>
      </c>
      <c r="L3" s="213" t="s">
        <v>67</v>
      </c>
      <c r="M3" s="213" t="s">
        <v>37</v>
      </c>
      <c r="R3" s="546" t="s">
        <v>1182</v>
      </c>
      <c r="S3" s="546" t="s">
        <v>1182</v>
      </c>
      <c r="T3" s="547" t="s">
        <v>1183</v>
      </c>
      <c r="U3" s="548" t="s">
        <v>1184</v>
      </c>
      <c r="V3" s="546" t="s">
        <v>1182</v>
      </c>
      <c r="W3" s="547" t="s">
        <v>1183</v>
      </c>
      <c r="X3" s="548" t="s">
        <v>1184</v>
      </c>
      <c r="Y3" s="546" t="s">
        <v>1182</v>
      </c>
      <c r="Z3" s="547" t="s">
        <v>1183</v>
      </c>
      <c r="AA3" s="548" t="s">
        <v>1184</v>
      </c>
      <c r="AB3" s="546" t="s">
        <v>1182</v>
      </c>
      <c r="AC3" s="547" t="s">
        <v>1183</v>
      </c>
      <c r="AD3" s="548" t="s">
        <v>1184</v>
      </c>
      <c r="AE3" s="546" t="s">
        <v>1182</v>
      </c>
      <c r="AF3" s="547" t="s">
        <v>1183</v>
      </c>
      <c r="AG3" s="548" t="s">
        <v>1184</v>
      </c>
    </row>
    <row r="4" spans="1:33" x14ac:dyDescent="0.25">
      <c r="A4" s="214" t="s">
        <v>7</v>
      </c>
      <c r="B4" s="215" t="s">
        <v>38</v>
      </c>
      <c r="C4" s="200">
        <f ca="1">inputs!D8</f>
        <v>0</v>
      </c>
      <c r="D4" s="201">
        <f ca="1">inputs!D9</f>
        <v>0</v>
      </c>
      <c r="E4" s="201">
        <f ca="1">inputs!E8</f>
        <v>0</v>
      </c>
      <c r="F4" s="201">
        <f>inputs!E9</f>
        <v>0</v>
      </c>
      <c r="G4" s="201">
        <f ca="1">inputs!D4</f>
        <v>0</v>
      </c>
      <c r="H4" s="201">
        <f ca="1">inputs!C8</f>
        <v>0</v>
      </c>
      <c r="I4" s="201">
        <f ca="1">inputs!C9</f>
        <v>0</v>
      </c>
      <c r="J4" s="202">
        <f>inputs!D3</f>
        <v>0</v>
      </c>
      <c r="K4" s="201">
        <f>inputs!D2</f>
        <v>0</v>
      </c>
      <c r="L4" s="201">
        <f ca="1">SUM(C4:I4,K4)</f>
        <v>0</v>
      </c>
      <c r="M4" s="424">
        <v>29452019.109999999</v>
      </c>
      <c r="N4" s="298">
        <f ca="1">L4-M4</f>
        <v>-29452019.109999999</v>
      </c>
      <c r="O4" s="558" t="e">
        <f ca="1">N4/L4</f>
        <v>#DIV/0!</v>
      </c>
      <c r="P4" s="298"/>
      <c r="Q4" s="557" t="s">
        <v>7</v>
      </c>
      <c r="R4" s="549">
        <v>25897161</v>
      </c>
      <c r="S4" s="549">
        <v>26974148</v>
      </c>
      <c r="T4" s="551">
        <f t="shared" ref="T4:T13" si="0">S4-R4</f>
        <v>1076987</v>
      </c>
      <c r="U4" s="553">
        <f>IFERROR(T4/R4,"-")</f>
        <v>4.1587068173225626E-2</v>
      </c>
      <c r="V4" s="549">
        <v>28740112</v>
      </c>
      <c r="W4" s="551">
        <f>V4-S4</f>
        <v>1765964</v>
      </c>
      <c r="X4" s="553">
        <f>IFERROR(W4/S4,"-")</f>
        <v>6.5468759198622328E-2</v>
      </c>
      <c r="Y4" s="549">
        <v>28735790.489999998</v>
      </c>
      <c r="Z4" s="551">
        <f>Y4-V4</f>
        <v>-4321.5100000016391</v>
      </c>
      <c r="AA4" s="553">
        <f>IFERROR(Z4/V4,"-")</f>
        <v>-1.5036510644083918E-4</v>
      </c>
      <c r="AB4" s="549">
        <v>28735790.489999998</v>
      </c>
      <c r="AC4" s="551">
        <f>AB4-Y4</f>
        <v>0</v>
      </c>
      <c r="AD4" s="553">
        <f>IFERROR(AC4/Y4,"-")</f>
        <v>0</v>
      </c>
      <c r="AE4" s="549">
        <v>29452019.109999999</v>
      </c>
      <c r="AF4" s="551">
        <f>AE4-AB4</f>
        <v>716228.62000000104</v>
      </c>
      <c r="AG4" s="553">
        <f>IFERROR(AF4/AB4,"-")</f>
        <v>2.4924618664979734E-2</v>
      </c>
    </row>
    <row r="5" spans="1:33" collapsed="1" x14ac:dyDescent="0.25">
      <c r="A5" s="216" t="s">
        <v>8</v>
      </c>
      <c r="B5" s="217" t="s">
        <v>38</v>
      </c>
      <c r="C5" s="203">
        <f ca="1">inputs!P8</f>
        <v>0</v>
      </c>
      <c r="D5" s="204">
        <f>inputs!P9</f>
        <v>0</v>
      </c>
      <c r="E5" s="204">
        <f ca="1">inputs!Q8</f>
        <v>0</v>
      </c>
      <c r="F5" s="204">
        <f>inputs!Q9</f>
        <v>0</v>
      </c>
      <c r="G5" s="204">
        <f ca="1">inputs!P4</f>
        <v>0</v>
      </c>
      <c r="H5" s="204">
        <f ca="1">inputs!O8</f>
        <v>0</v>
      </c>
      <c r="I5" s="204">
        <f ca="1">inputs!O9</f>
        <v>0</v>
      </c>
      <c r="J5" s="205">
        <f>inputs!P3</f>
        <v>0</v>
      </c>
      <c r="K5" s="204">
        <f>inputs!P2</f>
        <v>0</v>
      </c>
      <c r="L5" s="204">
        <f t="shared" ref="L5:L12" ca="1" si="1">SUM(C5:I5,K5)</f>
        <v>0</v>
      </c>
      <c r="M5" s="425">
        <v>41692551.049999997</v>
      </c>
      <c r="N5" s="298">
        <f ca="1">L5-M5</f>
        <v>-41692551.049999997</v>
      </c>
      <c r="O5" s="298" t="e">
        <f t="shared" ref="O5:O13" ca="1" si="2">N5/L5</f>
        <v>#DIV/0!</v>
      </c>
      <c r="P5" s="298"/>
      <c r="Q5" s="557" t="s">
        <v>8</v>
      </c>
      <c r="R5" s="549">
        <v>41582807</v>
      </c>
      <c r="S5" s="549">
        <v>40955669</v>
      </c>
      <c r="T5" s="551">
        <f t="shared" si="0"/>
        <v>-627138</v>
      </c>
      <c r="U5" s="553">
        <f t="shared" ref="U5:U13" si="3">IFERROR(T5/R5,"-")</f>
        <v>-1.5081665843289512E-2</v>
      </c>
      <c r="V5" s="549">
        <v>40896803</v>
      </c>
      <c r="W5" s="551">
        <f t="shared" ref="W5:W13" si="4">V5-S5</f>
        <v>-58866</v>
      </c>
      <c r="X5" s="553">
        <f t="shared" ref="X5:X13" si="5">IFERROR(W5/S5,"-")</f>
        <v>-1.4373101804294785E-3</v>
      </c>
      <c r="Y5" s="549">
        <v>41759461.32</v>
      </c>
      <c r="Z5" s="551">
        <f t="shared" ref="Z5:Z13" si="6">Y5-V5</f>
        <v>862658.3200000003</v>
      </c>
      <c r="AA5" s="553">
        <f t="shared" ref="AA5:AA13" si="7">IFERROR(Z5/V5,"-")</f>
        <v>2.109353926760486E-2</v>
      </c>
      <c r="AB5" s="549">
        <v>41759461.32</v>
      </c>
      <c r="AC5" s="551">
        <f t="shared" ref="AC5:AC13" si="8">AB5-Y5</f>
        <v>0</v>
      </c>
      <c r="AD5" s="553">
        <f t="shared" ref="AD5:AD13" si="9">IFERROR(AC5/Y5,"-")</f>
        <v>0</v>
      </c>
      <c r="AE5" s="549">
        <v>41692551.049999997</v>
      </c>
      <c r="AF5" s="551">
        <f t="shared" ref="AF5:AF12" si="10">AE5-AB5</f>
        <v>-66910.270000003278</v>
      </c>
      <c r="AG5" s="553">
        <f t="shared" ref="AG5:AG13" si="11">IFERROR(AF5/AB5,"-")</f>
        <v>-1.6022780918382613E-3</v>
      </c>
    </row>
    <row r="6" spans="1:33" x14ac:dyDescent="0.25">
      <c r="A6" s="216" t="s">
        <v>673</v>
      </c>
      <c r="B6" s="217" t="s">
        <v>38</v>
      </c>
      <c r="C6" s="218" t="s">
        <v>39</v>
      </c>
      <c r="D6" s="219" t="s">
        <v>39</v>
      </c>
      <c r="E6" s="219" t="s">
        <v>39</v>
      </c>
      <c r="F6" s="219" t="s">
        <v>39</v>
      </c>
      <c r="G6" s="219">
        <f ca="1">inputs!AB10</f>
        <v>0</v>
      </c>
      <c r="H6" s="204">
        <f ca="1">inputs!AA8</f>
        <v>0</v>
      </c>
      <c r="I6" s="204">
        <f ca="1">inputs!AA9</f>
        <v>0</v>
      </c>
      <c r="J6" s="205">
        <f>inputs!AB3</f>
        <v>0</v>
      </c>
      <c r="K6" s="204">
        <f>inputs!AB2</f>
        <v>0</v>
      </c>
      <c r="L6" s="204">
        <f t="shared" ref="L6" ca="1" si="12">SUM(C6:I6,K6)</f>
        <v>0</v>
      </c>
      <c r="M6" s="425">
        <v>85763823.370000005</v>
      </c>
      <c r="N6" s="298">
        <f t="shared" ref="N6:N12" ca="1" si="13">L6-M6</f>
        <v>-85763823.370000005</v>
      </c>
      <c r="O6" s="298" t="e">
        <f t="shared" ca="1" si="2"/>
        <v>#DIV/0!</v>
      </c>
      <c r="P6" s="298"/>
      <c r="Q6" s="557" t="s">
        <v>673</v>
      </c>
      <c r="R6" s="549"/>
      <c r="S6" s="549">
        <v>86329197</v>
      </c>
      <c r="T6" s="551">
        <f t="shared" si="0"/>
        <v>86329197</v>
      </c>
      <c r="U6" s="553" t="str">
        <f t="shared" si="3"/>
        <v>-</v>
      </c>
      <c r="V6" s="549">
        <v>77761494</v>
      </c>
      <c r="W6" s="551">
        <f t="shared" si="4"/>
        <v>-8567703</v>
      </c>
      <c r="X6" s="553">
        <f t="shared" si="5"/>
        <v>-9.9244558014364478E-2</v>
      </c>
      <c r="Y6" s="549">
        <v>81763737.650000006</v>
      </c>
      <c r="Z6" s="551">
        <f t="shared" si="6"/>
        <v>4002243.650000006</v>
      </c>
      <c r="AA6" s="553">
        <f t="shared" si="7"/>
        <v>5.1468193885266737E-2</v>
      </c>
      <c r="AB6" s="549">
        <v>81763737.650000006</v>
      </c>
      <c r="AC6" s="551">
        <f t="shared" si="8"/>
        <v>0</v>
      </c>
      <c r="AD6" s="553">
        <f t="shared" si="9"/>
        <v>0</v>
      </c>
      <c r="AE6" s="549">
        <v>85763823.370000005</v>
      </c>
      <c r="AF6" s="551">
        <f t="shared" si="10"/>
        <v>4000085.7199999988</v>
      </c>
      <c r="AG6" s="553">
        <f t="shared" si="11"/>
        <v>4.8922491008457449E-2</v>
      </c>
    </row>
    <row r="7" spans="1:33" x14ac:dyDescent="0.25">
      <c r="A7" s="216" t="s">
        <v>9</v>
      </c>
      <c r="B7" s="217" t="s">
        <v>38</v>
      </c>
      <c r="C7" s="203">
        <f ca="1">inputs!AL8</f>
        <v>0</v>
      </c>
      <c r="D7" s="204">
        <f ca="1">inputs!AL9</f>
        <v>0</v>
      </c>
      <c r="E7" s="204">
        <f ca="1">inputs!AM8</f>
        <v>0</v>
      </c>
      <c r="F7" s="204">
        <f>inputs!AM9</f>
        <v>0</v>
      </c>
      <c r="G7" s="204">
        <f ca="1">inputs!AL4</f>
        <v>0</v>
      </c>
      <c r="H7" s="204">
        <f ca="1">inputs!AK8</f>
        <v>0</v>
      </c>
      <c r="I7" s="204">
        <f ca="1">inputs!AK9</f>
        <v>0</v>
      </c>
      <c r="J7" s="205">
        <f>inputs!AL3</f>
        <v>0</v>
      </c>
      <c r="K7" s="204">
        <f>inputs!AL2</f>
        <v>0</v>
      </c>
      <c r="L7" s="204">
        <f t="shared" ca="1" si="1"/>
        <v>0</v>
      </c>
      <c r="M7" s="425">
        <v>48356127.229999997</v>
      </c>
      <c r="N7" s="298">
        <f t="shared" ca="1" si="13"/>
        <v>-48356127.229999997</v>
      </c>
      <c r="O7" s="298" t="e">
        <f t="shared" ca="1" si="2"/>
        <v>#DIV/0!</v>
      </c>
      <c r="P7" s="298"/>
      <c r="Q7" s="557" t="s">
        <v>9</v>
      </c>
      <c r="R7" s="549">
        <v>47237835</v>
      </c>
      <c r="S7" s="549">
        <v>48743752</v>
      </c>
      <c r="T7" s="551">
        <f t="shared" si="0"/>
        <v>1505917</v>
      </c>
      <c r="U7" s="553">
        <f t="shared" si="3"/>
        <v>3.1879466956942458E-2</v>
      </c>
      <c r="V7" s="549">
        <v>48513924</v>
      </c>
      <c r="W7" s="551">
        <f t="shared" si="4"/>
        <v>-229828</v>
      </c>
      <c r="X7" s="553">
        <f t="shared" si="5"/>
        <v>-4.7150248097438214E-3</v>
      </c>
      <c r="Y7" s="549">
        <v>48277872.590000004</v>
      </c>
      <c r="Z7" s="551">
        <f t="shared" si="6"/>
        <v>-236051.40999999642</v>
      </c>
      <c r="AA7" s="553">
        <f t="shared" si="7"/>
        <v>-4.8656424905970585E-3</v>
      </c>
      <c r="AB7" s="549">
        <v>48277872.590000004</v>
      </c>
      <c r="AC7" s="551">
        <f t="shared" si="8"/>
        <v>0</v>
      </c>
      <c r="AD7" s="553">
        <f t="shared" si="9"/>
        <v>0</v>
      </c>
      <c r="AE7" s="549">
        <v>48356127.229999997</v>
      </c>
      <c r="AF7" s="551">
        <f t="shared" si="10"/>
        <v>78254.639999993145</v>
      </c>
      <c r="AG7" s="553">
        <f t="shared" si="11"/>
        <v>1.6209214657110296E-3</v>
      </c>
    </row>
    <row r="8" spans="1:33" collapsed="1" x14ac:dyDescent="0.25">
      <c r="A8" s="216" t="s">
        <v>10</v>
      </c>
      <c r="B8" s="217" t="s">
        <v>38</v>
      </c>
      <c r="C8" s="203">
        <f ca="1">inputs!AX8</f>
        <v>0</v>
      </c>
      <c r="D8" s="204">
        <f ca="1">inputs!AX9</f>
        <v>0</v>
      </c>
      <c r="E8" s="204">
        <f ca="1">inputs!AY8</f>
        <v>0</v>
      </c>
      <c r="F8" s="204">
        <f>inputs!AY9</f>
        <v>0</v>
      </c>
      <c r="G8" s="204">
        <f ca="1">inputs!AX4</f>
        <v>0</v>
      </c>
      <c r="H8" s="204">
        <f ca="1">inputs!AW8</f>
        <v>0</v>
      </c>
      <c r="I8" s="204">
        <f ca="1">inputs!AW9</f>
        <v>0</v>
      </c>
      <c r="J8" s="205">
        <f>inputs!AX3</f>
        <v>0</v>
      </c>
      <c r="K8" s="204">
        <f>inputs!AX2</f>
        <v>0</v>
      </c>
      <c r="L8" s="204">
        <f t="shared" ca="1" si="1"/>
        <v>0</v>
      </c>
      <c r="M8" s="425">
        <v>66348526.82</v>
      </c>
      <c r="N8" s="298">
        <f t="shared" ca="1" si="13"/>
        <v>-66348526.82</v>
      </c>
      <c r="O8" s="298" t="e">
        <f t="shared" ca="1" si="2"/>
        <v>#DIV/0!</v>
      </c>
      <c r="P8" s="298"/>
      <c r="Q8" s="557" t="s">
        <v>10</v>
      </c>
      <c r="R8" s="549">
        <v>64482292</v>
      </c>
      <c r="S8" s="549">
        <v>64458483</v>
      </c>
      <c r="T8" s="551">
        <f t="shared" si="0"/>
        <v>-23809</v>
      </c>
      <c r="U8" s="553">
        <f t="shared" si="3"/>
        <v>-3.6923315318878556E-4</v>
      </c>
      <c r="V8" s="549">
        <v>65975495</v>
      </c>
      <c r="W8" s="551">
        <f t="shared" si="4"/>
        <v>1517012</v>
      </c>
      <c r="X8" s="553">
        <f t="shared" si="5"/>
        <v>2.3534714585200525E-2</v>
      </c>
      <c r="Y8" s="549">
        <v>69824771.010000005</v>
      </c>
      <c r="Z8" s="551">
        <f t="shared" si="6"/>
        <v>3849276.0100000054</v>
      </c>
      <c r="AA8" s="553">
        <f t="shared" si="7"/>
        <v>5.834402621761315E-2</v>
      </c>
      <c r="AB8" s="549">
        <v>69824771.010000005</v>
      </c>
      <c r="AC8" s="551">
        <f t="shared" si="8"/>
        <v>0</v>
      </c>
      <c r="AD8" s="553">
        <f t="shared" si="9"/>
        <v>0</v>
      </c>
      <c r="AE8" s="549">
        <v>66348526.82</v>
      </c>
      <c r="AF8" s="551">
        <f t="shared" si="10"/>
        <v>-3476244.1900000051</v>
      </c>
      <c r="AG8" s="553">
        <f t="shared" si="11"/>
        <v>-4.9785257290742166E-2</v>
      </c>
    </row>
    <row r="9" spans="1:33" x14ac:dyDescent="0.25">
      <c r="A9" s="216" t="s">
        <v>11</v>
      </c>
      <c r="B9" s="217" t="s">
        <v>38</v>
      </c>
      <c r="C9" s="218" t="s">
        <v>39</v>
      </c>
      <c r="D9" s="219" t="s">
        <v>39</v>
      </c>
      <c r="E9" s="219" t="s">
        <v>39</v>
      </c>
      <c r="F9" s="219" t="s">
        <v>39</v>
      </c>
      <c r="G9" s="219">
        <f ca="1">inputs!BJ10</f>
        <v>0</v>
      </c>
      <c r="H9" s="204">
        <f ca="1">inputs!BI8</f>
        <v>0</v>
      </c>
      <c r="I9" s="204">
        <f ca="1">inputs!BI9</f>
        <v>0</v>
      </c>
      <c r="J9" s="205">
        <f>inputs!BJ3</f>
        <v>0</v>
      </c>
      <c r="K9" s="204">
        <f>inputs!BJ2</f>
        <v>0</v>
      </c>
      <c r="L9" s="204">
        <f t="shared" ca="1" si="1"/>
        <v>0</v>
      </c>
      <c r="M9" s="425">
        <v>25938984.719999999</v>
      </c>
      <c r="N9" s="298">
        <f t="shared" ca="1" si="13"/>
        <v>-25938984.719999999</v>
      </c>
      <c r="O9" s="298" t="e">
        <f t="shared" ca="1" si="2"/>
        <v>#DIV/0!</v>
      </c>
      <c r="P9" s="298"/>
      <c r="Q9" s="557" t="s">
        <v>11</v>
      </c>
      <c r="R9" s="549">
        <v>25916905</v>
      </c>
      <c r="S9" s="549">
        <v>25339509</v>
      </c>
      <c r="T9" s="551">
        <f t="shared" si="0"/>
        <v>-577396</v>
      </c>
      <c r="U9" s="553">
        <f t="shared" si="3"/>
        <v>-2.2278740459171342E-2</v>
      </c>
      <c r="V9" s="549">
        <v>26858958</v>
      </c>
      <c r="W9" s="551">
        <f t="shared" si="4"/>
        <v>1519449</v>
      </c>
      <c r="X9" s="553">
        <f t="shared" si="5"/>
        <v>5.9963632286639805E-2</v>
      </c>
      <c r="Y9" s="549">
        <v>25813960.969999999</v>
      </c>
      <c r="Z9" s="551">
        <f t="shared" si="6"/>
        <v>-1044997.0300000012</v>
      </c>
      <c r="AA9" s="553">
        <f t="shared" si="7"/>
        <v>-3.8906834360439492E-2</v>
      </c>
      <c r="AB9" s="549">
        <v>25813960.969999999</v>
      </c>
      <c r="AC9" s="551">
        <f t="shared" si="8"/>
        <v>0</v>
      </c>
      <c r="AD9" s="553">
        <f t="shared" si="9"/>
        <v>0</v>
      </c>
      <c r="AE9" s="549">
        <v>25938984.719999999</v>
      </c>
      <c r="AF9" s="551">
        <f t="shared" si="10"/>
        <v>125023.75</v>
      </c>
      <c r="AG9" s="553">
        <f t="shared" si="11"/>
        <v>4.8432609836707293E-3</v>
      </c>
    </row>
    <row r="10" spans="1:33" x14ac:dyDescent="0.25">
      <c r="A10" s="216" t="s">
        <v>465</v>
      </c>
      <c r="B10" s="217" t="s">
        <v>38</v>
      </c>
      <c r="C10" s="218" t="s">
        <v>39</v>
      </c>
      <c r="D10" s="219" t="s">
        <v>39</v>
      </c>
      <c r="E10" s="219" t="s">
        <v>39</v>
      </c>
      <c r="F10" s="219" t="s">
        <v>39</v>
      </c>
      <c r="G10" s="219">
        <f ca="1">inputs!BT10</f>
        <v>0</v>
      </c>
      <c r="H10" s="204">
        <f ca="1">inputs!BS8</f>
        <v>0</v>
      </c>
      <c r="I10" s="204">
        <f ca="1">inputs!BS9</f>
        <v>0</v>
      </c>
      <c r="J10" s="205">
        <f>inputs!BT3</f>
        <v>0</v>
      </c>
      <c r="K10" s="204">
        <f>inputs!BT2</f>
        <v>0</v>
      </c>
      <c r="L10" s="204">
        <f t="shared" ref="L10" ca="1" si="14">SUM(C10:I10,K10)</f>
        <v>0</v>
      </c>
      <c r="M10" s="425">
        <v>55838443.93</v>
      </c>
      <c r="N10" s="298">
        <f t="shared" ca="1" si="13"/>
        <v>-55838443.93</v>
      </c>
      <c r="O10" s="298" t="e">
        <f t="shared" ca="1" si="2"/>
        <v>#DIV/0!</v>
      </c>
      <c r="P10" s="298"/>
      <c r="Q10" s="557" t="s">
        <v>465</v>
      </c>
      <c r="R10" s="549"/>
      <c r="S10" s="549">
        <v>51477821</v>
      </c>
      <c r="T10" s="551">
        <f t="shared" si="0"/>
        <v>51477821</v>
      </c>
      <c r="U10" s="553" t="str">
        <f t="shared" si="3"/>
        <v>-</v>
      </c>
      <c r="V10" s="549">
        <v>51476004</v>
      </c>
      <c r="W10" s="551">
        <f t="shared" si="4"/>
        <v>-1817</v>
      </c>
      <c r="X10" s="553">
        <f t="shared" si="5"/>
        <v>-3.5296754305121032E-5</v>
      </c>
      <c r="Y10" s="549">
        <v>54864948.920000002</v>
      </c>
      <c r="Z10" s="551">
        <f t="shared" si="6"/>
        <v>3388944.9200000018</v>
      </c>
      <c r="AA10" s="553">
        <f t="shared" si="7"/>
        <v>6.5835431204022785E-2</v>
      </c>
      <c r="AB10" s="549">
        <v>54864948.920000002</v>
      </c>
      <c r="AC10" s="551">
        <f t="shared" si="8"/>
        <v>0</v>
      </c>
      <c r="AD10" s="553">
        <f t="shared" si="9"/>
        <v>0</v>
      </c>
      <c r="AE10" s="549">
        <v>55838443.93</v>
      </c>
      <c r="AF10" s="551">
        <f t="shared" si="10"/>
        <v>973495.00999999791</v>
      </c>
      <c r="AG10" s="553">
        <f t="shared" si="11"/>
        <v>1.7743477924666913E-2</v>
      </c>
    </row>
    <row r="11" spans="1:33" collapsed="1" x14ac:dyDescent="0.25">
      <c r="A11" s="216" t="s">
        <v>12</v>
      </c>
      <c r="B11" s="217" t="s">
        <v>38</v>
      </c>
      <c r="C11" s="203">
        <f ca="1">inputs!CD8</f>
        <v>0</v>
      </c>
      <c r="D11" s="204">
        <f ca="1">inputs!CD9</f>
        <v>0</v>
      </c>
      <c r="E11" s="204">
        <f ca="1">inputs!CE8</f>
        <v>0</v>
      </c>
      <c r="F11" s="204">
        <f>inputs!CE9</f>
        <v>0</v>
      </c>
      <c r="G11" s="204">
        <f ca="1">inputs!CD4</f>
        <v>0</v>
      </c>
      <c r="H11" s="204">
        <f ca="1">inputs!CC8</f>
        <v>0</v>
      </c>
      <c r="I11" s="204">
        <f ca="1">inputs!CC9</f>
        <v>0</v>
      </c>
      <c r="J11" s="205">
        <f>inputs!CD3</f>
        <v>0</v>
      </c>
      <c r="K11" s="204">
        <f>inputs!CD2</f>
        <v>0</v>
      </c>
      <c r="L11" s="204">
        <f t="shared" ca="1" si="1"/>
        <v>0</v>
      </c>
      <c r="M11" s="425">
        <v>59402112.93</v>
      </c>
      <c r="N11" s="298">
        <f t="shared" ca="1" si="13"/>
        <v>-59402112.93</v>
      </c>
      <c r="O11" s="298" t="e">
        <f t="shared" ca="1" si="2"/>
        <v>#DIV/0!</v>
      </c>
      <c r="P11" s="298"/>
      <c r="Q11" s="557" t="s">
        <v>12</v>
      </c>
      <c r="R11" s="549">
        <v>60385343</v>
      </c>
      <c r="S11" s="549">
        <v>61300903</v>
      </c>
      <c r="T11" s="551">
        <f t="shared" si="0"/>
        <v>915560</v>
      </c>
      <c r="U11" s="553">
        <f t="shared" si="3"/>
        <v>1.5161957430630145E-2</v>
      </c>
      <c r="V11" s="549">
        <v>62323392</v>
      </c>
      <c r="W11" s="551">
        <f t="shared" si="4"/>
        <v>1022489</v>
      </c>
      <c r="X11" s="553">
        <f t="shared" si="5"/>
        <v>1.6679835858209136E-2</v>
      </c>
      <c r="Y11" s="549">
        <v>62783427.219999999</v>
      </c>
      <c r="Z11" s="551">
        <f t="shared" si="6"/>
        <v>460035.21999999881</v>
      </c>
      <c r="AA11" s="553">
        <f t="shared" si="7"/>
        <v>7.3814214091556312E-3</v>
      </c>
      <c r="AB11" s="549">
        <v>62783427.219999999</v>
      </c>
      <c r="AC11" s="551">
        <f t="shared" si="8"/>
        <v>0</v>
      </c>
      <c r="AD11" s="553">
        <f t="shared" si="9"/>
        <v>0</v>
      </c>
      <c r="AE11" s="549">
        <v>59402112.93</v>
      </c>
      <c r="AF11" s="551">
        <f t="shared" si="10"/>
        <v>-3381314.2899999991</v>
      </c>
      <c r="AG11" s="553">
        <f t="shared" si="11"/>
        <v>-5.3856796924314179E-2</v>
      </c>
    </row>
    <row r="12" spans="1:33" x14ac:dyDescent="0.25">
      <c r="A12" s="226" t="s">
        <v>13</v>
      </c>
      <c r="B12" s="227" t="s">
        <v>38</v>
      </c>
      <c r="C12" s="228">
        <v>0</v>
      </c>
      <c r="D12" s="229" t="s">
        <v>39</v>
      </c>
      <c r="E12" s="229">
        <v>0</v>
      </c>
      <c r="F12" s="229" t="s">
        <v>39</v>
      </c>
      <c r="G12" s="230">
        <f ca="1">inputs!CP4</f>
        <v>0</v>
      </c>
      <c r="H12" s="230">
        <f ca="1">inputs!CO8</f>
        <v>0</v>
      </c>
      <c r="I12" s="230">
        <f ca="1">inputs!CO9</f>
        <v>0</v>
      </c>
      <c r="J12" s="231">
        <f>inputs!CP3</f>
        <v>0</v>
      </c>
      <c r="K12" s="230">
        <f>inputs!CP2</f>
        <v>0</v>
      </c>
      <c r="L12" s="230">
        <f t="shared" ca="1" si="1"/>
        <v>0</v>
      </c>
      <c r="M12" s="426">
        <v>123851015.83</v>
      </c>
      <c r="N12" s="298">
        <f t="shared" ca="1" si="13"/>
        <v>-123851015.83</v>
      </c>
      <c r="O12" s="298" t="e">
        <f t="shared" ca="1" si="2"/>
        <v>#DIV/0!</v>
      </c>
      <c r="P12" s="298"/>
      <c r="Q12" s="557" t="s">
        <v>13</v>
      </c>
      <c r="R12" s="550">
        <v>106533245</v>
      </c>
      <c r="S12" s="550">
        <v>104308295</v>
      </c>
      <c r="T12" s="552">
        <f t="shared" si="0"/>
        <v>-2224950</v>
      </c>
      <c r="U12" s="554">
        <f t="shared" si="3"/>
        <v>-2.0885029832706212E-2</v>
      </c>
      <c r="V12" s="550">
        <v>104308295</v>
      </c>
      <c r="W12" s="552">
        <f t="shared" si="4"/>
        <v>0</v>
      </c>
      <c r="X12" s="554">
        <f t="shared" si="5"/>
        <v>0</v>
      </c>
      <c r="Y12" s="550">
        <v>102955220.56</v>
      </c>
      <c r="Z12" s="552">
        <f t="shared" si="6"/>
        <v>-1353074.4399999976</v>
      </c>
      <c r="AA12" s="554">
        <f t="shared" si="7"/>
        <v>-1.2971877644055035E-2</v>
      </c>
      <c r="AB12" s="550">
        <v>102955220.56</v>
      </c>
      <c r="AC12" s="552">
        <f t="shared" si="8"/>
        <v>0</v>
      </c>
      <c r="AD12" s="554">
        <f t="shared" si="9"/>
        <v>0</v>
      </c>
      <c r="AE12" s="550">
        <v>123851015.83</v>
      </c>
      <c r="AF12" s="552">
        <f t="shared" si="10"/>
        <v>20895795.269999996</v>
      </c>
      <c r="AG12" s="554">
        <f t="shared" si="11"/>
        <v>0.20296003598790208</v>
      </c>
    </row>
    <row r="13" spans="1:33" x14ac:dyDescent="0.25">
      <c r="L13" s="232">
        <f ca="1">SUM(L4:L12)</f>
        <v>0</v>
      </c>
      <c r="M13" s="232">
        <f>SUM(M4:M12)</f>
        <v>536643604.98999995</v>
      </c>
      <c r="N13" s="232">
        <f ca="1">SUM(N4:N12)</f>
        <v>-536643604.98999995</v>
      </c>
      <c r="O13" s="232" t="e">
        <f t="shared" ca="1" si="2"/>
        <v>#DIV/0!</v>
      </c>
      <c r="P13" s="232"/>
      <c r="R13" s="555">
        <f>SUM(R4:R12)</f>
        <v>372035588</v>
      </c>
      <c r="S13" s="555">
        <f>SUM(S4:S12)</f>
        <v>509887777</v>
      </c>
      <c r="T13" s="555">
        <f t="shared" si="0"/>
        <v>137852189</v>
      </c>
      <c r="U13" s="556">
        <f t="shared" si="3"/>
        <v>0.37053495269382669</v>
      </c>
      <c r="V13" s="555">
        <f>SUM(V4:V12)</f>
        <v>506854477</v>
      </c>
      <c r="W13" s="555">
        <f t="shared" si="4"/>
        <v>-3033300</v>
      </c>
      <c r="X13" s="556">
        <f t="shared" si="5"/>
        <v>-5.9489560974512242E-3</v>
      </c>
      <c r="Y13" s="555">
        <f>SUM(Y4:Y12)</f>
        <v>516779190.72999996</v>
      </c>
      <c r="Z13" s="555">
        <f t="shared" si="6"/>
        <v>9924713.7299999595</v>
      </c>
      <c r="AA13" s="556">
        <f t="shared" si="7"/>
        <v>1.9580992534075928E-2</v>
      </c>
      <c r="AB13" s="555">
        <f>SUM(AB4:AB12)</f>
        <v>516779190.72999996</v>
      </c>
      <c r="AC13" s="555">
        <f t="shared" si="8"/>
        <v>0</v>
      </c>
      <c r="AD13" s="556">
        <f t="shared" si="9"/>
        <v>0</v>
      </c>
      <c r="AE13" s="555">
        <f>SUM(AE4:AE12)</f>
        <v>536643604.98999995</v>
      </c>
      <c r="AF13" s="555">
        <f t="shared" ref="AF13" si="15">AE13-AB13</f>
        <v>19864414.25999999</v>
      </c>
      <c r="AG13" s="556">
        <f t="shared" si="11"/>
        <v>3.8438881859657714E-2</v>
      </c>
    </row>
  </sheetData>
  <conditionalFormatting sqref="N4:P13">
    <cfRule type="cellIs" dxfId="6" priority="7" operator="lessThan">
      <formula>0</formula>
    </cfRule>
  </conditionalFormatting>
  <conditionalFormatting sqref="T4:U13 W4:X13">
    <cfRule type="cellIs" dxfId="5" priority="3" operator="lessThan">
      <formula>0</formula>
    </cfRule>
  </conditionalFormatting>
  <conditionalFormatting sqref="Z4:AA13 AC4:AD13 AF4:AG13">
    <cfRule type="cellIs" dxfId="4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1278</v>
      </c>
      <c r="AD1" s="14" t="s">
        <v>1285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1279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624" t="s">
        <v>33</v>
      </c>
      <c r="AE3" s="625" t="s">
        <v>1286</v>
      </c>
      <c r="AF3" s="626" t="s">
        <v>1287</v>
      </c>
      <c r="AG3" s="624" t="s">
        <v>1288</v>
      </c>
      <c r="AH3" s="624" t="s">
        <v>1289</v>
      </c>
      <c r="AI3" s="625" t="s">
        <v>1280</v>
      </c>
      <c r="AJ3" s="626" t="s">
        <v>1281</v>
      </c>
      <c r="AK3" s="625" t="s">
        <v>1283</v>
      </c>
      <c r="AL3" s="626" t="s">
        <v>1282</v>
      </c>
      <c r="AM3" s="624" t="s">
        <v>1284</v>
      </c>
    </row>
    <row r="4" spans="1:39" x14ac:dyDescent="0.25">
      <c r="A4" s="2" t="s">
        <v>7</v>
      </c>
      <c r="B4" s="620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623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627">
        <f ca="1">SUMIFS(unis.cruzado[Preço Tab.],
  unis.cruzado[empresa.ana], $AD4,
  unis.cruzado[status.p.ana], "3"
)</f>
        <v>0</v>
      </c>
      <c r="AL4" s="627">
        <f ca="1">SUMIFS(unis.cruzado[Preço Tab.],
  unis.cruzado[empresa.ik], $AD4,
  unis.cruzado[empreendimento],"AMP.01.0002*",
  unis.cruzado[status.p.ik], "3"
)</f>
        <v>0</v>
      </c>
      <c r="AM4" s="627">
        <f ca="1">AK4-AL4</f>
        <v>0</v>
      </c>
    </row>
    <row r="5" spans="1:39" x14ac:dyDescent="0.25">
      <c r="A5" s="20" t="s">
        <v>7</v>
      </c>
      <c r="B5" s="621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623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627">
        <f ca="1">SUMIFS(unis.cruzado[Preço Tab.],
  unis.cruzado[empresa.ana], $AD5,
  unis.cruzado[status.p.ana], "3"
)</f>
        <v>0</v>
      </c>
      <c r="AL5" s="627">
        <f ca="1">SUMIFS(unis.cruzado[Preço Tab.],
  unis.cruzado[empresa.ik], $AD5,
  unis.cruzado[status.p.ik], "3"
)</f>
        <v>0</v>
      </c>
      <c r="AM5" s="627">
        <f t="shared" ref="AM5:AM12" ca="1" si="4">AK5-AL5</f>
        <v>0</v>
      </c>
    </row>
    <row r="6" spans="1:39" x14ac:dyDescent="0.25">
      <c r="A6" s="20" t="s">
        <v>7</v>
      </c>
      <c r="B6" s="621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623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627">
        <f ca="1">SUMIFS(unis.cruzado[Preço Tab.],
  unis.cruzado[empresa.ana], $AD6,
  unis.cruzado[status.p.ana], "3"
)</f>
        <v>0</v>
      </c>
      <c r="AL6" s="627">
        <f ca="1">SUMIFS(unis.cruzado[Preço Tab.],
  unis.cruzado[empresa.ik], $AD6,
  unis.cruzado[status.p.ik], "3"
)</f>
        <v>0</v>
      </c>
      <c r="AM6" s="627">
        <f t="shared" ca="1" si="4"/>
        <v>0</v>
      </c>
    </row>
    <row r="7" spans="1:39" x14ac:dyDescent="0.25">
      <c r="A7" s="22" t="s">
        <v>7</v>
      </c>
      <c r="B7" s="622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623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627">
        <f ca="1">SUMIFS(unis.cruzado[Preço Tab.],
  unis.cruzado[empresa.ana], $AD7,
  unis.cruzado[status.p.ana], "3"
)</f>
        <v>0</v>
      </c>
      <c r="AL7" s="627">
        <f ca="1">SUMIFS(unis.cruzado[Preço Tab.],
  unis.cruzado[empresa.ik], $AD7,
  unis.cruzado[status.p.ik], "3"
)</f>
        <v>0</v>
      </c>
      <c r="AM7" s="627">
        <f t="shared" ca="1" si="4"/>
        <v>0</v>
      </c>
    </row>
    <row r="8" spans="1:39" x14ac:dyDescent="0.25">
      <c r="A8" s="2" t="s">
        <v>8</v>
      </c>
      <c r="B8" s="620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623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627">
        <f ca="1">SUMIFS(unis.cruzado[Preço Tab.],
  unis.cruzado[empresa.ana], $AD8,
  unis.cruzado[status.p.ana], "3"
)</f>
        <v>0</v>
      </c>
      <c r="AL8" s="627">
        <f ca="1">SUMIFS(unis.cruzado[Preço Tab.],
  unis.cruzado[empresa.ik], $AD8,
  unis.cruzado[status.p.ik], "3"
)</f>
        <v>0</v>
      </c>
      <c r="AM8" s="627">
        <f t="shared" ca="1" si="4"/>
        <v>0</v>
      </c>
    </row>
    <row r="9" spans="1:39" x14ac:dyDescent="0.25">
      <c r="A9" s="20" t="s">
        <v>8</v>
      </c>
      <c r="B9" s="621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623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627">
        <f ca="1">SUMIFS(unis.cruzado[Preço Tab.],
  unis.cruzado[empresa.ana], $AD9,
  unis.cruzado[status.p.ana], "3"
)</f>
        <v>0</v>
      </c>
      <c r="AL9" s="627">
        <f ca="1">SUMIFS(unis.cruzado[Preço Tab.],
  unis.cruzado[empresa.ik], $AD9,
  unis.cruzado[status.p.ik], "3"
)</f>
        <v>0</v>
      </c>
      <c r="AM9" s="627">
        <f t="shared" ca="1" si="4"/>
        <v>0</v>
      </c>
    </row>
    <row r="10" spans="1:39" x14ac:dyDescent="0.25">
      <c r="A10" s="20" t="s">
        <v>8</v>
      </c>
      <c r="B10" s="621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623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627">
        <f ca="1">SUMIFS(unis.cruzado[Preço Tab.],
  unis.cruzado[empresa.ana], $AD10,
  unis.cruzado[status.p.ana], "3"
)</f>
        <v>0</v>
      </c>
      <c r="AL10" s="627">
        <f ca="1">SUMIFS(unis.cruzado[Preço Tab.],
  unis.cruzado[empresa.ik], $AD10,
  unis.cruzado[status.p.ik], "3"
)</f>
        <v>0</v>
      </c>
      <c r="AM10" s="627">
        <f t="shared" ca="1" si="4"/>
        <v>0</v>
      </c>
    </row>
    <row r="11" spans="1:39" x14ac:dyDescent="0.25">
      <c r="A11" s="22" t="s">
        <v>8</v>
      </c>
      <c r="B11" s="622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623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627">
        <f ca="1">SUMIFS(unis.cruzado[Preço Tab.],
  unis.cruzado[empresa.ana], $AD11,
  unis.cruzado[status.p.ana], "3"
)</f>
        <v>0</v>
      </c>
      <c r="AL11" s="627">
        <f ca="1">SUMIFS(unis.cruzado[Preço Tab.],
  unis.cruzado[empresa.ik], $AD11,
  unis.cruzado[status.p.ik], "3"
)</f>
        <v>0</v>
      </c>
      <c r="AM11" s="627">
        <f t="shared" ca="1" si="4"/>
        <v>0</v>
      </c>
    </row>
    <row r="12" spans="1:39" x14ac:dyDescent="0.25">
      <c r="A12" s="2" t="s">
        <v>673</v>
      </c>
      <c r="B12" s="620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623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627">
        <f ca="1">SUMIFS(unis.cruzado[Preço Tab.],
  unis.cruzado[empresa.ana], $AD12,
  unis.cruzado[status.p.ana], "3"
)</f>
        <v>0</v>
      </c>
      <c r="AL12" s="627">
        <f ca="1">SUMIFS(unis.cruzado[Preço Tab.],
  unis.cruzado[empresa.ik], $AD12,
  unis.cruzado[status.p.ik], "3"
)</f>
        <v>0</v>
      </c>
      <c r="AM12" s="627">
        <f t="shared" ca="1" si="4"/>
        <v>0</v>
      </c>
    </row>
    <row r="13" spans="1:39" x14ac:dyDescent="0.25">
      <c r="A13" s="20" t="s">
        <v>673</v>
      </c>
      <c r="B13" s="621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628">
        <f t="shared" ca="1" si="8"/>
        <v>0</v>
      </c>
      <c r="AL13" s="628">
        <f t="shared" ca="1" si="8"/>
        <v>0</v>
      </c>
      <c r="AM13" s="628">
        <f ca="1">SUM(AM4:AM12)</f>
        <v>0</v>
      </c>
    </row>
    <row r="14" spans="1:39" x14ac:dyDescent="0.25">
      <c r="A14" s="20" t="s">
        <v>673</v>
      </c>
      <c r="B14" s="621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622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620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621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621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622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620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621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621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622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620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621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621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622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620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621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621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622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620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621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621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622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620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621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621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622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G1"/>
  <sheetViews>
    <sheetView showGridLines="0" workbookViewId="0">
      <selection activeCell="K9" sqref="K9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22" t="s">
        <v>1015</v>
      </c>
      <c r="B1" s="422" t="s">
        <v>68</v>
      </c>
      <c r="C1" s="422" t="s">
        <v>309</v>
      </c>
      <c r="D1" s="422" t="s">
        <v>1016</v>
      </c>
      <c r="E1" s="422" t="s">
        <v>292</v>
      </c>
      <c r="F1" s="422" t="s">
        <v>1017</v>
      </c>
      <c r="G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22" t="s">
        <v>1015</v>
      </c>
      <c r="B1" s="422" t="s">
        <v>68</v>
      </c>
      <c r="C1" s="422" t="s">
        <v>309</v>
      </c>
      <c r="D1" s="422" t="s">
        <v>1016</v>
      </c>
      <c r="E1" s="422" t="s">
        <v>292</v>
      </c>
      <c r="F1" s="422" t="s">
        <v>1017</v>
      </c>
      <c r="G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1272</v>
      </c>
      <c r="B1" t="s">
        <v>1273</v>
      </c>
      <c r="C1" s="619" t="s">
        <v>1274</v>
      </c>
      <c r="D1" s="619" t="s">
        <v>1275</v>
      </c>
      <c r="E1" s="619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1276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1277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1018</v>
      </c>
      <c r="B1" t="s">
        <v>1019</v>
      </c>
      <c r="C1" t="s">
        <v>309</v>
      </c>
      <c r="D1" t="s">
        <v>68</v>
      </c>
      <c r="E1" t="s">
        <v>1020</v>
      </c>
      <c r="F1" t="s">
        <v>1021</v>
      </c>
      <c r="G1" t="s">
        <v>1022</v>
      </c>
      <c r="H1" t="s">
        <v>1023</v>
      </c>
      <c r="I1" t="s">
        <v>1024</v>
      </c>
      <c r="J1" t="s">
        <v>1025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A1:L177"/>
  <sheetViews>
    <sheetView showGridLines="0" topLeftCell="A5" zoomScaleNormal="100" workbookViewId="0">
      <selection activeCell="O22" sqref="O22"/>
    </sheetView>
  </sheetViews>
  <sheetFormatPr defaultRowHeight="15" x14ac:dyDescent="0.25"/>
  <cols>
    <col min="1" max="1" width="10.7109375" customWidth="1"/>
    <col min="2" max="2" width="15.7109375" customWidth="1"/>
    <col min="3" max="3" width="10.85546875" customWidth="1"/>
    <col min="5" max="5" width="12.7109375" customWidth="1"/>
    <col min="6" max="12" width="15.7109375" customWidth="1"/>
  </cols>
  <sheetData>
    <row r="1" spans="1:12" x14ac:dyDescent="0.25">
      <c r="A1" t="s">
        <v>1262</v>
      </c>
      <c r="B1" t="s">
        <v>441</v>
      </c>
      <c r="C1" t="s">
        <v>33</v>
      </c>
      <c r="E1" s="604"/>
      <c r="F1" s="611">
        <v>46023</v>
      </c>
      <c r="G1" s="611">
        <v>46054</v>
      </c>
      <c r="H1" s="611">
        <v>46082</v>
      </c>
      <c r="I1" s="611">
        <v>46113</v>
      </c>
      <c r="J1" s="611">
        <v>46143</v>
      </c>
      <c r="K1" s="611">
        <v>46174</v>
      </c>
      <c r="L1" s="612">
        <v>46204</v>
      </c>
    </row>
    <row r="2" spans="1:12" x14ac:dyDescent="0.25">
      <c r="A2" s="602">
        <v>46024</v>
      </c>
      <c r="B2" s="600">
        <v>816.45</v>
      </c>
      <c r="C2" s="138" t="s">
        <v>11</v>
      </c>
      <c r="E2" s="609" t="s">
        <v>1264</v>
      </c>
      <c r="F2" s="605">
        <f>SUMIFS(
  tb_caixa[Saldo],
  tb_caixa[Dia], "&gt;="&amp;F$1,
  tb_caixa[Dia], "&lt;"&amp;EOMONTH(F$1,0)+1
)</f>
        <v>3055977.6500000004</v>
      </c>
      <c r="G2" s="605">
        <f>SUMIFS(
  tb_caixa[Saldo],
  tb_caixa[Dia], "&gt;="&amp;G$1,
  tb_caixa[Dia], "&lt;"&amp;EOMONTH(G$1,0)+1
)</f>
        <v>1519695.76</v>
      </c>
      <c r="H2" s="605">
        <f>SUMIFS(
  tb_caixa[Saldo],
  tb_caixa[Dia], "&gt;="&amp;H$1,
  tb_caixa[Dia], "&lt;"&amp;EOMONTH(H$1,0)+1
)</f>
        <v>1305811.9100000001</v>
      </c>
      <c r="I2" s="605">
        <f>SUMIFS(
  tb_caixa[Saldo],
  tb_caixa[Dia], "&gt;="&amp;I$1,
  tb_caixa[Dia], "&lt;"&amp;EOMONTH(I$1,0)+1
)</f>
        <v>2906487.54</v>
      </c>
      <c r="J2" s="605">
        <f>SUMIFS(
  tb_caixa[Saldo],
  tb_caixa[Dia], "&gt;="&amp;J$1,
  tb_caixa[Dia], "&lt;"&amp;EOMONTH(J$1,0)+1
)</f>
        <v>284802.63000000006</v>
      </c>
      <c r="K2" s="605">
        <f>SUMIFS(
  tb_caixa[Saldo],
  tb_caixa[Dia], "&gt;="&amp;K$1,
  tb_caixa[Dia], "&lt;"&amp;EOMONTH(K$1,0)+1
)</f>
        <v>5972197.5200000005</v>
      </c>
      <c r="L2" s="606">
        <f>SUMIFS(
  tb_caixa[Saldo],
  tb_caixa[Dia], "&gt;="&amp;L$1,
  tb_caixa[Dia], "&lt;"&amp;EOMONTH(L$1,0)+1
)</f>
        <v>2484752.4500000002</v>
      </c>
    </row>
    <row r="3" spans="1:12" x14ac:dyDescent="0.25">
      <c r="A3" s="602">
        <v>46024</v>
      </c>
      <c r="B3" s="600">
        <v>1016141.64</v>
      </c>
      <c r="C3" s="138" t="s">
        <v>7</v>
      </c>
      <c r="E3" s="609" t="s">
        <v>1265</v>
      </c>
      <c r="F3" s="605">
        <f t="shared" ref="F3:L3" si="0">IF(ISBLANK(G2),
"-",
G2-F2
)</f>
        <v>-1536281.8900000004</v>
      </c>
      <c r="G3" s="605">
        <f t="shared" si="0"/>
        <v>-213883.84999999986</v>
      </c>
      <c r="H3" s="605">
        <f t="shared" si="0"/>
        <v>1600675.63</v>
      </c>
      <c r="I3" s="605">
        <f t="shared" si="0"/>
        <v>-2621684.91</v>
      </c>
      <c r="J3" s="605">
        <f t="shared" si="0"/>
        <v>5687394.8900000006</v>
      </c>
      <c r="K3" s="605">
        <f t="shared" si="0"/>
        <v>-3487445.0700000003</v>
      </c>
      <c r="L3" s="606" t="str">
        <f t="shared" si="0"/>
        <v>-</v>
      </c>
    </row>
    <row r="4" spans="1:12" x14ac:dyDescent="0.25">
      <c r="A4" s="602">
        <v>46024</v>
      </c>
      <c r="B4" s="600">
        <v>49396.880000000005</v>
      </c>
      <c r="C4" s="138" t="s">
        <v>479</v>
      </c>
      <c r="E4" s="610" t="s">
        <v>1266</v>
      </c>
      <c r="F4" s="607">
        <f t="shared" ref="F4:L4" si="1">IF(ISBLANK(G3),
"-",
F3/F2
)</f>
        <v>-0.50271371912683993</v>
      </c>
      <c r="G4" s="607">
        <f t="shared" si="1"/>
        <v>-0.1407412296787614</v>
      </c>
      <c r="H4" s="607">
        <f t="shared" si="1"/>
        <v>1.2258087230955028</v>
      </c>
      <c r="I4" s="607">
        <f t="shared" si="1"/>
        <v>-0.90201140514780953</v>
      </c>
      <c r="J4" s="607">
        <f t="shared" si="1"/>
        <v>19.969601018080485</v>
      </c>
      <c r="K4" s="607">
        <f t="shared" si="1"/>
        <v>-0.58394670610291532</v>
      </c>
      <c r="L4" s="608" t="str">
        <f t="shared" si="1"/>
        <v>-</v>
      </c>
    </row>
    <row r="5" spans="1:12" x14ac:dyDescent="0.25">
      <c r="A5" s="602">
        <v>46024</v>
      </c>
      <c r="B5" s="600">
        <v>68895.739999999991</v>
      </c>
      <c r="C5" s="138" t="s">
        <v>10</v>
      </c>
    </row>
    <row r="6" spans="1:12" ht="21" x14ac:dyDescent="0.35">
      <c r="A6" s="602">
        <v>46024</v>
      </c>
      <c r="B6" s="600">
        <v>218.48</v>
      </c>
      <c r="C6" s="138" t="s">
        <v>909</v>
      </c>
      <c r="E6" s="233" t="s">
        <v>1269</v>
      </c>
    </row>
    <row r="7" spans="1:12" x14ac:dyDescent="0.25">
      <c r="A7" s="602">
        <v>46024</v>
      </c>
      <c r="B7" s="600">
        <v>271436.51</v>
      </c>
      <c r="C7" s="138" t="s">
        <v>9</v>
      </c>
      <c r="F7" s="614">
        <v>46023</v>
      </c>
      <c r="G7" s="614">
        <v>46054</v>
      </c>
      <c r="H7" s="614">
        <v>46082</v>
      </c>
      <c r="I7" s="614">
        <v>46113</v>
      </c>
      <c r="J7" s="614">
        <v>46143</v>
      </c>
      <c r="K7" s="614">
        <v>46174</v>
      </c>
    </row>
    <row r="8" spans="1:12" x14ac:dyDescent="0.25">
      <c r="A8" s="602">
        <v>46024</v>
      </c>
      <c r="B8" s="600">
        <v>1455044.0899999999</v>
      </c>
      <c r="C8" s="138" t="s">
        <v>12</v>
      </c>
      <c r="E8" s="613" t="s">
        <v>1267</v>
      </c>
      <c r="F8" s="615">
        <f ca="1">f.grupo!P311</f>
        <v>1318482.03</v>
      </c>
      <c r="G8" s="615">
        <f ca="1">f.grupo!Q311</f>
        <v>3970629.95</v>
      </c>
      <c r="H8" s="616">
        <f ca="1">f.grupo!R311</f>
        <v>2886031.81</v>
      </c>
      <c r="I8" s="615">
        <f ca="1">f.grupo!S311</f>
        <v>1292236.98</v>
      </c>
      <c r="J8" s="616">
        <f ca="1">f.grupo!T311</f>
        <v>7398838.5200000005</v>
      </c>
      <c r="K8" s="615">
        <f ca="1">f.grupo!U311</f>
        <v>1756267.9000000001</v>
      </c>
    </row>
    <row r="9" spans="1:12" x14ac:dyDescent="0.25">
      <c r="A9" s="602">
        <v>46024</v>
      </c>
      <c r="B9" s="600">
        <v>-32988.449999999997</v>
      </c>
      <c r="C9" s="138" t="s">
        <v>8</v>
      </c>
      <c r="E9" s="618" t="s">
        <v>441</v>
      </c>
      <c r="F9" s="600">
        <f>F3</f>
        <v>-1536281.8900000004</v>
      </c>
      <c r="G9" s="600">
        <f t="shared" ref="G9:K9" si="2">G3</f>
        <v>-213883.84999999986</v>
      </c>
      <c r="H9" s="600">
        <f t="shared" si="2"/>
        <v>1600675.63</v>
      </c>
      <c r="I9" s="600">
        <f t="shared" si="2"/>
        <v>-2621684.91</v>
      </c>
      <c r="J9" s="600">
        <f t="shared" si="2"/>
        <v>5687394.8900000006</v>
      </c>
      <c r="K9" s="600">
        <f t="shared" si="2"/>
        <v>-3487445.0700000003</v>
      </c>
    </row>
    <row r="10" spans="1:12" x14ac:dyDescent="0.25">
      <c r="A10" s="602">
        <v>46024</v>
      </c>
      <c r="B10" s="600">
        <v>-38778.5</v>
      </c>
      <c r="C10" s="138" t="s">
        <v>481</v>
      </c>
      <c r="E10" s="618" t="s">
        <v>1268</v>
      </c>
      <c r="F10" s="617">
        <v>-1402115.8799999997</v>
      </c>
      <c r="G10" s="617">
        <v>-1591647.19</v>
      </c>
      <c r="H10" s="617">
        <v>-624160.26999999979</v>
      </c>
      <c r="I10" s="617">
        <v>-1328343.9399999997</v>
      </c>
      <c r="J10" s="134">
        <v>2499322.6999999997</v>
      </c>
    </row>
    <row r="11" spans="1:12" x14ac:dyDescent="0.25">
      <c r="A11" s="602">
        <v>46024</v>
      </c>
      <c r="B11" s="600">
        <v>43656.59</v>
      </c>
      <c r="C11" s="138" t="s">
        <v>760</v>
      </c>
    </row>
    <row r="12" spans="1:12" x14ac:dyDescent="0.25">
      <c r="A12" s="602">
        <v>46024</v>
      </c>
      <c r="B12" s="600">
        <v>193821.37</v>
      </c>
      <c r="C12" s="138" t="s">
        <v>465</v>
      </c>
    </row>
    <row r="13" spans="1:12" x14ac:dyDescent="0.25">
      <c r="A13" s="602">
        <v>46024</v>
      </c>
      <c r="B13" s="600">
        <v>6695.85</v>
      </c>
      <c r="C13" s="138" t="s">
        <v>13</v>
      </c>
    </row>
    <row r="14" spans="1:12" x14ac:dyDescent="0.25">
      <c r="A14" s="602">
        <v>46024</v>
      </c>
      <c r="B14" s="600">
        <v>6129.52</v>
      </c>
      <c r="C14" s="138" t="s">
        <v>670</v>
      </c>
    </row>
    <row r="15" spans="1:12" x14ac:dyDescent="0.25">
      <c r="A15" s="602">
        <v>46024</v>
      </c>
      <c r="B15" s="600">
        <v>19092.46</v>
      </c>
      <c r="C15" s="138" t="s">
        <v>867</v>
      </c>
    </row>
    <row r="16" spans="1:12" x14ac:dyDescent="0.25">
      <c r="A16" s="602">
        <v>46024</v>
      </c>
      <c r="B16" s="600">
        <v>25903.600000000002</v>
      </c>
      <c r="C16" s="138" t="s">
        <v>482</v>
      </c>
    </row>
    <row r="17" spans="1:3" x14ac:dyDescent="0.25">
      <c r="A17" s="602">
        <v>46024</v>
      </c>
      <c r="B17" s="600">
        <v>89227.86</v>
      </c>
      <c r="C17" s="138" t="s">
        <v>673</v>
      </c>
    </row>
    <row r="18" spans="1:3" x14ac:dyDescent="0.25">
      <c r="A18" s="602">
        <v>46024</v>
      </c>
      <c r="B18" s="600">
        <v>342.22</v>
      </c>
      <c r="C18" s="138" t="s">
        <v>677</v>
      </c>
    </row>
    <row r="19" spans="1:3" x14ac:dyDescent="0.25">
      <c r="A19" s="602">
        <v>46024</v>
      </c>
      <c r="B19" s="600">
        <v>5353.75</v>
      </c>
      <c r="C19" s="138" t="s">
        <v>678</v>
      </c>
    </row>
    <row r="20" spans="1:3" x14ac:dyDescent="0.25">
      <c r="A20" s="602">
        <v>46024</v>
      </c>
      <c r="B20" s="600">
        <v>185.16</v>
      </c>
      <c r="C20" s="138" t="s">
        <v>813</v>
      </c>
    </row>
    <row r="21" spans="1:3" x14ac:dyDescent="0.25">
      <c r="A21" s="602">
        <v>46024</v>
      </c>
      <c r="B21" s="600">
        <v>-112827.28</v>
      </c>
      <c r="C21" s="138" t="s">
        <v>671</v>
      </c>
    </row>
    <row r="22" spans="1:3" x14ac:dyDescent="0.25">
      <c r="A22" s="602">
        <v>46024</v>
      </c>
      <c r="B22" s="600">
        <v>-13906.53</v>
      </c>
      <c r="C22" s="138" t="s">
        <v>1122</v>
      </c>
    </row>
    <row r="23" spans="1:3" x14ac:dyDescent="0.25">
      <c r="A23" s="602">
        <v>46024</v>
      </c>
      <c r="B23" s="600">
        <v>1352.9399999999998</v>
      </c>
      <c r="C23" s="138" t="s">
        <v>857</v>
      </c>
    </row>
    <row r="24" spans="1:3" x14ac:dyDescent="0.25">
      <c r="A24" s="602">
        <v>46024</v>
      </c>
      <c r="B24" s="600">
        <v>767.3</v>
      </c>
      <c r="C24" s="138" t="s">
        <v>889</v>
      </c>
    </row>
    <row r="25" spans="1:3" x14ac:dyDescent="0.25">
      <c r="A25" s="602">
        <v>46024</v>
      </c>
      <c r="B25" s="600">
        <v>0</v>
      </c>
      <c r="C25" s="138" t="s">
        <v>863</v>
      </c>
    </row>
    <row r="26" spans="1:3" x14ac:dyDescent="0.25">
      <c r="A26" s="602">
        <v>46055</v>
      </c>
      <c r="B26" s="600">
        <v>858.38000000000011</v>
      </c>
      <c r="C26" s="138" t="s">
        <v>11</v>
      </c>
    </row>
    <row r="27" spans="1:3" x14ac:dyDescent="0.25">
      <c r="A27" s="602">
        <v>46055</v>
      </c>
      <c r="B27" s="600">
        <v>89921.279999999984</v>
      </c>
      <c r="C27" s="138" t="s">
        <v>7</v>
      </c>
    </row>
    <row r="28" spans="1:3" x14ac:dyDescent="0.25">
      <c r="A28" s="602">
        <v>46055</v>
      </c>
      <c r="B28" s="600">
        <v>-15066.989999999998</v>
      </c>
      <c r="C28" s="138" t="s">
        <v>479</v>
      </c>
    </row>
    <row r="29" spans="1:3" x14ac:dyDescent="0.25">
      <c r="A29" s="602">
        <v>46055</v>
      </c>
      <c r="B29" s="600">
        <v>132233.46</v>
      </c>
      <c r="C29" s="138" t="s">
        <v>10</v>
      </c>
    </row>
    <row r="30" spans="1:3" x14ac:dyDescent="0.25">
      <c r="A30" s="602">
        <v>46055</v>
      </c>
      <c r="B30" s="600">
        <v>63.05</v>
      </c>
      <c r="C30" s="138" t="s">
        <v>909</v>
      </c>
    </row>
    <row r="31" spans="1:3" x14ac:dyDescent="0.25">
      <c r="A31" s="602">
        <v>46055</v>
      </c>
      <c r="B31" s="600">
        <v>933491.92</v>
      </c>
      <c r="C31" s="138" t="s">
        <v>9</v>
      </c>
    </row>
    <row r="32" spans="1:3" x14ac:dyDescent="0.25">
      <c r="A32" s="602">
        <v>46055</v>
      </c>
      <c r="B32" s="600">
        <v>70946.13</v>
      </c>
      <c r="C32" s="138" t="s">
        <v>12</v>
      </c>
    </row>
    <row r="33" spans="1:3" x14ac:dyDescent="0.25">
      <c r="A33" s="602">
        <v>46055</v>
      </c>
      <c r="B33" s="600">
        <v>-54442.750000000007</v>
      </c>
      <c r="C33" s="138" t="s">
        <v>8</v>
      </c>
    </row>
    <row r="34" spans="1:3" x14ac:dyDescent="0.25">
      <c r="A34" s="602">
        <v>46055</v>
      </c>
      <c r="B34" s="600">
        <v>-38225.360000000001</v>
      </c>
      <c r="C34" s="138" t="s">
        <v>481</v>
      </c>
    </row>
    <row r="35" spans="1:3" x14ac:dyDescent="0.25">
      <c r="A35" s="602">
        <v>46055</v>
      </c>
      <c r="B35" s="600">
        <v>9922.36</v>
      </c>
      <c r="C35" s="138" t="s">
        <v>760</v>
      </c>
    </row>
    <row r="36" spans="1:3" x14ac:dyDescent="0.25">
      <c r="A36" s="602">
        <v>46055</v>
      </c>
      <c r="B36" s="600">
        <v>46177.5</v>
      </c>
      <c r="C36" s="138" t="s">
        <v>465</v>
      </c>
    </row>
    <row r="37" spans="1:3" x14ac:dyDescent="0.25">
      <c r="A37" s="602">
        <v>46055</v>
      </c>
      <c r="B37" s="600">
        <v>9782.76</v>
      </c>
      <c r="C37" s="138" t="s">
        <v>13</v>
      </c>
    </row>
    <row r="38" spans="1:3" x14ac:dyDescent="0.25">
      <c r="A38" s="602">
        <v>46055</v>
      </c>
      <c r="B38" s="600">
        <v>4636.58</v>
      </c>
      <c r="C38" s="138" t="s">
        <v>670</v>
      </c>
    </row>
    <row r="39" spans="1:3" x14ac:dyDescent="0.25">
      <c r="A39" s="602">
        <v>46055</v>
      </c>
      <c r="B39" s="600">
        <v>-9091.2800000000007</v>
      </c>
      <c r="C39" s="138" t="s">
        <v>867</v>
      </c>
    </row>
    <row r="40" spans="1:3" x14ac:dyDescent="0.25">
      <c r="A40" s="602">
        <v>46055</v>
      </c>
      <c r="B40" s="600">
        <v>-115.35000000000036</v>
      </c>
      <c r="C40" s="138" t="s">
        <v>482</v>
      </c>
    </row>
    <row r="41" spans="1:3" x14ac:dyDescent="0.25">
      <c r="A41" s="602">
        <v>46055</v>
      </c>
      <c r="B41" s="600">
        <v>424533.14</v>
      </c>
      <c r="C41" s="138" t="s">
        <v>673</v>
      </c>
    </row>
    <row r="42" spans="1:3" x14ac:dyDescent="0.25">
      <c r="A42" s="602">
        <v>46055</v>
      </c>
      <c r="B42" s="600">
        <v>204.22</v>
      </c>
      <c r="C42" s="138" t="s">
        <v>677</v>
      </c>
    </row>
    <row r="43" spans="1:3" x14ac:dyDescent="0.25">
      <c r="A43" s="602">
        <v>46055</v>
      </c>
      <c r="B43" s="600">
        <v>348.47</v>
      </c>
      <c r="C43" s="138" t="s">
        <v>678</v>
      </c>
    </row>
    <row r="44" spans="1:3" x14ac:dyDescent="0.25">
      <c r="A44" s="602">
        <v>46055</v>
      </c>
      <c r="B44" s="600">
        <v>41.8</v>
      </c>
      <c r="C44" s="138" t="s">
        <v>813</v>
      </c>
    </row>
    <row r="45" spans="1:3" x14ac:dyDescent="0.25">
      <c r="A45" s="602">
        <v>46055</v>
      </c>
      <c r="B45" s="600">
        <v>-95049.82</v>
      </c>
      <c r="C45" s="138" t="s">
        <v>671</v>
      </c>
    </row>
    <row r="46" spans="1:3" x14ac:dyDescent="0.25">
      <c r="A46" s="602">
        <v>46055</v>
      </c>
      <c r="B46" s="600">
        <v>729.84</v>
      </c>
      <c r="C46" s="138" t="s">
        <v>1122</v>
      </c>
    </row>
    <row r="47" spans="1:3" x14ac:dyDescent="0.25">
      <c r="A47" s="602">
        <v>46055</v>
      </c>
      <c r="B47" s="600">
        <v>6735.39</v>
      </c>
      <c r="C47" s="138" t="s">
        <v>857</v>
      </c>
    </row>
    <row r="48" spans="1:3" x14ac:dyDescent="0.25">
      <c r="A48" s="602">
        <v>46055</v>
      </c>
      <c r="B48" s="600">
        <v>1061.03</v>
      </c>
      <c r="C48" s="138" t="s">
        <v>889</v>
      </c>
    </row>
    <row r="49" spans="1:3" x14ac:dyDescent="0.25">
      <c r="A49" s="602">
        <v>46055</v>
      </c>
      <c r="B49" s="600">
        <v>0</v>
      </c>
      <c r="C49" s="138" t="s">
        <v>863</v>
      </c>
    </row>
    <row r="50" spans="1:3" x14ac:dyDescent="0.25">
      <c r="A50" s="602">
        <v>46083</v>
      </c>
      <c r="B50" s="600">
        <v>69113.440000000002</v>
      </c>
      <c r="C50" s="138" t="s">
        <v>11</v>
      </c>
    </row>
    <row r="51" spans="1:3" x14ac:dyDescent="0.25">
      <c r="A51" s="602">
        <v>46083</v>
      </c>
      <c r="B51" s="600">
        <v>509635.91000000003</v>
      </c>
      <c r="C51" s="138" t="s">
        <v>7</v>
      </c>
    </row>
    <row r="52" spans="1:3" x14ac:dyDescent="0.25">
      <c r="A52" s="602">
        <v>46083</v>
      </c>
      <c r="B52" s="600">
        <v>-112435.81</v>
      </c>
      <c r="C52" s="138" t="s">
        <v>479</v>
      </c>
    </row>
    <row r="53" spans="1:3" x14ac:dyDescent="0.25">
      <c r="A53" s="602">
        <v>46083</v>
      </c>
      <c r="B53" s="600">
        <v>7626.22</v>
      </c>
      <c r="C53" s="138" t="s">
        <v>10</v>
      </c>
    </row>
    <row r="54" spans="1:3" x14ac:dyDescent="0.25">
      <c r="A54" s="602">
        <v>46083</v>
      </c>
      <c r="B54" s="600">
        <v>0</v>
      </c>
      <c r="C54" s="138" t="s">
        <v>909</v>
      </c>
    </row>
    <row r="55" spans="1:3" x14ac:dyDescent="0.25">
      <c r="A55" s="602">
        <v>46083</v>
      </c>
      <c r="B55" s="600">
        <v>931191.33000000007</v>
      </c>
      <c r="C55" s="138" t="s">
        <v>9</v>
      </c>
    </row>
    <row r="56" spans="1:3" x14ac:dyDescent="0.25">
      <c r="A56" s="602">
        <v>46083</v>
      </c>
      <c r="B56" s="600">
        <v>2472.6200000000026</v>
      </c>
      <c r="C56" s="138" t="s">
        <v>12</v>
      </c>
    </row>
    <row r="57" spans="1:3" x14ac:dyDescent="0.25">
      <c r="A57" s="602">
        <v>46083</v>
      </c>
      <c r="B57" s="600">
        <v>671.95000000000437</v>
      </c>
      <c r="C57" s="138" t="s">
        <v>8</v>
      </c>
    </row>
    <row r="58" spans="1:3" x14ac:dyDescent="0.25">
      <c r="A58" s="602">
        <v>46083</v>
      </c>
      <c r="B58" s="600">
        <v>-5927.23</v>
      </c>
      <c r="C58" s="138" t="s">
        <v>481</v>
      </c>
    </row>
    <row r="59" spans="1:3" x14ac:dyDescent="0.25">
      <c r="A59" s="602">
        <v>46083</v>
      </c>
      <c r="B59" s="600">
        <v>15877.75</v>
      </c>
      <c r="C59" s="138" t="s">
        <v>760</v>
      </c>
    </row>
    <row r="60" spans="1:3" x14ac:dyDescent="0.25">
      <c r="A60" s="602">
        <v>46083</v>
      </c>
      <c r="B60" s="600">
        <v>2509.2799999999997</v>
      </c>
      <c r="C60" s="138" t="s">
        <v>465</v>
      </c>
    </row>
    <row r="61" spans="1:3" x14ac:dyDescent="0.25">
      <c r="A61" s="602">
        <v>46083</v>
      </c>
      <c r="B61" s="600">
        <v>4594.1399999999994</v>
      </c>
      <c r="C61" s="138" t="s">
        <v>13</v>
      </c>
    </row>
    <row r="62" spans="1:3" x14ac:dyDescent="0.25">
      <c r="A62" s="602">
        <v>46083</v>
      </c>
      <c r="B62" s="600">
        <v>0</v>
      </c>
      <c r="C62" s="138" t="s">
        <v>670</v>
      </c>
    </row>
    <row r="63" spans="1:3" x14ac:dyDescent="0.25">
      <c r="A63" s="602">
        <v>46083</v>
      </c>
      <c r="B63" s="600">
        <v>-2853.73</v>
      </c>
      <c r="C63" s="138" t="s">
        <v>867</v>
      </c>
    </row>
    <row r="64" spans="1:3" x14ac:dyDescent="0.25">
      <c r="A64" s="602">
        <v>46083</v>
      </c>
      <c r="B64" s="600">
        <v>-1124.6999999999998</v>
      </c>
      <c r="C64" s="138" t="s">
        <v>482</v>
      </c>
    </row>
    <row r="65" spans="1:3" x14ac:dyDescent="0.25">
      <c r="A65" s="602">
        <v>46083</v>
      </c>
      <c r="B65" s="600">
        <v>9664.98</v>
      </c>
      <c r="C65" s="138" t="s">
        <v>673</v>
      </c>
    </row>
    <row r="66" spans="1:3" x14ac:dyDescent="0.25">
      <c r="A66" s="602">
        <v>46083</v>
      </c>
      <c r="B66" s="600">
        <v>625.91999999999996</v>
      </c>
      <c r="C66" s="138" t="s">
        <v>677</v>
      </c>
    </row>
    <row r="67" spans="1:3" x14ac:dyDescent="0.25">
      <c r="A67" s="602">
        <v>46083</v>
      </c>
      <c r="B67" s="600">
        <v>247.29000000000002</v>
      </c>
      <c r="C67" s="138" t="s">
        <v>678</v>
      </c>
    </row>
    <row r="68" spans="1:3" x14ac:dyDescent="0.25">
      <c r="A68" s="602">
        <v>46083</v>
      </c>
      <c r="B68" s="600">
        <v>0</v>
      </c>
      <c r="C68" s="138" t="s">
        <v>813</v>
      </c>
    </row>
    <row r="69" spans="1:3" x14ac:dyDescent="0.25">
      <c r="A69" s="602">
        <v>46083</v>
      </c>
      <c r="B69" s="600">
        <v>-97898.22</v>
      </c>
      <c r="C69" s="138" t="s">
        <v>671</v>
      </c>
    </row>
    <row r="70" spans="1:3" x14ac:dyDescent="0.25">
      <c r="A70" s="602">
        <v>46083</v>
      </c>
      <c r="B70" s="600">
        <v>-39768.54</v>
      </c>
      <c r="C70" s="138" t="s">
        <v>1122</v>
      </c>
    </row>
    <row r="71" spans="1:3" x14ac:dyDescent="0.25">
      <c r="A71" s="602">
        <v>46083</v>
      </c>
      <c r="B71" s="600">
        <v>9855.07</v>
      </c>
      <c r="C71" s="138" t="s">
        <v>857</v>
      </c>
    </row>
    <row r="72" spans="1:3" x14ac:dyDescent="0.25">
      <c r="A72" s="602">
        <v>46083</v>
      </c>
      <c r="B72" s="600">
        <v>1734.24</v>
      </c>
      <c r="C72" s="138" t="s">
        <v>889</v>
      </c>
    </row>
    <row r="73" spans="1:3" x14ac:dyDescent="0.25">
      <c r="A73" s="602">
        <v>46083</v>
      </c>
      <c r="B73" s="600">
        <v>0</v>
      </c>
      <c r="C73" s="138" t="s">
        <v>863</v>
      </c>
    </row>
    <row r="74" spans="1:3" x14ac:dyDescent="0.25">
      <c r="A74" s="602">
        <v>46114</v>
      </c>
      <c r="B74" s="600">
        <v>202533.68999999997</v>
      </c>
      <c r="C74" s="138" t="s">
        <v>11</v>
      </c>
    </row>
    <row r="75" spans="1:3" x14ac:dyDescent="0.25">
      <c r="A75" s="602">
        <v>46114</v>
      </c>
      <c r="B75" s="600">
        <v>61806.85</v>
      </c>
      <c r="C75" s="138" t="s">
        <v>7</v>
      </c>
    </row>
    <row r="76" spans="1:3" x14ac:dyDescent="0.25">
      <c r="A76" s="602">
        <v>46114</v>
      </c>
      <c r="B76" s="600">
        <v>-120162.23999999999</v>
      </c>
      <c r="C76" s="138" t="s">
        <v>479</v>
      </c>
    </row>
    <row r="77" spans="1:3" x14ac:dyDescent="0.25">
      <c r="A77" s="602">
        <v>46114</v>
      </c>
      <c r="B77" s="600">
        <v>10938.32</v>
      </c>
      <c r="C77" s="138" t="s">
        <v>10</v>
      </c>
    </row>
    <row r="78" spans="1:3" x14ac:dyDescent="0.25">
      <c r="A78" s="602">
        <v>46114</v>
      </c>
      <c r="B78" s="600">
        <v>1865.08</v>
      </c>
      <c r="C78" s="138" t="s">
        <v>909</v>
      </c>
    </row>
    <row r="79" spans="1:3" x14ac:dyDescent="0.25">
      <c r="A79" s="602">
        <v>46114</v>
      </c>
      <c r="B79" s="600">
        <v>358511.69</v>
      </c>
      <c r="C79" s="138" t="s">
        <v>9</v>
      </c>
    </row>
    <row r="80" spans="1:3" x14ac:dyDescent="0.25">
      <c r="A80" s="602">
        <v>46114</v>
      </c>
      <c r="B80" s="600">
        <v>1482505.38</v>
      </c>
      <c r="C80" s="138" t="s">
        <v>12</v>
      </c>
    </row>
    <row r="81" spans="1:3" x14ac:dyDescent="0.25">
      <c r="A81" s="602">
        <v>46114</v>
      </c>
      <c r="B81" s="600">
        <v>21770.19</v>
      </c>
      <c r="C81" s="138" t="s">
        <v>8</v>
      </c>
    </row>
    <row r="82" spans="1:3" x14ac:dyDescent="0.25">
      <c r="A82" s="602">
        <v>46114</v>
      </c>
      <c r="B82" s="600">
        <v>0</v>
      </c>
      <c r="C82" s="138" t="s">
        <v>1261</v>
      </c>
    </row>
    <row r="83" spans="1:3" x14ac:dyDescent="0.25">
      <c r="A83" s="602">
        <v>46114</v>
      </c>
      <c r="B83" s="600">
        <v>0</v>
      </c>
      <c r="C83" s="138" t="s">
        <v>1271</v>
      </c>
    </row>
    <row r="84" spans="1:3" x14ac:dyDescent="0.25">
      <c r="A84" s="602">
        <v>46114</v>
      </c>
      <c r="B84" s="600">
        <v>-27696.14</v>
      </c>
      <c r="C84" s="138" t="s">
        <v>481</v>
      </c>
    </row>
    <row r="85" spans="1:3" x14ac:dyDescent="0.25">
      <c r="A85" s="602">
        <v>46114</v>
      </c>
      <c r="B85" s="600">
        <v>7529.8899999999994</v>
      </c>
      <c r="C85" s="138" t="s">
        <v>760</v>
      </c>
    </row>
    <row r="86" spans="1:3" x14ac:dyDescent="0.25">
      <c r="A86" s="602">
        <v>46114</v>
      </c>
      <c r="B86" s="600">
        <v>9273.6299999999992</v>
      </c>
      <c r="C86" s="138" t="s">
        <v>465</v>
      </c>
    </row>
    <row r="87" spans="1:3" x14ac:dyDescent="0.25">
      <c r="A87" s="602">
        <v>46114</v>
      </c>
      <c r="B87" s="600">
        <v>1006435.56</v>
      </c>
      <c r="C87" s="138" t="s">
        <v>13</v>
      </c>
    </row>
    <row r="88" spans="1:3" x14ac:dyDescent="0.25">
      <c r="A88" s="602">
        <v>46114</v>
      </c>
      <c r="B88" s="600">
        <v>74.87</v>
      </c>
      <c r="C88" s="138" t="s">
        <v>670</v>
      </c>
    </row>
    <row r="89" spans="1:3" x14ac:dyDescent="0.25">
      <c r="A89" s="602">
        <v>46114</v>
      </c>
      <c r="B89" s="600">
        <v>-1501.78</v>
      </c>
      <c r="C89" s="138" t="s">
        <v>867</v>
      </c>
    </row>
    <row r="90" spans="1:3" x14ac:dyDescent="0.25">
      <c r="A90" s="602">
        <v>46114</v>
      </c>
      <c r="B90" s="600">
        <v>-1776.1599999999999</v>
      </c>
      <c r="C90" s="138" t="s">
        <v>482</v>
      </c>
    </row>
    <row r="91" spans="1:3" x14ac:dyDescent="0.25">
      <c r="A91" s="602">
        <v>46114</v>
      </c>
      <c r="B91" s="600">
        <v>19544.72</v>
      </c>
      <c r="C91" s="138" t="s">
        <v>673</v>
      </c>
    </row>
    <row r="92" spans="1:3" x14ac:dyDescent="0.25">
      <c r="A92" s="602">
        <v>46114</v>
      </c>
      <c r="B92" s="600">
        <v>477.69</v>
      </c>
      <c r="C92" s="138" t="s">
        <v>677</v>
      </c>
    </row>
    <row r="93" spans="1:3" x14ac:dyDescent="0.25">
      <c r="A93" s="602">
        <v>46114</v>
      </c>
      <c r="B93" s="600">
        <v>1246.0999999999999</v>
      </c>
      <c r="C93" s="138" t="s">
        <v>678</v>
      </c>
    </row>
    <row r="94" spans="1:3" x14ac:dyDescent="0.25">
      <c r="A94" s="602">
        <v>46114</v>
      </c>
      <c r="B94" s="600">
        <v>0</v>
      </c>
      <c r="C94" s="138" t="s">
        <v>813</v>
      </c>
    </row>
    <row r="95" spans="1:3" x14ac:dyDescent="0.25">
      <c r="A95" s="602">
        <v>46114</v>
      </c>
      <c r="B95" s="600">
        <v>-96141.58</v>
      </c>
      <c r="C95" s="138" t="s">
        <v>671</v>
      </c>
    </row>
    <row r="96" spans="1:3" x14ac:dyDescent="0.25">
      <c r="A96" s="602">
        <v>46114</v>
      </c>
      <c r="B96" s="600">
        <v>-35287.72</v>
      </c>
      <c r="C96" s="138" t="s">
        <v>1122</v>
      </c>
    </row>
    <row r="97" spans="1:3" x14ac:dyDescent="0.25">
      <c r="A97" s="602">
        <v>46114</v>
      </c>
      <c r="B97" s="600">
        <v>4313.1400000000003</v>
      </c>
      <c r="C97" s="138" t="s">
        <v>857</v>
      </c>
    </row>
    <row r="98" spans="1:3" x14ac:dyDescent="0.25">
      <c r="A98" s="602">
        <v>46114</v>
      </c>
      <c r="B98" s="600">
        <v>226.36</v>
      </c>
      <c r="C98" s="138" t="s">
        <v>889</v>
      </c>
    </row>
    <row r="99" spans="1:3" x14ac:dyDescent="0.25">
      <c r="A99" s="602">
        <v>46114</v>
      </c>
      <c r="B99" s="600">
        <v>0</v>
      </c>
      <c r="C99" s="138" t="s">
        <v>863</v>
      </c>
    </row>
    <row r="100" spans="1:3" x14ac:dyDescent="0.25">
      <c r="A100" s="602">
        <v>46146</v>
      </c>
      <c r="B100" s="600">
        <v>8431.86</v>
      </c>
      <c r="C100" s="138" t="s">
        <v>11</v>
      </c>
    </row>
    <row r="101" spans="1:3" x14ac:dyDescent="0.25">
      <c r="A101" s="602">
        <v>46146</v>
      </c>
      <c r="B101" s="600">
        <v>-123348.25000000001</v>
      </c>
      <c r="C101" s="138" t="s">
        <v>7</v>
      </c>
    </row>
    <row r="102" spans="1:3" x14ac:dyDescent="0.25">
      <c r="A102" s="602">
        <v>46146</v>
      </c>
      <c r="B102" s="600">
        <v>-130216.46</v>
      </c>
      <c r="C102" s="138" t="s">
        <v>479</v>
      </c>
    </row>
    <row r="103" spans="1:3" x14ac:dyDescent="0.25">
      <c r="A103" s="602">
        <v>46146</v>
      </c>
      <c r="B103" s="600">
        <v>-342.34</v>
      </c>
      <c r="C103" s="138" t="s">
        <v>10</v>
      </c>
    </row>
    <row r="104" spans="1:3" x14ac:dyDescent="0.25">
      <c r="A104" s="602">
        <v>46146</v>
      </c>
      <c r="B104" s="600">
        <v>948.89</v>
      </c>
      <c r="C104" s="138" t="s">
        <v>909</v>
      </c>
    </row>
    <row r="105" spans="1:3" x14ac:dyDescent="0.25">
      <c r="A105" s="602">
        <v>46146</v>
      </c>
      <c r="B105" s="600">
        <v>637156.14</v>
      </c>
      <c r="C105" s="138" t="s">
        <v>9</v>
      </c>
    </row>
    <row r="106" spans="1:3" x14ac:dyDescent="0.25">
      <c r="A106" s="602">
        <v>46146</v>
      </c>
      <c r="B106" s="600">
        <v>-6447.83</v>
      </c>
      <c r="C106" s="138" t="s">
        <v>12</v>
      </c>
    </row>
    <row r="107" spans="1:3" x14ac:dyDescent="0.25">
      <c r="A107" s="602">
        <v>46146</v>
      </c>
      <c r="B107" s="600">
        <v>-62085.130000000005</v>
      </c>
      <c r="C107" s="138" t="s">
        <v>8</v>
      </c>
    </row>
    <row r="108" spans="1:3" x14ac:dyDescent="0.25">
      <c r="A108" s="602">
        <v>46146</v>
      </c>
      <c r="B108" s="600">
        <v>2751</v>
      </c>
      <c r="C108" s="138" t="s">
        <v>1261</v>
      </c>
    </row>
    <row r="109" spans="1:3" x14ac:dyDescent="0.25">
      <c r="A109" s="602">
        <v>46146</v>
      </c>
      <c r="B109" s="600">
        <v>0</v>
      </c>
      <c r="C109" s="138" t="s">
        <v>1271</v>
      </c>
    </row>
    <row r="110" spans="1:3" x14ac:dyDescent="0.25">
      <c r="A110" s="602">
        <v>46146</v>
      </c>
      <c r="B110" s="600">
        <v>-28570.46</v>
      </c>
      <c r="C110" s="138" t="s">
        <v>481</v>
      </c>
    </row>
    <row r="111" spans="1:3" x14ac:dyDescent="0.25">
      <c r="A111" s="602">
        <v>46146</v>
      </c>
      <c r="B111" s="600">
        <v>29353.53</v>
      </c>
      <c r="C111" s="138" t="s">
        <v>760</v>
      </c>
    </row>
    <row r="112" spans="1:3" x14ac:dyDescent="0.25">
      <c r="A112" s="602">
        <v>46146</v>
      </c>
      <c r="B112" s="600">
        <v>2050.96</v>
      </c>
      <c r="C112" s="138" t="s">
        <v>465</v>
      </c>
    </row>
    <row r="113" spans="1:3" x14ac:dyDescent="0.25">
      <c r="A113" s="602">
        <v>46146</v>
      </c>
      <c r="B113" s="600">
        <v>1745.97</v>
      </c>
      <c r="C113" s="138" t="s">
        <v>13</v>
      </c>
    </row>
    <row r="114" spans="1:3" x14ac:dyDescent="0.25">
      <c r="A114" s="602">
        <v>46146</v>
      </c>
      <c r="B114" s="600">
        <v>543.9</v>
      </c>
      <c r="C114" s="138" t="s">
        <v>670</v>
      </c>
    </row>
    <row r="115" spans="1:3" x14ac:dyDescent="0.25">
      <c r="A115" s="602">
        <v>46146</v>
      </c>
      <c r="B115" s="600">
        <v>-2905.16</v>
      </c>
      <c r="C115" s="138" t="s">
        <v>867</v>
      </c>
    </row>
    <row r="116" spans="1:3" x14ac:dyDescent="0.25">
      <c r="A116" s="602">
        <v>46146</v>
      </c>
      <c r="B116" s="600">
        <v>-4287.3500000000004</v>
      </c>
      <c r="C116" s="138" t="s">
        <v>482</v>
      </c>
    </row>
    <row r="117" spans="1:3" x14ac:dyDescent="0.25">
      <c r="A117" s="602">
        <v>46146</v>
      </c>
      <c r="B117" s="600">
        <v>106028.82</v>
      </c>
      <c r="C117" s="138" t="s">
        <v>673</v>
      </c>
    </row>
    <row r="118" spans="1:3" x14ac:dyDescent="0.25">
      <c r="A118" s="602">
        <v>46146</v>
      </c>
      <c r="B118" s="600">
        <v>729.01</v>
      </c>
      <c r="C118" s="138" t="s">
        <v>677</v>
      </c>
    </row>
    <row r="119" spans="1:3" x14ac:dyDescent="0.25">
      <c r="A119" s="602">
        <v>46146</v>
      </c>
      <c r="B119" s="600">
        <v>259.02999999999997</v>
      </c>
      <c r="C119" s="138" t="s">
        <v>678</v>
      </c>
    </row>
    <row r="120" spans="1:3" x14ac:dyDescent="0.25">
      <c r="A120" s="602">
        <v>46146</v>
      </c>
      <c r="B120" s="600">
        <v>0</v>
      </c>
      <c r="C120" s="138" t="s">
        <v>813</v>
      </c>
    </row>
    <row r="121" spans="1:3" x14ac:dyDescent="0.25">
      <c r="A121" s="602">
        <v>46146</v>
      </c>
      <c r="B121" s="600">
        <v>-114791.79</v>
      </c>
      <c r="C121" s="138" t="s">
        <v>671</v>
      </c>
    </row>
    <row r="122" spans="1:3" x14ac:dyDescent="0.25">
      <c r="A122" s="602">
        <v>46146</v>
      </c>
      <c r="B122" s="600">
        <v>-40683.660000000003</v>
      </c>
      <c r="C122" s="138" t="s">
        <v>1122</v>
      </c>
    </row>
    <row r="123" spans="1:3" x14ac:dyDescent="0.25">
      <c r="A123" s="602">
        <v>46146</v>
      </c>
      <c r="B123" s="600">
        <v>8025.8300000000008</v>
      </c>
      <c r="C123" s="138" t="s">
        <v>857</v>
      </c>
    </row>
    <row r="124" spans="1:3" x14ac:dyDescent="0.25">
      <c r="A124" s="602">
        <v>46146</v>
      </c>
      <c r="B124" s="600">
        <v>456.12</v>
      </c>
      <c r="C124" s="138" t="s">
        <v>889</v>
      </c>
    </row>
    <row r="125" spans="1:3" x14ac:dyDescent="0.25">
      <c r="A125" s="602">
        <v>46146</v>
      </c>
      <c r="B125" s="600">
        <v>0</v>
      </c>
      <c r="C125" s="138" t="s">
        <v>863</v>
      </c>
    </row>
    <row r="126" spans="1:3" x14ac:dyDescent="0.25">
      <c r="A126" s="602">
        <v>46174</v>
      </c>
      <c r="B126" s="600">
        <v>895857.05999999994</v>
      </c>
      <c r="C126" s="138" t="s">
        <v>11</v>
      </c>
    </row>
    <row r="127" spans="1:3" x14ac:dyDescent="0.25">
      <c r="A127" s="602">
        <v>46174</v>
      </c>
      <c r="B127" s="600">
        <v>199234.8</v>
      </c>
      <c r="C127" s="138" t="s">
        <v>7</v>
      </c>
    </row>
    <row r="128" spans="1:3" x14ac:dyDescent="0.25">
      <c r="A128" s="602">
        <v>46174</v>
      </c>
      <c r="B128" s="600">
        <v>4336.51</v>
      </c>
      <c r="C128" s="138" t="s">
        <v>479</v>
      </c>
    </row>
    <row r="129" spans="1:3" x14ac:dyDescent="0.25">
      <c r="A129" s="602">
        <v>46174</v>
      </c>
      <c r="B129" s="600">
        <v>29119.280000000002</v>
      </c>
      <c r="C129" s="138" t="s">
        <v>10</v>
      </c>
    </row>
    <row r="130" spans="1:3" x14ac:dyDescent="0.25">
      <c r="A130" s="602">
        <v>46174</v>
      </c>
      <c r="B130" s="600">
        <v>318.66000000000003</v>
      </c>
      <c r="C130" s="138" t="s">
        <v>909</v>
      </c>
    </row>
    <row r="131" spans="1:3" x14ac:dyDescent="0.25">
      <c r="A131" s="602">
        <v>46174</v>
      </c>
      <c r="B131" s="600">
        <v>2088667.99</v>
      </c>
      <c r="C131" s="138" t="s">
        <v>9</v>
      </c>
    </row>
    <row r="132" spans="1:3" x14ac:dyDescent="0.25">
      <c r="A132" s="602">
        <v>46174</v>
      </c>
      <c r="B132" s="600">
        <v>15808.68</v>
      </c>
      <c r="C132" s="138" t="s">
        <v>12</v>
      </c>
    </row>
    <row r="133" spans="1:3" x14ac:dyDescent="0.25">
      <c r="A133" s="602">
        <v>46174</v>
      </c>
      <c r="B133" s="600">
        <v>63206.74</v>
      </c>
      <c r="C133" s="138" t="s">
        <v>8</v>
      </c>
    </row>
    <row r="134" spans="1:3" x14ac:dyDescent="0.25">
      <c r="A134" s="602">
        <v>46174</v>
      </c>
      <c r="B134" s="600">
        <v>2264</v>
      </c>
      <c r="C134" s="138" t="s">
        <v>1261</v>
      </c>
    </row>
    <row r="135" spans="1:3" x14ac:dyDescent="0.25">
      <c r="A135" s="602">
        <v>46174</v>
      </c>
      <c r="B135" s="600">
        <v>0</v>
      </c>
      <c r="C135" s="138" t="s">
        <v>1271</v>
      </c>
    </row>
    <row r="136" spans="1:3" x14ac:dyDescent="0.25">
      <c r="A136" s="602">
        <v>46174</v>
      </c>
      <c r="B136" s="600">
        <v>-35687.120000000003</v>
      </c>
      <c r="C136" s="138" t="s">
        <v>481</v>
      </c>
    </row>
    <row r="137" spans="1:3" x14ac:dyDescent="0.25">
      <c r="A137" s="602">
        <v>46174</v>
      </c>
      <c r="B137" s="600">
        <v>51828.94</v>
      </c>
      <c r="C137" s="138" t="s">
        <v>760</v>
      </c>
    </row>
    <row r="138" spans="1:3" x14ac:dyDescent="0.25">
      <c r="A138" s="602">
        <v>46174</v>
      </c>
      <c r="B138" s="600">
        <v>210563.44</v>
      </c>
      <c r="C138" s="138" t="s">
        <v>465</v>
      </c>
    </row>
    <row r="139" spans="1:3" x14ac:dyDescent="0.25">
      <c r="A139" s="602">
        <v>46174</v>
      </c>
      <c r="B139" s="600">
        <v>440479</v>
      </c>
      <c r="C139" s="138" t="s">
        <v>13</v>
      </c>
    </row>
    <row r="140" spans="1:3" x14ac:dyDescent="0.25">
      <c r="A140" s="602">
        <v>46174</v>
      </c>
      <c r="B140" s="600">
        <v>442.16</v>
      </c>
      <c r="C140" s="138" t="s">
        <v>670</v>
      </c>
    </row>
    <row r="141" spans="1:3" x14ac:dyDescent="0.25">
      <c r="A141" s="602">
        <v>46174</v>
      </c>
      <c r="B141" s="600">
        <v>3746.08</v>
      </c>
      <c r="C141" s="138" t="s">
        <v>867</v>
      </c>
    </row>
    <row r="142" spans="1:3" x14ac:dyDescent="0.25">
      <c r="A142" s="602">
        <v>46174</v>
      </c>
      <c r="B142" s="600">
        <v>-12521.119999999999</v>
      </c>
      <c r="C142" s="138" t="s">
        <v>482</v>
      </c>
    </row>
    <row r="143" spans="1:3" x14ac:dyDescent="0.25">
      <c r="A143" s="602">
        <v>46174</v>
      </c>
      <c r="B143" s="600">
        <v>2032960.69</v>
      </c>
      <c r="C143" s="138" t="s">
        <v>673</v>
      </c>
    </row>
    <row r="144" spans="1:3" x14ac:dyDescent="0.25">
      <c r="A144" s="602">
        <v>46174</v>
      </c>
      <c r="B144" s="600">
        <v>3615.89</v>
      </c>
      <c r="C144" s="138" t="s">
        <v>677</v>
      </c>
    </row>
    <row r="145" spans="1:3" x14ac:dyDescent="0.25">
      <c r="A145" s="602">
        <v>46174</v>
      </c>
      <c r="B145" s="600">
        <v>1446.94</v>
      </c>
      <c r="C145" s="138" t="s">
        <v>678</v>
      </c>
    </row>
    <row r="146" spans="1:3" x14ac:dyDescent="0.25">
      <c r="A146" s="602">
        <v>46174</v>
      </c>
      <c r="B146" s="600">
        <v>0</v>
      </c>
      <c r="C146" s="138" t="s">
        <v>813</v>
      </c>
    </row>
    <row r="147" spans="1:3" x14ac:dyDescent="0.25">
      <c r="A147" s="602">
        <v>46174</v>
      </c>
      <c r="B147" s="600">
        <v>6104.32</v>
      </c>
      <c r="C147" s="138" t="s">
        <v>671</v>
      </c>
    </row>
    <row r="148" spans="1:3" x14ac:dyDescent="0.25">
      <c r="A148" s="602">
        <v>46174</v>
      </c>
      <c r="B148" s="600">
        <v>-39852.39</v>
      </c>
      <c r="C148" s="138" t="s">
        <v>1122</v>
      </c>
    </row>
    <row r="149" spans="1:3" x14ac:dyDescent="0.25">
      <c r="A149" s="602">
        <v>46174</v>
      </c>
      <c r="B149" s="600">
        <v>9268.59</v>
      </c>
      <c r="C149" s="138" t="s">
        <v>857</v>
      </c>
    </row>
    <row r="150" spans="1:3" x14ac:dyDescent="0.25">
      <c r="A150" s="602">
        <v>46174</v>
      </c>
      <c r="B150" s="600">
        <v>988.38</v>
      </c>
      <c r="C150" s="138" t="s">
        <v>889</v>
      </c>
    </row>
    <row r="151" spans="1:3" x14ac:dyDescent="0.25">
      <c r="A151" s="602">
        <v>46174</v>
      </c>
      <c r="B151" s="600">
        <v>0</v>
      </c>
      <c r="C151" s="138" t="s">
        <v>863</v>
      </c>
    </row>
    <row r="152" spans="1:3" x14ac:dyDescent="0.25">
      <c r="A152" s="602">
        <v>46204</v>
      </c>
      <c r="B152" s="600">
        <v>938198.67</v>
      </c>
      <c r="C152" s="138" t="s">
        <v>7</v>
      </c>
    </row>
    <row r="153" spans="1:3" x14ac:dyDescent="0.25">
      <c r="A153" s="602">
        <v>46204</v>
      </c>
      <c r="B153" s="600">
        <v>0</v>
      </c>
      <c r="C153" s="138" t="s">
        <v>670</v>
      </c>
    </row>
    <row r="154" spans="1:3" x14ac:dyDescent="0.25">
      <c r="A154" s="602">
        <v>46204</v>
      </c>
      <c r="B154" s="600">
        <v>58441.34</v>
      </c>
      <c r="C154" s="138" t="s">
        <v>8</v>
      </c>
    </row>
    <row r="155" spans="1:3" x14ac:dyDescent="0.25">
      <c r="A155" s="602">
        <v>46204</v>
      </c>
      <c r="B155" s="600">
        <v>-587.80999999999995</v>
      </c>
      <c r="C155" s="138" t="s">
        <v>671</v>
      </c>
    </row>
    <row r="156" spans="1:3" x14ac:dyDescent="0.25">
      <c r="A156" s="602">
        <v>46204</v>
      </c>
      <c r="B156" s="600">
        <v>88224.82</v>
      </c>
      <c r="C156" s="138" t="s">
        <v>673</v>
      </c>
    </row>
    <row r="157" spans="1:3" x14ac:dyDescent="0.25">
      <c r="A157" s="602">
        <v>46204</v>
      </c>
      <c r="B157" s="600">
        <v>0</v>
      </c>
      <c r="C157" s="138" t="s">
        <v>863</v>
      </c>
    </row>
    <row r="158" spans="1:3" x14ac:dyDescent="0.25">
      <c r="A158" s="602">
        <v>46204</v>
      </c>
      <c r="B158" s="600">
        <v>1445.04</v>
      </c>
      <c r="C158" s="138" t="s">
        <v>857</v>
      </c>
    </row>
    <row r="159" spans="1:3" x14ac:dyDescent="0.25">
      <c r="A159" s="602">
        <v>46204</v>
      </c>
      <c r="B159" s="600">
        <v>2090</v>
      </c>
      <c r="C159" s="138" t="s">
        <v>1261</v>
      </c>
    </row>
    <row r="160" spans="1:3" x14ac:dyDescent="0.25">
      <c r="A160" s="602">
        <v>46204</v>
      </c>
      <c r="B160" s="600">
        <v>17355.18</v>
      </c>
      <c r="C160" s="138" t="s">
        <v>867</v>
      </c>
    </row>
    <row r="161" spans="1:3" x14ac:dyDescent="0.25">
      <c r="A161" s="602">
        <v>46204</v>
      </c>
      <c r="B161" s="600">
        <v>4790.51</v>
      </c>
      <c r="C161" s="138" t="s">
        <v>479</v>
      </c>
    </row>
    <row r="162" spans="1:3" x14ac:dyDescent="0.25">
      <c r="A162" s="602">
        <v>46204</v>
      </c>
      <c r="B162" s="600">
        <v>30953.41</v>
      </c>
      <c r="C162" s="138" t="s">
        <v>9</v>
      </c>
    </row>
    <row r="163" spans="1:3" x14ac:dyDescent="0.25">
      <c r="A163" s="602">
        <v>46204</v>
      </c>
      <c r="B163" s="600">
        <v>-16578.120000000003</v>
      </c>
      <c r="C163" s="138" t="s">
        <v>481</v>
      </c>
    </row>
    <row r="164" spans="1:3" x14ac:dyDescent="0.25">
      <c r="A164" s="602">
        <v>46204</v>
      </c>
      <c r="B164" s="600">
        <v>69713.08</v>
      </c>
      <c r="C164" s="138" t="s">
        <v>677</v>
      </c>
    </row>
    <row r="165" spans="1:3" x14ac:dyDescent="0.25">
      <c r="A165" s="602">
        <v>46204</v>
      </c>
      <c r="B165" s="600">
        <v>19496.11</v>
      </c>
      <c r="C165" s="138" t="s">
        <v>813</v>
      </c>
    </row>
    <row r="166" spans="1:3" x14ac:dyDescent="0.25">
      <c r="A166" s="602">
        <v>46204</v>
      </c>
      <c r="B166" s="600">
        <v>3036.6000000000004</v>
      </c>
      <c r="C166" s="138" t="s">
        <v>482</v>
      </c>
    </row>
    <row r="167" spans="1:3" x14ac:dyDescent="0.25">
      <c r="A167" s="602">
        <v>46204</v>
      </c>
      <c r="B167" s="600">
        <v>215714.90999999997</v>
      </c>
      <c r="C167" s="138" t="s">
        <v>10</v>
      </c>
    </row>
    <row r="168" spans="1:3" x14ac:dyDescent="0.25">
      <c r="A168" s="602">
        <v>46204</v>
      </c>
      <c r="B168" s="600">
        <v>3219.67</v>
      </c>
      <c r="C168" s="138" t="s">
        <v>889</v>
      </c>
    </row>
    <row r="169" spans="1:3" x14ac:dyDescent="0.25">
      <c r="A169" s="602">
        <v>46204</v>
      </c>
      <c r="B169" s="600">
        <v>298411.48</v>
      </c>
      <c r="C169" s="138" t="s">
        <v>11</v>
      </c>
    </row>
    <row r="170" spans="1:3" x14ac:dyDescent="0.25">
      <c r="A170" s="602">
        <v>46204</v>
      </c>
      <c r="B170" s="600">
        <v>386432.78</v>
      </c>
      <c r="C170" s="138" t="s">
        <v>465</v>
      </c>
    </row>
    <row r="171" spans="1:3" x14ac:dyDescent="0.25">
      <c r="A171" s="602">
        <v>46204</v>
      </c>
      <c r="B171" s="600">
        <v>8510</v>
      </c>
      <c r="C171" s="138" t="s">
        <v>678</v>
      </c>
    </row>
    <row r="172" spans="1:3" x14ac:dyDescent="0.25">
      <c r="A172" s="602">
        <v>46204</v>
      </c>
      <c r="B172" s="600">
        <v>70542.19</v>
      </c>
      <c r="C172" s="138" t="s">
        <v>12</v>
      </c>
    </row>
    <row r="173" spans="1:3" x14ac:dyDescent="0.25">
      <c r="A173" s="602">
        <v>46204</v>
      </c>
      <c r="B173" s="600">
        <v>190249.72</v>
      </c>
      <c r="C173" s="138" t="s">
        <v>13</v>
      </c>
    </row>
    <row r="174" spans="1:3" x14ac:dyDescent="0.25">
      <c r="A174" s="602">
        <v>46204</v>
      </c>
      <c r="B174" s="600">
        <v>18691.509999999998</v>
      </c>
      <c r="C174" s="138" t="s">
        <v>909</v>
      </c>
    </row>
    <row r="175" spans="1:3" x14ac:dyDescent="0.25">
      <c r="A175" s="602">
        <v>46204</v>
      </c>
      <c r="B175" s="600">
        <v>75616.160000000003</v>
      </c>
      <c r="C175" s="138" t="s">
        <v>760</v>
      </c>
    </row>
    <row r="176" spans="1:3" x14ac:dyDescent="0.25">
      <c r="A176" s="602">
        <v>46204</v>
      </c>
      <c r="B176" s="600">
        <v>0</v>
      </c>
      <c r="C176" s="138" t="s">
        <v>1271</v>
      </c>
    </row>
    <row r="177" spans="1:3" x14ac:dyDescent="0.25">
      <c r="A177" s="602">
        <v>46204</v>
      </c>
      <c r="B177" s="600">
        <v>785.2</v>
      </c>
      <c r="C177" s="138" t="s">
        <v>1122</v>
      </c>
    </row>
  </sheetData>
  <conditionalFormatting sqref="F9:K9">
    <cfRule type="cellIs" dxfId="3" priority="1" operator="lessThan">
      <formula>0</formula>
    </cfRule>
  </conditionalFormatting>
  <conditionalFormatting sqref="F3:L4">
    <cfRule type="cellIs" dxfId="2" priority="2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0610-B2FD-4C72-AC36-1F3A5F1DADB9}">
  <sheetPr>
    <tabColor theme="9" tint="0.39997558519241921"/>
  </sheetPr>
  <dimension ref="A1:W48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23" width="15.7109375" customWidth="1"/>
  </cols>
  <sheetData>
    <row r="1" spans="1:23" x14ac:dyDescent="0.25">
      <c r="E1" s="466" t="s">
        <v>1086</v>
      </c>
      <c r="F1" s="468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46024</v>
      </c>
      <c r="F2" s="471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1" t="s">
        <v>1093</v>
      </c>
      <c r="M2" s="567" t="s">
        <v>1094</v>
      </c>
      <c r="N2" s="567" t="s">
        <v>1095</v>
      </c>
      <c r="O2" s="568" t="s">
        <v>835</v>
      </c>
      <c r="P2" s="568" t="s">
        <v>483</v>
      </c>
      <c r="Q2" s="569" t="s">
        <v>1096</v>
      </c>
      <c r="R2" s="569" t="s">
        <v>1097</v>
      </c>
      <c r="S2" s="569" t="s">
        <v>1098</v>
      </c>
      <c r="T2" s="570" t="s">
        <v>1099</v>
      </c>
      <c r="U2" s="570" t="s">
        <v>1100</v>
      </c>
      <c r="V2" s="570" t="s">
        <v>1101</v>
      </c>
      <c r="W2" s="570" t="s">
        <v>1102</v>
      </c>
    </row>
    <row r="3" spans="1:23" x14ac:dyDescent="0.25">
      <c r="A3" s="138">
        <v>1</v>
      </c>
      <c r="B3" s="602">
        <f>$E$2</f>
        <v>46024</v>
      </c>
      <c r="C3" s="600">
        <f>SUM(F3:N3)</f>
        <v>816.45</v>
      </c>
      <c r="D3" s="138" t="s">
        <v>11</v>
      </c>
      <c r="E3" s="477" t="s">
        <v>1103</v>
      </c>
      <c r="F3" s="503">
        <v>165.33</v>
      </c>
      <c r="G3" s="503">
        <v>314.55</v>
      </c>
      <c r="H3" s="503">
        <v>336.57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6" si="0">$E$2</f>
        <v>46024</v>
      </c>
      <c r="C4" s="600">
        <f t="shared" ref="C4:C26" si="1">SUM(F4:N4)</f>
        <v>1016141.64</v>
      </c>
      <c r="D4" s="138" t="s">
        <v>7</v>
      </c>
      <c r="E4" s="477" t="s">
        <v>1104</v>
      </c>
      <c r="F4" s="503">
        <v>568228.04</v>
      </c>
      <c r="G4" s="508"/>
      <c r="H4" s="503">
        <v>62448.08</v>
      </c>
      <c r="I4" s="503">
        <v>340005.53</v>
      </c>
      <c r="J4" s="509">
        <v>-3081.1</v>
      </c>
      <c r="K4" s="503">
        <v>0</v>
      </c>
      <c r="L4" s="503">
        <v>48541.09</v>
      </c>
      <c r="M4" s="505"/>
      <c r="N4" s="505"/>
      <c r="O4" s="509"/>
      <c r="P4" s="509"/>
      <c r="Q4" s="504"/>
      <c r="R4" s="511">
        <v>33.520000000000003</v>
      </c>
      <c r="S4" s="514">
        <v>180844.82</v>
      </c>
      <c r="T4" s="584">
        <f>50000</f>
        <v>50000</v>
      </c>
      <c r="U4" s="512">
        <f>10000+J4</f>
        <v>6918.9</v>
      </c>
      <c r="V4" s="513"/>
      <c r="W4" s="517">
        <v>100000</v>
      </c>
    </row>
    <row r="5" spans="1:23" x14ac:dyDescent="0.25">
      <c r="A5" s="138">
        <f t="shared" ref="A5:A26" si="2">A4+1</f>
        <v>3</v>
      </c>
      <c r="B5" s="602">
        <f t="shared" si="0"/>
        <v>46024</v>
      </c>
      <c r="C5" s="600">
        <f t="shared" si="1"/>
        <v>49396.880000000005</v>
      </c>
      <c r="D5" s="138" t="s">
        <v>479</v>
      </c>
      <c r="E5" s="478" t="s">
        <v>1105</v>
      </c>
      <c r="F5" s="509">
        <v>-70875.89</v>
      </c>
      <c r="G5" s="508"/>
      <c r="H5" s="503">
        <v>171802.13</v>
      </c>
      <c r="I5" s="509">
        <v>-51529.36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12">
        <f>88000+F5</f>
        <v>17124.11</v>
      </c>
      <c r="U5" s="507"/>
      <c r="V5" s="512">
        <f>50000+I5</f>
        <v>-1529.3600000000006</v>
      </c>
      <c r="W5" s="513"/>
    </row>
    <row r="6" spans="1:23" x14ac:dyDescent="0.25">
      <c r="A6" s="138">
        <f t="shared" si="2"/>
        <v>4</v>
      </c>
      <c r="B6" s="602">
        <f t="shared" si="0"/>
        <v>46024</v>
      </c>
      <c r="C6" s="600">
        <f t="shared" si="1"/>
        <v>68895.739999999991</v>
      </c>
      <c r="D6" s="138" t="s">
        <v>10</v>
      </c>
      <c r="E6" s="478" t="s">
        <v>1106</v>
      </c>
      <c r="F6" s="503">
        <v>39137.14</v>
      </c>
      <c r="G6" s="508"/>
      <c r="H6" s="503">
        <v>29758.6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84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46024</v>
      </c>
      <c r="C7" s="600">
        <f t="shared" si="1"/>
        <v>218.48</v>
      </c>
      <c r="D7" s="138" t="s">
        <v>909</v>
      </c>
      <c r="E7" s="478" t="s">
        <v>1107</v>
      </c>
      <c r="F7" s="503">
        <v>218.48</v>
      </c>
      <c r="G7" s="508"/>
      <c r="H7" s="508"/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46024</v>
      </c>
      <c r="C8" s="600">
        <f t="shared" si="1"/>
        <v>271436.51</v>
      </c>
      <c r="D8" s="138" t="s">
        <v>9</v>
      </c>
      <c r="E8" s="477" t="s">
        <v>1108</v>
      </c>
      <c r="F8" s="503">
        <v>21954.880000000001</v>
      </c>
      <c r="G8" s="508"/>
      <c r="H8" s="503">
        <v>36794.65</v>
      </c>
      <c r="I8" s="503">
        <v>212686.98</v>
      </c>
      <c r="J8" s="504"/>
      <c r="K8" s="504"/>
      <c r="L8" s="504"/>
      <c r="M8" s="505"/>
      <c r="N8" s="505"/>
      <c r="O8" s="511">
        <v>341505.68</v>
      </c>
      <c r="P8" s="509"/>
      <c r="Q8" s="504"/>
      <c r="R8" s="504"/>
      <c r="S8" s="514">
        <v>12000</v>
      </c>
      <c r="T8" s="584">
        <f>31700</f>
        <v>31700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46024</v>
      </c>
      <c r="C9" s="600">
        <f t="shared" si="1"/>
        <v>1455044.0899999999</v>
      </c>
      <c r="D9" s="138" t="s">
        <v>12</v>
      </c>
      <c r="E9" s="477" t="s">
        <v>1109</v>
      </c>
      <c r="F9" s="503">
        <v>395538.86</v>
      </c>
      <c r="G9" s="508"/>
      <c r="H9" s="503">
        <v>1059505.23</v>
      </c>
      <c r="I9" s="504"/>
      <c r="J9" s="504"/>
      <c r="K9" s="504"/>
      <c r="L9" s="504"/>
      <c r="M9" s="505"/>
      <c r="N9" s="505"/>
      <c r="O9" s="503"/>
      <c r="P9" s="503"/>
      <c r="Q9" s="511">
        <v>1790349.03</v>
      </c>
      <c r="R9" s="504"/>
      <c r="S9" s="505"/>
      <c r="T9" s="512">
        <f>17600+F9</f>
        <v>413138.86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46024</v>
      </c>
      <c r="C10" s="600">
        <f t="shared" si="1"/>
        <v>-32988.449999999997</v>
      </c>
      <c r="D10" s="138" t="s">
        <v>8</v>
      </c>
      <c r="E10" s="477" t="s">
        <v>1110</v>
      </c>
      <c r="F10" s="509">
        <v>-65389.22</v>
      </c>
      <c r="G10" s="508"/>
      <c r="H10" s="503">
        <v>76.12</v>
      </c>
      <c r="I10" s="503">
        <v>32324.65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14">
        <v>368573.13</v>
      </c>
      <c r="T10" s="512">
        <f>78700+F10</f>
        <v>13310.779999999999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46024</v>
      </c>
      <c r="C11" s="600">
        <f t="shared" si="1"/>
        <v>-38778.5</v>
      </c>
      <c r="D11" s="138" t="s">
        <v>481</v>
      </c>
      <c r="E11" s="478" t="s">
        <v>1112</v>
      </c>
      <c r="F11" s="515">
        <v>-4777</v>
      </c>
      <c r="G11" s="508"/>
      <c r="H11" s="503">
        <v>0</v>
      </c>
      <c r="I11" s="509">
        <v>-34001.5</v>
      </c>
      <c r="J11" s="504"/>
      <c r="K11" s="504"/>
      <c r="L11" s="504"/>
      <c r="M11" s="505"/>
      <c r="N11" s="505"/>
      <c r="O11" s="515"/>
      <c r="P11" s="515"/>
      <c r="Q11" s="504"/>
      <c r="R11" s="504"/>
      <c r="S11" s="505"/>
      <c r="T11" s="512">
        <f>5000+F11</f>
        <v>223</v>
      </c>
      <c r="U11" s="507"/>
      <c r="V11" s="512">
        <f>30000+I11</f>
        <v>-4001.5</v>
      </c>
      <c r="W11" s="513"/>
    </row>
    <row r="12" spans="1:23" x14ac:dyDescent="0.25">
      <c r="A12" s="138">
        <f t="shared" si="2"/>
        <v>10</v>
      </c>
      <c r="B12" s="602">
        <f t="shared" si="0"/>
        <v>46024</v>
      </c>
      <c r="C12" s="600">
        <f t="shared" si="1"/>
        <v>43656.59</v>
      </c>
      <c r="D12" s="138" t="s">
        <v>760</v>
      </c>
      <c r="E12" s="478" t="s">
        <v>1113</v>
      </c>
      <c r="F12" s="504">
        <v>2758.06</v>
      </c>
      <c r="G12" s="508"/>
      <c r="H12" s="508"/>
      <c r="I12" s="504"/>
      <c r="J12" s="504"/>
      <c r="K12" s="504"/>
      <c r="L12" s="504"/>
      <c r="M12" s="514">
        <v>40898.53</v>
      </c>
      <c r="N12" s="505"/>
      <c r="O12" s="504"/>
      <c r="P12" s="504"/>
      <c r="Q12" s="504"/>
      <c r="R12" s="504"/>
      <c r="S12" s="505"/>
      <c r="T12" s="584">
        <v>1600</v>
      </c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46024</v>
      </c>
      <c r="C13" s="600">
        <f t="shared" si="1"/>
        <v>193821.37</v>
      </c>
      <c r="D13" s="138" t="s">
        <v>465</v>
      </c>
      <c r="E13" s="478" t="s">
        <v>1114</v>
      </c>
      <c r="F13" s="503">
        <v>181935.78</v>
      </c>
      <c r="G13" s="508"/>
      <c r="H13" s="503">
        <v>11885.59</v>
      </c>
      <c r="I13" s="503"/>
      <c r="J13" s="504"/>
      <c r="K13" s="504"/>
      <c r="L13" s="504"/>
      <c r="M13" s="505"/>
      <c r="N13" s="505"/>
      <c r="O13" s="504"/>
      <c r="P13" s="504"/>
      <c r="Q13" s="504"/>
      <c r="R13" s="504"/>
      <c r="S13" s="505"/>
      <c r="T13" s="507"/>
      <c r="U13" s="507"/>
      <c r="V13" s="507"/>
      <c r="W13" s="507"/>
    </row>
    <row r="14" spans="1:23" x14ac:dyDescent="0.25">
      <c r="A14" s="138">
        <f t="shared" si="2"/>
        <v>12</v>
      </c>
      <c r="B14" s="602">
        <f t="shared" si="0"/>
        <v>46024</v>
      </c>
      <c r="C14" s="600">
        <f t="shared" si="1"/>
        <v>6695.85</v>
      </c>
      <c r="D14" s="138" t="s">
        <v>13</v>
      </c>
      <c r="E14" s="478" t="s">
        <v>1115</v>
      </c>
      <c r="F14" s="503">
        <v>5357.84</v>
      </c>
      <c r="G14" s="508"/>
      <c r="H14" s="503">
        <v>1338.01</v>
      </c>
      <c r="I14" s="503"/>
      <c r="J14" s="504"/>
      <c r="K14" s="504"/>
      <c r="L14" s="504"/>
      <c r="M14" s="505"/>
      <c r="N14" s="505"/>
      <c r="O14" s="504"/>
      <c r="P14" s="504"/>
      <c r="Q14" s="504"/>
      <c r="R14" s="504"/>
      <c r="S14" s="505"/>
      <c r="T14" s="507"/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46024</v>
      </c>
      <c r="C15" s="600">
        <f t="shared" si="1"/>
        <v>6129.52</v>
      </c>
      <c r="D15" s="138" t="s">
        <v>670</v>
      </c>
      <c r="E15" s="478" t="s">
        <v>380</v>
      </c>
      <c r="F15" s="508"/>
      <c r="G15" s="508"/>
      <c r="H15" s="519">
        <v>6129.52</v>
      </c>
      <c r="I15" s="504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46024</v>
      </c>
      <c r="C16" s="600">
        <f t="shared" si="1"/>
        <v>19092.46</v>
      </c>
      <c r="D16" s="138" t="s">
        <v>867</v>
      </c>
      <c r="E16" s="478" t="s">
        <v>1116</v>
      </c>
      <c r="F16" s="518"/>
      <c r="G16" s="508"/>
      <c r="H16" s="519">
        <v>19092.46</v>
      </c>
      <c r="I16" s="504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84">
        <f>10000</f>
        <v>10000</v>
      </c>
      <c r="V16" s="507"/>
      <c r="W16" s="507"/>
    </row>
    <row r="17" spans="1:23" x14ac:dyDescent="0.25">
      <c r="A17" s="138">
        <f t="shared" si="2"/>
        <v>15</v>
      </c>
      <c r="B17" s="602">
        <f t="shared" si="0"/>
        <v>46024</v>
      </c>
      <c r="C17" s="600">
        <f t="shared" si="1"/>
        <v>25903.600000000002</v>
      </c>
      <c r="D17" s="138" t="s">
        <v>482</v>
      </c>
      <c r="E17" s="478" t="s">
        <v>1117</v>
      </c>
      <c r="F17" s="508"/>
      <c r="G17" s="508"/>
      <c r="H17" s="519">
        <v>2299.15</v>
      </c>
      <c r="I17" s="504"/>
      <c r="J17" s="504"/>
      <c r="K17" s="504"/>
      <c r="L17" s="504"/>
      <c r="M17" s="505"/>
      <c r="N17" s="514">
        <v>23604.45</v>
      </c>
      <c r="O17" s="504"/>
      <c r="P17" s="504"/>
      <c r="Q17" s="504"/>
      <c r="R17" s="504"/>
      <c r="S17" s="505"/>
      <c r="T17" s="507"/>
      <c r="U17" s="584">
        <v>20000</v>
      </c>
      <c r="V17" s="507"/>
      <c r="W17" s="507"/>
    </row>
    <row r="18" spans="1:23" x14ac:dyDescent="0.25">
      <c r="A18" s="138">
        <f t="shared" si="2"/>
        <v>16</v>
      </c>
      <c r="B18" s="602">
        <f t="shared" si="0"/>
        <v>46024</v>
      </c>
      <c r="C18" s="600">
        <f t="shared" si="1"/>
        <v>89227.86</v>
      </c>
      <c r="D18" s="138" t="s">
        <v>673</v>
      </c>
      <c r="E18" s="478" t="s">
        <v>1118</v>
      </c>
      <c r="F18" s="504">
        <v>89227.86</v>
      </c>
      <c r="G18" s="508"/>
      <c r="H18" s="503">
        <v>0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07"/>
      <c r="V18" s="507"/>
      <c r="W18" s="507"/>
    </row>
    <row r="19" spans="1:23" x14ac:dyDescent="0.25">
      <c r="A19" s="138">
        <f t="shared" si="2"/>
        <v>17</v>
      </c>
      <c r="B19" s="602">
        <f t="shared" si="0"/>
        <v>46024</v>
      </c>
      <c r="C19" s="600">
        <f t="shared" si="1"/>
        <v>342.22</v>
      </c>
      <c r="D19" s="138" t="s">
        <v>677</v>
      </c>
      <c r="E19" s="478" t="s">
        <v>381</v>
      </c>
      <c r="F19" s="504">
        <v>313.68</v>
      </c>
      <c r="G19" s="508"/>
      <c r="H19" s="134">
        <v>28.54</v>
      </c>
      <c r="I19" s="504"/>
      <c r="J19" s="504"/>
      <c r="K19" s="504"/>
      <c r="L19" s="504"/>
      <c r="M19" s="505"/>
      <c r="N19" s="505"/>
      <c r="O19" s="504"/>
      <c r="P19" s="504"/>
      <c r="Q19" s="504"/>
      <c r="R19" s="504"/>
      <c r="S19" s="505"/>
      <c r="T19" s="507"/>
      <c r="U19" s="507"/>
      <c r="V19" s="507"/>
      <c r="W19" s="507"/>
    </row>
    <row r="20" spans="1:23" x14ac:dyDescent="0.25">
      <c r="A20" s="138">
        <f t="shared" si="2"/>
        <v>18</v>
      </c>
      <c r="B20" s="602">
        <f t="shared" si="0"/>
        <v>46024</v>
      </c>
      <c r="C20" s="600">
        <f t="shared" si="1"/>
        <v>5353.75</v>
      </c>
      <c r="D20" s="138" t="s">
        <v>678</v>
      </c>
      <c r="E20" s="478" t="s">
        <v>1119</v>
      </c>
      <c r="F20" s="504">
        <v>36.619999999999997</v>
      </c>
      <c r="G20" s="508"/>
      <c r="H20" s="503">
        <v>5317.13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46024</v>
      </c>
      <c r="C21" s="600">
        <f t="shared" si="1"/>
        <v>185.16</v>
      </c>
      <c r="D21" s="138" t="s">
        <v>813</v>
      </c>
      <c r="E21" s="478" t="s">
        <v>1120</v>
      </c>
      <c r="F21" s="504">
        <v>185.16</v>
      </c>
      <c r="G21" s="508"/>
      <c r="H21" s="503">
        <v>0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46024</v>
      </c>
      <c r="C22" s="600">
        <f t="shared" si="1"/>
        <v>-112827.28</v>
      </c>
      <c r="D22" s="138" t="s">
        <v>671</v>
      </c>
      <c r="E22" s="478" t="s">
        <v>1121</v>
      </c>
      <c r="F22" s="504">
        <v>66.11</v>
      </c>
      <c r="G22" s="508"/>
      <c r="H22" s="515">
        <v>-112893.39</v>
      </c>
      <c r="I22" s="503"/>
      <c r="J22" s="503"/>
      <c r="K22" s="504"/>
      <c r="L22" s="503"/>
      <c r="M22" s="505"/>
      <c r="N22" s="505"/>
      <c r="O22" s="504"/>
      <c r="P22" s="504"/>
      <c r="Q22" s="504"/>
      <c r="R22" s="504"/>
      <c r="S22" s="505"/>
      <c r="T22" s="507"/>
      <c r="U22" s="512">
        <f>100000+H22</f>
        <v>-12893.39</v>
      </c>
      <c r="V22" s="513"/>
      <c r="W22" s="513"/>
    </row>
    <row r="23" spans="1:23" x14ac:dyDescent="0.25">
      <c r="A23" s="138">
        <f t="shared" si="2"/>
        <v>21</v>
      </c>
      <c r="B23" s="602">
        <f t="shared" si="0"/>
        <v>46024</v>
      </c>
      <c r="C23" s="600">
        <f t="shared" si="1"/>
        <v>-13906.53</v>
      </c>
      <c r="D23" s="138" t="s">
        <v>1122</v>
      </c>
      <c r="E23" s="479" t="s">
        <v>1122</v>
      </c>
      <c r="F23" s="508"/>
      <c r="G23" s="508"/>
      <c r="H23" s="521">
        <v>-13906.53</v>
      </c>
      <c r="I23" s="522"/>
      <c r="J23" s="522"/>
      <c r="K23" s="522"/>
      <c r="L23" s="522"/>
      <c r="M23" s="522"/>
      <c r="N23" s="522"/>
      <c r="O23" s="522"/>
      <c r="P23" s="522"/>
      <c r="Q23" s="504"/>
      <c r="R23" s="504"/>
      <c r="S23" s="505"/>
      <c r="T23" s="507"/>
      <c r="U23" s="512">
        <f>40000+H23</f>
        <v>26093.47</v>
      </c>
      <c r="V23" s="513"/>
      <c r="W23" s="513"/>
    </row>
    <row r="24" spans="1:23" x14ac:dyDescent="0.25">
      <c r="A24" s="138">
        <f t="shared" si="2"/>
        <v>22</v>
      </c>
      <c r="B24" s="602">
        <f t="shared" si="0"/>
        <v>46024</v>
      </c>
      <c r="C24" s="600">
        <f t="shared" si="1"/>
        <v>1352.9399999999998</v>
      </c>
      <c r="D24" s="138" t="s">
        <v>857</v>
      </c>
      <c r="E24" s="478" t="s">
        <v>1123</v>
      </c>
      <c r="F24" s="504">
        <v>1299.1099999999999</v>
      </c>
      <c r="G24" s="508"/>
      <c r="H24" s="503">
        <v>53.83</v>
      </c>
      <c r="I24" s="503"/>
      <c r="J24" s="503"/>
      <c r="K24" s="503"/>
      <c r="L24" s="503"/>
      <c r="M24" s="505"/>
      <c r="N24" s="505"/>
      <c r="O24" s="504"/>
      <c r="P24" s="504"/>
      <c r="Q24" s="504"/>
      <c r="R24" s="504"/>
      <c r="S24" s="505"/>
      <c r="T24" s="507"/>
      <c r="U24" s="507"/>
      <c r="V24" s="507"/>
      <c r="W24" s="507"/>
    </row>
    <row r="25" spans="1:23" x14ac:dyDescent="0.25">
      <c r="A25" s="138">
        <f t="shared" si="2"/>
        <v>23</v>
      </c>
      <c r="B25" s="602">
        <f t="shared" si="0"/>
        <v>46024</v>
      </c>
      <c r="C25" s="600">
        <f t="shared" si="1"/>
        <v>767.3</v>
      </c>
      <c r="D25" s="138" t="s">
        <v>889</v>
      </c>
      <c r="E25" s="478" t="s">
        <v>1124</v>
      </c>
      <c r="F25" s="508"/>
      <c r="G25" s="508"/>
      <c r="H25" s="503">
        <v>767.3</v>
      </c>
      <c r="I25" s="503"/>
      <c r="J25" s="503"/>
      <c r="K25" s="503"/>
      <c r="L25" s="503"/>
      <c r="M25" s="505"/>
      <c r="N25" s="505"/>
      <c r="O25" s="504"/>
      <c r="P25" s="504"/>
      <c r="Q25" s="504"/>
      <c r="R25" s="504"/>
      <c r="S25" s="505"/>
      <c r="T25" s="507"/>
      <c r="U25" s="507"/>
      <c r="V25" s="507"/>
      <c r="W25" s="507"/>
    </row>
    <row r="26" spans="1:23" x14ac:dyDescent="0.25">
      <c r="A26" s="138">
        <f t="shared" si="2"/>
        <v>24</v>
      </c>
      <c r="B26" s="602">
        <f t="shared" si="0"/>
        <v>46024</v>
      </c>
      <c r="C26" s="600">
        <f t="shared" si="1"/>
        <v>0</v>
      </c>
      <c r="D26" s="138" t="s">
        <v>863</v>
      </c>
      <c r="E26" s="478" t="s">
        <v>1125</v>
      </c>
      <c r="F26" s="508"/>
      <c r="G26" s="508"/>
      <c r="H26" s="504"/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hidden="1" x14ac:dyDescent="0.25">
      <c r="E27" s="571" t="s">
        <v>1236</v>
      </c>
      <c r="F27" s="509"/>
      <c r="G27" s="515"/>
      <c r="H27" s="509"/>
      <c r="I27" s="509"/>
      <c r="J27" s="509"/>
      <c r="K27" s="503"/>
      <c r="L27" s="509"/>
      <c r="M27" s="585"/>
      <c r="N27" s="585"/>
      <c r="O27" s="515"/>
      <c r="P27" s="515"/>
      <c r="Q27" s="515"/>
      <c r="R27" s="515"/>
      <c r="S27" s="585"/>
      <c r="T27" s="513"/>
      <c r="U27" s="513"/>
      <c r="V27" s="513"/>
      <c r="W27" s="513"/>
    </row>
    <row r="28" spans="1:23" x14ac:dyDescent="0.25">
      <c r="E28" s="480"/>
      <c r="F28" s="526">
        <f t="shared" ref="F28:N28" si="3">SUM(F3:F27)</f>
        <v>1165380.8400000003</v>
      </c>
      <c r="G28" s="526">
        <f t="shared" si="3"/>
        <v>314.55</v>
      </c>
      <c r="H28" s="526">
        <f t="shared" si="3"/>
        <v>1280832.9900000002</v>
      </c>
      <c r="I28" s="526">
        <f t="shared" si="3"/>
        <v>499486.30000000005</v>
      </c>
      <c r="J28" s="526">
        <f t="shared" si="3"/>
        <v>-3081.1</v>
      </c>
      <c r="K28" s="526">
        <f t="shared" si="3"/>
        <v>0</v>
      </c>
      <c r="L28" s="526">
        <f t="shared" si="3"/>
        <v>48541.09</v>
      </c>
      <c r="M28" s="526">
        <f t="shared" si="3"/>
        <v>40898.53</v>
      </c>
      <c r="N28" s="526">
        <f t="shared" si="3"/>
        <v>23604.45</v>
      </c>
      <c r="O28" s="526">
        <v>0</v>
      </c>
      <c r="P28" s="526">
        <f>SUM(P3:P27)</f>
        <v>0</v>
      </c>
      <c r="Q28" s="526">
        <v>0</v>
      </c>
      <c r="R28" s="526">
        <f t="shared" ref="R28:W28" si="4">SUM(R3:R27)</f>
        <v>33.520000000000003</v>
      </c>
      <c r="S28" s="526">
        <f t="shared" si="4"/>
        <v>561417.94999999995</v>
      </c>
      <c r="T28" s="526">
        <f t="shared" si="4"/>
        <v>530793.75</v>
      </c>
      <c r="U28" s="526">
        <f t="shared" si="4"/>
        <v>50118.98</v>
      </c>
      <c r="V28" s="526">
        <f t="shared" si="4"/>
        <v>-5530.8600000000006</v>
      </c>
      <c r="W28" s="526">
        <f t="shared" si="4"/>
        <v>100000</v>
      </c>
    </row>
    <row r="29" spans="1:23" x14ac:dyDescent="0.25">
      <c r="C29" s="601">
        <f>SUM(C3:C26)</f>
        <v>3055977.6500000004</v>
      </c>
      <c r="E29" s="480"/>
      <c r="F29" s="480"/>
      <c r="G29" s="480"/>
      <c r="H29" s="480"/>
      <c r="I29" s="483"/>
      <c r="J29" s="527">
        <f>SUM(F28:P28)</f>
        <v>3055977.6500000004</v>
      </c>
      <c r="K29" s="482"/>
      <c r="L29" s="480"/>
      <c r="M29" s="481"/>
      <c r="N29" s="481"/>
      <c r="O29" s="480"/>
      <c r="P29" s="480"/>
      <c r="Q29" s="480"/>
      <c r="R29" s="480"/>
      <c r="S29" s="480"/>
      <c r="T29" s="480"/>
      <c r="U29" s="480"/>
      <c r="V29" s="480"/>
      <c r="W29" s="480"/>
    </row>
    <row r="30" spans="1:23" x14ac:dyDescent="0.25">
      <c r="E30" s="480"/>
      <c r="F30" s="480"/>
      <c r="G30" s="480"/>
      <c r="H30" s="480"/>
      <c r="I30" s="483"/>
      <c r="J30" s="484"/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x14ac:dyDescent="0.25">
      <c r="E31" s="480"/>
      <c r="F31" s="480"/>
      <c r="G31" s="480"/>
      <c r="H31" s="480"/>
      <c r="I31" s="486" t="s">
        <v>1128</v>
      </c>
      <c r="J31" s="527"/>
      <c r="K31" s="527">
        <v>1000000</v>
      </c>
      <c r="L31" s="579" t="s">
        <v>1251</v>
      </c>
      <c r="M31" s="487"/>
      <c r="N31" s="487"/>
      <c r="O31" s="487"/>
      <c r="P31" s="480"/>
      <c r="Q31" s="480"/>
      <c r="R31" s="480"/>
      <c r="S31" s="480"/>
      <c r="T31" s="480"/>
      <c r="U31" s="480"/>
      <c r="V31" s="480"/>
      <c r="W31" s="586">
        <f>T28+U28+V28+W28</f>
        <v>675381.87</v>
      </c>
    </row>
    <row r="32" spans="1:23" x14ac:dyDescent="0.25">
      <c r="E32" s="480"/>
      <c r="F32" s="480"/>
      <c r="G32" s="480"/>
      <c r="H32" s="480"/>
      <c r="I32" s="577" t="s">
        <v>1252</v>
      </c>
      <c r="J32" s="587"/>
      <c r="K32" s="5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0"/>
      <c r="G33" s="480"/>
      <c r="H33" s="480"/>
      <c r="I33" s="581" t="s">
        <v>1253</v>
      </c>
      <c r="J33" s="587"/>
      <c r="K33" s="582"/>
      <c r="P33" s="480"/>
      <c r="Q33" s="480"/>
      <c r="R33" s="480"/>
      <c r="S33" s="480"/>
      <c r="T33" s="480"/>
      <c r="U33" s="480"/>
      <c r="V33" s="480"/>
      <c r="W33" s="480"/>
    </row>
    <row r="34" spans="5:23" x14ac:dyDescent="0.25">
      <c r="E34" s="480"/>
      <c r="F34" s="480"/>
      <c r="G34" s="480"/>
      <c r="H34" s="480"/>
      <c r="I34" s="581" t="s">
        <v>1254</v>
      </c>
      <c r="J34" s="587"/>
      <c r="K34" s="583">
        <v>46011</v>
      </c>
      <c r="L34" s="563"/>
      <c r="M34" s="480"/>
      <c r="N34" s="480"/>
      <c r="O34" s="480"/>
      <c r="P34" s="480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0"/>
      <c r="G35" s="480"/>
      <c r="H35" s="480"/>
      <c r="I35" s="578" t="s">
        <v>1245</v>
      </c>
      <c r="J35" s="587">
        <v>435000</v>
      </c>
      <c r="K35" s="583" t="s">
        <v>1255</v>
      </c>
      <c r="L35" s="564"/>
      <c r="M35" s="480"/>
      <c r="N35" s="480"/>
      <c r="O35" s="480"/>
      <c r="P35" s="480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0"/>
      <c r="G36" s="480"/>
      <c r="H36" s="480"/>
      <c r="I36" s="578" t="s">
        <v>1256</v>
      </c>
      <c r="J36" s="587"/>
      <c r="K36" s="583"/>
      <c r="L36" s="564"/>
      <c r="M36" s="480"/>
      <c r="N36" s="480"/>
      <c r="O36" s="480"/>
      <c r="P36" s="480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0"/>
      <c r="G37" s="480"/>
      <c r="H37" s="480"/>
      <c r="I37" s="578" t="s">
        <v>1257</v>
      </c>
      <c r="J37" s="587"/>
      <c r="K37" s="583">
        <v>46013</v>
      </c>
      <c r="L37" s="564"/>
      <c r="M37" s="480"/>
      <c r="N37" s="480"/>
      <c r="O37" s="480"/>
      <c r="P37" s="480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0"/>
      <c r="G38" s="480"/>
      <c r="H38" s="480"/>
      <c r="I38" s="578" t="s">
        <v>1258</v>
      </c>
      <c r="J38" s="587"/>
      <c r="K38" s="583"/>
      <c r="L38" s="564"/>
      <c r="M38" s="480"/>
      <c r="N38" s="480"/>
      <c r="O38" s="480"/>
      <c r="P38" s="480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0"/>
      <c r="G39" s="480"/>
      <c r="H39" s="480"/>
      <c r="I39" s="578" t="s">
        <v>1259</v>
      </c>
      <c r="J39" s="587">
        <v>715000</v>
      </c>
      <c r="K39" s="583">
        <v>45662</v>
      </c>
      <c r="L39" s="564"/>
      <c r="M39" s="480"/>
      <c r="N39" s="480"/>
      <c r="O39" s="480"/>
      <c r="P39" s="480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0"/>
      <c r="G40" s="480"/>
      <c r="H40" s="480"/>
      <c r="I40" s="578" t="s">
        <v>1248</v>
      </c>
      <c r="J40" s="587">
        <v>180000</v>
      </c>
      <c r="K40" s="583">
        <v>45662</v>
      </c>
      <c r="L40" s="564"/>
      <c r="M40" s="480"/>
      <c r="N40" s="480"/>
      <c r="O40" s="480"/>
      <c r="P40" s="480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0"/>
      <c r="G41" s="480"/>
      <c r="H41" s="480"/>
      <c r="I41" s="480"/>
      <c r="J41" s="588">
        <f>J29-J32-J33-J34-J35-J36-J37-J38-J39-J40</f>
        <v>1725977.6500000004</v>
      </c>
      <c r="K41" s="563"/>
      <c r="L41" s="564"/>
      <c r="M41" s="480"/>
      <c r="N41" s="480"/>
      <c r="O41" s="480"/>
      <c r="P41" s="480"/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0"/>
      <c r="G42" s="480"/>
      <c r="H42" s="480"/>
      <c r="L42" s="500"/>
      <c r="M42" s="480"/>
      <c r="N42" s="480"/>
      <c r="O42" s="480"/>
      <c r="P42" s="482"/>
      <c r="Q42" s="480"/>
      <c r="R42" s="480"/>
      <c r="S42" s="480"/>
      <c r="T42" s="480"/>
      <c r="U42" s="480"/>
      <c r="V42" s="480"/>
      <c r="W42" s="480"/>
    </row>
    <row r="43" spans="5:23" x14ac:dyDescent="0.25">
      <c r="L43" s="500"/>
    </row>
    <row r="44" spans="5:23" x14ac:dyDescent="0.25">
      <c r="L44" s="500"/>
    </row>
    <row r="45" spans="5:23" x14ac:dyDescent="0.25">
      <c r="L45" s="500"/>
    </row>
    <row r="46" spans="5:23" x14ac:dyDescent="0.25">
      <c r="L46" s="500"/>
    </row>
    <row r="47" spans="5:23" x14ac:dyDescent="0.25">
      <c r="L47" s="500"/>
    </row>
    <row r="48" spans="5:23" x14ac:dyDescent="0.25">
      <c r="L48" s="500"/>
    </row>
  </sheetData>
  <mergeCells count="2">
    <mergeCell ref="O1:S1"/>
    <mergeCell ref="T1:W1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39EAD-2DD1-4C99-A9EA-B5BCB26CFE55}">
  <sheetPr>
    <tabColor theme="9" tint="0.39997558519241921"/>
  </sheetPr>
  <dimension ref="A1:W48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23" width="15.7109375" customWidth="1"/>
  </cols>
  <sheetData>
    <row r="1" spans="1:23" x14ac:dyDescent="0.25">
      <c r="E1" s="466" t="s">
        <v>1086</v>
      </c>
      <c r="F1" s="468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46055</v>
      </c>
      <c r="F2" s="471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1" t="s">
        <v>1093</v>
      </c>
      <c r="M2" s="567" t="s">
        <v>1094</v>
      </c>
      <c r="N2" s="567" t="s">
        <v>1095</v>
      </c>
      <c r="O2" s="568" t="s">
        <v>835</v>
      </c>
      <c r="P2" s="568" t="s">
        <v>483</v>
      </c>
      <c r="Q2" s="569" t="s">
        <v>1096</v>
      </c>
      <c r="R2" s="569" t="s">
        <v>1097</v>
      </c>
      <c r="S2" s="569" t="s">
        <v>1098</v>
      </c>
      <c r="T2" s="570" t="s">
        <v>1099</v>
      </c>
      <c r="U2" s="570" t="s">
        <v>1100</v>
      </c>
      <c r="V2" s="570" t="s">
        <v>1101</v>
      </c>
      <c r="W2" s="570" t="s">
        <v>1102</v>
      </c>
    </row>
    <row r="3" spans="1:23" x14ac:dyDescent="0.25">
      <c r="A3" s="138">
        <v>1</v>
      </c>
      <c r="B3" s="602">
        <f>$E$2</f>
        <v>46055</v>
      </c>
      <c r="C3" s="600">
        <f>SUM(F3:N3)</f>
        <v>858.38000000000011</v>
      </c>
      <c r="D3" s="138" t="s">
        <v>11</v>
      </c>
      <c r="E3" s="477" t="s">
        <v>1103</v>
      </c>
      <c r="F3" s="503">
        <v>6.33</v>
      </c>
      <c r="G3" s="503">
        <v>587.48</v>
      </c>
      <c r="H3" s="503">
        <v>264.57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6" si="0">$E$2</f>
        <v>46055</v>
      </c>
      <c r="C4" s="600">
        <f t="shared" ref="C4:C26" si="1">SUM(F4:N4)</f>
        <v>89921.279999999984</v>
      </c>
      <c r="D4" s="138" t="s">
        <v>7</v>
      </c>
      <c r="E4" s="477" t="s">
        <v>1104</v>
      </c>
      <c r="F4" s="503">
        <v>82076.7</v>
      </c>
      <c r="G4" s="508"/>
      <c r="H4" s="503">
        <v>6704.14</v>
      </c>
      <c r="I4" s="503">
        <v>0</v>
      </c>
      <c r="J4" s="509">
        <v>-3682.82</v>
      </c>
      <c r="K4" s="503">
        <v>0</v>
      </c>
      <c r="L4" s="510">
        <v>4823.26</v>
      </c>
      <c r="M4" s="505"/>
      <c r="N4" s="505"/>
      <c r="O4" s="509"/>
      <c r="P4" s="509"/>
      <c r="Q4" s="504"/>
      <c r="R4" s="511">
        <v>1234.05</v>
      </c>
      <c r="S4" s="505">
        <v>0</v>
      </c>
      <c r="T4" s="584">
        <f>50000</f>
        <v>50000</v>
      </c>
      <c r="U4" s="512">
        <f>10000+J4</f>
        <v>6317.18</v>
      </c>
      <c r="V4" s="513"/>
      <c r="W4" s="589">
        <v>100000</v>
      </c>
    </row>
    <row r="5" spans="1:23" x14ac:dyDescent="0.25">
      <c r="A5" s="138">
        <f t="shared" ref="A5:A26" si="2">A4+1</f>
        <v>3</v>
      </c>
      <c r="B5" s="602">
        <f t="shared" si="0"/>
        <v>46055</v>
      </c>
      <c r="C5" s="600">
        <f t="shared" si="1"/>
        <v>-15066.989999999998</v>
      </c>
      <c r="D5" s="138" t="s">
        <v>479</v>
      </c>
      <c r="E5" s="478" t="s">
        <v>1105</v>
      </c>
      <c r="F5" s="503">
        <v>42302.85</v>
      </c>
      <c r="G5" s="508"/>
      <c r="H5" s="503">
        <v>2671.47</v>
      </c>
      <c r="I5" s="509">
        <v>-60041.31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84">
        <f>88000</f>
        <v>88000</v>
      </c>
      <c r="U5" s="507"/>
      <c r="V5" s="512">
        <f>50000+I5</f>
        <v>-10041.309999999998</v>
      </c>
      <c r="W5" s="513"/>
    </row>
    <row r="6" spans="1:23" x14ac:dyDescent="0.25">
      <c r="A6" s="138">
        <f t="shared" si="2"/>
        <v>4</v>
      </c>
      <c r="B6" s="602">
        <f t="shared" si="0"/>
        <v>46055</v>
      </c>
      <c r="C6" s="600">
        <f t="shared" si="1"/>
        <v>132233.46</v>
      </c>
      <c r="D6" s="138" t="s">
        <v>10</v>
      </c>
      <c r="E6" s="478" t="s">
        <v>1106</v>
      </c>
      <c r="F6" s="503">
        <v>25784.84</v>
      </c>
      <c r="G6" s="508"/>
      <c r="H6" s="503">
        <v>106448.62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84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46055</v>
      </c>
      <c r="C7" s="600">
        <f t="shared" si="1"/>
        <v>63.05</v>
      </c>
      <c r="D7" s="138" t="s">
        <v>909</v>
      </c>
      <c r="E7" s="478" t="s">
        <v>1107</v>
      </c>
      <c r="F7" s="503">
        <v>63.05</v>
      </c>
      <c r="G7" s="508"/>
      <c r="H7" s="508"/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46055</v>
      </c>
      <c r="C8" s="600">
        <f t="shared" si="1"/>
        <v>933491.92</v>
      </c>
      <c r="D8" s="138" t="s">
        <v>9</v>
      </c>
      <c r="E8" s="477" t="s">
        <v>1108</v>
      </c>
      <c r="F8" s="509">
        <v>-28783.57</v>
      </c>
      <c r="G8" s="508"/>
      <c r="H8" s="503">
        <v>18346.330000000002</v>
      </c>
      <c r="I8" s="503">
        <v>943929.16</v>
      </c>
      <c r="J8" s="504"/>
      <c r="K8" s="504"/>
      <c r="L8" s="504"/>
      <c r="M8" s="505"/>
      <c r="N8" s="505"/>
      <c r="O8" s="511">
        <v>280832.02</v>
      </c>
      <c r="P8" s="509"/>
      <c r="Q8" s="504"/>
      <c r="R8" s="504"/>
      <c r="S8" s="514">
        <v>24000</v>
      </c>
      <c r="T8" s="512">
        <f>31700+F8</f>
        <v>2916.4300000000003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46055</v>
      </c>
      <c r="C9" s="600">
        <f t="shared" si="1"/>
        <v>70946.13</v>
      </c>
      <c r="D9" s="138" t="s">
        <v>12</v>
      </c>
      <c r="E9" s="477" t="s">
        <v>1109</v>
      </c>
      <c r="F9" s="503">
        <v>56614.75</v>
      </c>
      <c r="G9" s="508"/>
      <c r="H9" s="503">
        <v>14331.38</v>
      </c>
      <c r="I9" s="504"/>
      <c r="J9" s="504"/>
      <c r="K9" s="504"/>
      <c r="L9" s="504"/>
      <c r="M9" s="505"/>
      <c r="N9" s="505"/>
      <c r="O9" s="503"/>
      <c r="P9" s="503"/>
      <c r="Q9" s="511">
        <v>821361.94</v>
      </c>
      <c r="R9" s="504"/>
      <c r="S9" s="505"/>
      <c r="T9" s="584">
        <f>17600</f>
        <v>17600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46055</v>
      </c>
      <c r="C10" s="600">
        <f t="shared" si="1"/>
        <v>-54442.750000000007</v>
      </c>
      <c r="D10" s="138" t="s">
        <v>8</v>
      </c>
      <c r="E10" s="477" t="s">
        <v>1110</v>
      </c>
      <c r="F10" s="509">
        <v>-75987.13</v>
      </c>
      <c r="G10" s="508"/>
      <c r="H10" s="503">
        <v>803.81</v>
      </c>
      <c r="I10" s="503">
        <v>20740.57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14">
        <v>368573.13</v>
      </c>
      <c r="T10" s="512">
        <f>78700+F10</f>
        <v>2712.8699999999953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46055</v>
      </c>
      <c r="C11" s="600">
        <f t="shared" si="1"/>
        <v>-38225.360000000001</v>
      </c>
      <c r="D11" s="138" t="s">
        <v>481</v>
      </c>
      <c r="E11" s="478" t="s">
        <v>1112</v>
      </c>
      <c r="F11" s="515">
        <v>-4583.05</v>
      </c>
      <c r="G11" s="508"/>
      <c r="H11" s="503">
        <v>0</v>
      </c>
      <c r="I11" s="509">
        <v>-33642.31</v>
      </c>
      <c r="J11" s="504"/>
      <c r="K11" s="504"/>
      <c r="L11" s="504"/>
      <c r="M11" s="505"/>
      <c r="N11" s="505"/>
      <c r="O11" s="515"/>
      <c r="P11" s="515"/>
      <c r="Q11" s="504"/>
      <c r="R11" s="504"/>
      <c r="S11" s="505"/>
      <c r="T11" s="512">
        <f>5000+F11</f>
        <v>416.94999999999982</v>
      </c>
      <c r="U11" s="507"/>
      <c r="V11" s="512">
        <f>30000+I11</f>
        <v>-3642.3099999999977</v>
      </c>
      <c r="W11" s="513"/>
    </row>
    <row r="12" spans="1:23" x14ac:dyDescent="0.25">
      <c r="A12" s="138">
        <f t="shared" si="2"/>
        <v>10</v>
      </c>
      <c r="B12" s="602">
        <f t="shared" si="0"/>
        <v>46055</v>
      </c>
      <c r="C12" s="600">
        <f t="shared" si="1"/>
        <v>9922.36</v>
      </c>
      <c r="D12" s="138" t="s">
        <v>760</v>
      </c>
      <c r="E12" s="478" t="s">
        <v>1113</v>
      </c>
      <c r="F12" s="504">
        <v>8768.1200000000008</v>
      </c>
      <c r="G12" s="508"/>
      <c r="H12" s="508"/>
      <c r="I12" s="504"/>
      <c r="J12" s="504"/>
      <c r="K12" s="504"/>
      <c r="L12" s="504"/>
      <c r="M12" s="514">
        <v>1154.24</v>
      </c>
      <c r="N12" s="505"/>
      <c r="O12" s="504"/>
      <c r="P12" s="504"/>
      <c r="Q12" s="504"/>
      <c r="R12" s="504"/>
      <c r="S12" s="505"/>
      <c r="T12" s="584">
        <v>1600</v>
      </c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46055</v>
      </c>
      <c r="C13" s="600">
        <f t="shared" si="1"/>
        <v>46177.5</v>
      </c>
      <c r="D13" s="138" t="s">
        <v>465</v>
      </c>
      <c r="E13" s="478" t="s">
        <v>1114</v>
      </c>
      <c r="F13" s="503">
        <v>41284.879999999997</v>
      </c>
      <c r="G13" s="508"/>
      <c r="H13" s="503">
        <v>4892.62</v>
      </c>
      <c r="I13" s="503"/>
      <c r="J13" s="504"/>
      <c r="K13" s="504"/>
      <c r="L13" s="504"/>
      <c r="M13" s="505"/>
      <c r="N13" s="505"/>
      <c r="O13" s="504"/>
      <c r="P13" s="504"/>
      <c r="Q13" s="504"/>
      <c r="R13" s="504"/>
      <c r="S13" s="505"/>
      <c r="T13" s="507"/>
      <c r="U13" s="507"/>
      <c r="V13" s="507"/>
      <c r="W13" s="507"/>
    </row>
    <row r="14" spans="1:23" x14ac:dyDescent="0.25">
      <c r="A14" s="138">
        <f t="shared" si="2"/>
        <v>12</v>
      </c>
      <c r="B14" s="602">
        <f t="shared" si="0"/>
        <v>46055</v>
      </c>
      <c r="C14" s="600">
        <f t="shared" si="1"/>
        <v>9782.76</v>
      </c>
      <c r="D14" s="138" t="s">
        <v>13</v>
      </c>
      <c r="E14" s="478" t="s">
        <v>1115</v>
      </c>
      <c r="F14" s="503">
        <v>9551.4500000000007</v>
      </c>
      <c r="G14" s="508"/>
      <c r="H14" s="503">
        <v>231.31</v>
      </c>
      <c r="I14" s="503"/>
      <c r="J14" s="504"/>
      <c r="K14" s="504"/>
      <c r="L14" s="504"/>
      <c r="M14" s="505"/>
      <c r="N14" s="505"/>
      <c r="O14" s="504"/>
      <c r="P14" s="504"/>
      <c r="Q14" s="504"/>
      <c r="R14" s="504"/>
      <c r="S14" s="505"/>
      <c r="T14" s="507"/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46055</v>
      </c>
      <c r="C15" s="600">
        <f t="shared" si="1"/>
        <v>4636.58</v>
      </c>
      <c r="D15" s="138" t="s">
        <v>670</v>
      </c>
      <c r="E15" s="478" t="s">
        <v>380</v>
      </c>
      <c r="F15" s="508"/>
      <c r="G15" s="508"/>
      <c r="H15" s="519">
        <v>4636.58</v>
      </c>
      <c r="I15" s="504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46055</v>
      </c>
      <c r="C16" s="600">
        <f t="shared" si="1"/>
        <v>-9091.2800000000007</v>
      </c>
      <c r="D16" s="138" t="s">
        <v>867</v>
      </c>
      <c r="E16" s="478" t="s">
        <v>1116</v>
      </c>
      <c r="F16" s="518"/>
      <c r="G16" s="508"/>
      <c r="H16" s="520">
        <v>-9091.2800000000007</v>
      </c>
      <c r="I16" s="504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12">
        <f>10000+H16</f>
        <v>908.71999999999935</v>
      </c>
      <c r="V16" s="507"/>
      <c r="W16" s="507"/>
    </row>
    <row r="17" spans="1:23" x14ac:dyDescent="0.25">
      <c r="A17" s="138">
        <f t="shared" si="2"/>
        <v>15</v>
      </c>
      <c r="B17" s="602">
        <f t="shared" si="0"/>
        <v>46055</v>
      </c>
      <c r="C17" s="600">
        <f t="shared" si="1"/>
        <v>-115.35000000000036</v>
      </c>
      <c r="D17" s="138" t="s">
        <v>482</v>
      </c>
      <c r="E17" s="478" t="s">
        <v>1117</v>
      </c>
      <c r="F17" s="508"/>
      <c r="G17" s="508"/>
      <c r="H17" s="520">
        <v>-4837</v>
      </c>
      <c r="I17" s="504"/>
      <c r="J17" s="504"/>
      <c r="K17" s="504"/>
      <c r="L17" s="504"/>
      <c r="M17" s="505"/>
      <c r="N17" s="514">
        <v>4721.6499999999996</v>
      </c>
      <c r="O17" s="504"/>
      <c r="P17" s="504"/>
      <c r="Q17" s="504"/>
      <c r="R17" s="504"/>
      <c r="S17" s="505"/>
      <c r="T17" s="507"/>
      <c r="U17" s="512">
        <f>20000+H17</f>
        <v>15163</v>
      </c>
      <c r="V17" s="507"/>
      <c r="W17" s="507"/>
    </row>
    <row r="18" spans="1:23" x14ac:dyDescent="0.25">
      <c r="A18" s="138">
        <f t="shared" si="2"/>
        <v>16</v>
      </c>
      <c r="B18" s="602">
        <f t="shared" si="0"/>
        <v>46055</v>
      </c>
      <c r="C18" s="600">
        <f t="shared" si="1"/>
        <v>424533.14</v>
      </c>
      <c r="D18" s="138" t="s">
        <v>673</v>
      </c>
      <c r="E18" s="478" t="s">
        <v>1118</v>
      </c>
      <c r="F18" s="504">
        <v>424533.14</v>
      </c>
      <c r="G18" s="508"/>
      <c r="H18" s="503">
        <v>0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07"/>
      <c r="V18" s="507"/>
      <c r="W18" s="507"/>
    </row>
    <row r="19" spans="1:23" x14ac:dyDescent="0.25">
      <c r="A19" s="138">
        <f t="shared" si="2"/>
        <v>17</v>
      </c>
      <c r="B19" s="602">
        <f t="shared" si="0"/>
        <v>46055</v>
      </c>
      <c r="C19" s="600">
        <f t="shared" si="1"/>
        <v>204.22</v>
      </c>
      <c r="D19" s="138" t="s">
        <v>677</v>
      </c>
      <c r="E19" s="478" t="s">
        <v>381</v>
      </c>
      <c r="F19" s="504">
        <v>175.45</v>
      </c>
      <c r="G19" s="508"/>
      <c r="H19" s="134">
        <v>28.77</v>
      </c>
      <c r="I19" s="504"/>
      <c r="J19" s="504"/>
      <c r="K19" s="504"/>
      <c r="L19" s="504"/>
      <c r="M19" s="505"/>
      <c r="N19" s="505"/>
      <c r="O19" s="504"/>
      <c r="P19" s="504"/>
      <c r="Q19" s="504"/>
      <c r="R19" s="504"/>
      <c r="S19" s="505"/>
      <c r="T19" s="507"/>
      <c r="U19" s="507"/>
      <c r="V19" s="507"/>
      <c r="W19" s="507"/>
    </row>
    <row r="20" spans="1:23" x14ac:dyDescent="0.25">
      <c r="A20" s="138">
        <f t="shared" si="2"/>
        <v>18</v>
      </c>
      <c r="B20" s="602">
        <f t="shared" si="0"/>
        <v>46055</v>
      </c>
      <c r="C20" s="600">
        <f t="shared" si="1"/>
        <v>348.47</v>
      </c>
      <c r="D20" s="138" t="s">
        <v>678</v>
      </c>
      <c r="E20" s="478" t="s">
        <v>1119</v>
      </c>
      <c r="F20" s="504">
        <v>104.06</v>
      </c>
      <c r="G20" s="508"/>
      <c r="H20" s="503">
        <v>244.41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46055</v>
      </c>
      <c r="C21" s="600">
        <f t="shared" si="1"/>
        <v>41.8</v>
      </c>
      <c r="D21" s="138" t="s">
        <v>813</v>
      </c>
      <c r="E21" s="478" t="s">
        <v>1120</v>
      </c>
      <c r="F21" s="504">
        <v>41.8</v>
      </c>
      <c r="G21" s="508"/>
      <c r="H21" s="503">
        <v>0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46055</v>
      </c>
      <c r="C22" s="600">
        <f t="shared" si="1"/>
        <v>-95049.82</v>
      </c>
      <c r="D22" s="138" t="s">
        <v>671</v>
      </c>
      <c r="E22" s="478" t="s">
        <v>1121</v>
      </c>
      <c r="F22" s="504">
        <v>185.48</v>
      </c>
      <c r="G22" s="508"/>
      <c r="H22" s="515">
        <v>-95235.3</v>
      </c>
      <c r="I22" s="503"/>
      <c r="J22" s="503"/>
      <c r="K22" s="504"/>
      <c r="L22" s="503"/>
      <c r="M22" s="505"/>
      <c r="N22" s="505"/>
      <c r="O22" s="504"/>
      <c r="P22" s="504"/>
      <c r="Q22" s="504"/>
      <c r="R22" s="504"/>
      <c r="S22" s="505"/>
      <c r="T22" s="507"/>
      <c r="U22" s="512">
        <f>100000+H22</f>
        <v>4764.6999999999971</v>
      </c>
      <c r="V22" s="513"/>
      <c r="W22" s="513"/>
    </row>
    <row r="23" spans="1:23" x14ac:dyDescent="0.25">
      <c r="A23" s="138">
        <f t="shared" si="2"/>
        <v>21</v>
      </c>
      <c r="B23" s="602">
        <f t="shared" si="0"/>
        <v>46055</v>
      </c>
      <c r="C23" s="600">
        <f t="shared" si="1"/>
        <v>729.84</v>
      </c>
      <c r="D23" s="138" t="s">
        <v>1122</v>
      </c>
      <c r="E23" s="479" t="s">
        <v>1122</v>
      </c>
      <c r="F23" s="508"/>
      <c r="G23" s="508"/>
      <c r="H23" s="522">
        <v>729.84</v>
      </c>
      <c r="I23" s="522"/>
      <c r="J23" s="522"/>
      <c r="K23" s="522"/>
      <c r="L23" s="522"/>
      <c r="M23" s="522"/>
      <c r="N23" s="522"/>
      <c r="O23" s="522"/>
      <c r="P23" s="522"/>
      <c r="Q23" s="504"/>
      <c r="R23" s="504"/>
      <c r="S23" s="505"/>
      <c r="T23" s="507"/>
      <c r="U23" s="512">
        <f>40000+H23</f>
        <v>40729.839999999997</v>
      </c>
      <c r="V23" s="513"/>
      <c r="W23" s="513"/>
    </row>
    <row r="24" spans="1:23" x14ac:dyDescent="0.25">
      <c r="A24" s="138">
        <f t="shared" si="2"/>
        <v>22</v>
      </c>
      <c r="B24" s="602">
        <f t="shared" si="0"/>
        <v>46055</v>
      </c>
      <c r="C24" s="600">
        <f t="shared" si="1"/>
        <v>6735.39</v>
      </c>
      <c r="D24" s="138" t="s">
        <v>857</v>
      </c>
      <c r="E24" s="478" t="s">
        <v>1123</v>
      </c>
      <c r="F24" s="504">
        <v>1867.12</v>
      </c>
      <c r="G24" s="508"/>
      <c r="H24" s="503">
        <v>4868.2700000000004</v>
      </c>
      <c r="I24" s="503"/>
      <c r="J24" s="503"/>
      <c r="K24" s="503"/>
      <c r="L24" s="503"/>
      <c r="M24" s="505"/>
      <c r="N24" s="505"/>
      <c r="O24" s="504"/>
      <c r="P24" s="504"/>
      <c r="Q24" s="504"/>
      <c r="R24" s="504"/>
      <c r="S24" s="505"/>
      <c r="T24" s="507"/>
      <c r="U24" s="507"/>
      <c r="V24" s="507"/>
      <c r="W24" s="507"/>
    </row>
    <row r="25" spans="1:23" x14ac:dyDescent="0.25">
      <c r="A25" s="138">
        <f t="shared" si="2"/>
        <v>23</v>
      </c>
      <c r="B25" s="602">
        <f t="shared" si="0"/>
        <v>46055</v>
      </c>
      <c r="C25" s="600">
        <f t="shared" si="1"/>
        <v>1061.03</v>
      </c>
      <c r="D25" s="138" t="s">
        <v>889</v>
      </c>
      <c r="E25" s="478" t="s">
        <v>1124</v>
      </c>
      <c r="F25" s="508"/>
      <c r="G25" s="508"/>
      <c r="H25" s="503">
        <v>1061.03</v>
      </c>
      <c r="I25" s="503"/>
      <c r="J25" s="503"/>
      <c r="K25" s="503"/>
      <c r="L25" s="503"/>
      <c r="M25" s="505"/>
      <c r="N25" s="505"/>
      <c r="O25" s="504"/>
      <c r="P25" s="504"/>
      <c r="Q25" s="504"/>
      <c r="R25" s="504"/>
      <c r="S25" s="505"/>
      <c r="T25" s="507"/>
      <c r="U25" s="507"/>
      <c r="V25" s="507"/>
      <c r="W25" s="507"/>
    </row>
    <row r="26" spans="1:23" x14ac:dyDescent="0.25">
      <c r="A26" s="138">
        <f t="shared" si="2"/>
        <v>24</v>
      </c>
      <c r="B26" s="602">
        <f t="shared" si="0"/>
        <v>46055</v>
      </c>
      <c r="C26" s="600">
        <f t="shared" si="1"/>
        <v>0</v>
      </c>
      <c r="D26" s="138" t="s">
        <v>863</v>
      </c>
      <c r="E26" s="478" t="s">
        <v>1125</v>
      </c>
      <c r="F26" s="508"/>
      <c r="G26" s="508"/>
      <c r="H26" s="504"/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hidden="1" x14ac:dyDescent="0.25">
      <c r="E27" s="571" t="s">
        <v>1236</v>
      </c>
      <c r="F27" s="509"/>
      <c r="G27" s="515"/>
      <c r="H27" s="509"/>
      <c r="I27" s="509"/>
      <c r="J27" s="509"/>
      <c r="K27" s="503"/>
      <c r="L27" s="509"/>
      <c r="M27" s="585"/>
      <c r="N27" s="585"/>
      <c r="O27" s="515"/>
      <c r="P27" s="515"/>
      <c r="Q27" s="515"/>
      <c r="R27" s="515"/>
      <c r="S27" s="585"/>
      <c r="T27" s="513"/>
      <c r="U27" s="513"/>
      <c r="V27" s="513"/>
      <c r="W27" s="513"/>
    </row>
    <row r="28" spans="1:23" x14ac:dyDescent="0.25">
      <c r="E28" s="480"/>
      <c r="F28" s="526">
        <f t="shared" ref="F28:N28" si="3">SUM(F3:F27)</f>
        <v>584006.27</v>
      </c>
      <c r="G28" s="526">
        <f t="shared" si="3"/>
        <v>587.48</v>
      </c>
      <c r="H28" s="526">
        <f t="shared" si="3"/>
        <v>57099.569999999978</v>
      </c>
      <c r="I28" s="526">
        <f t="shared" si="3"/>
        <v>870986.1100000001</v>
      </c>
      <c r="J28" s="526">
        <f t="shared" si="3"/>
        <v>-3682.82</v>
      </c>
      <c r="K28" s="526">
        <f t="shared" si="3"/>
        <v>0</v>
      </c>
      <c r="L28" s="526">
        <f t="shared" si="3"/>
        <v>4823.26</v>
      </c>
      <c r="M28" s="526">
        <f t="shared" si="3"/>
        <v>1154.24</v>
      </c>
      <c r="N28" s="526">
        <f t="shared" si="3"/>
        <v>4721.6499999999996</v>
      </c>
      <c r="O28" s="526">
        <v>0</v>
      </c>
      <c r="P28" s="526">
        <f>SUM(P3:P27)</f>
        <v>0</v>
      </c>
      <c r="Q28" s="526">
        <v>0</v>
      </c>
      <c r="R28" s="526">
        <f t="shared" ref="R28:W28" si="4">SUM(R3:R27)</f>
        <v>1234.05</v>
      </c>
      <c r="S28" s="526">
        <f t="shared" si="4"/>
        <v>392573.13</v>
      </c>
      <c r="T28" s="526">
        <f t="shared" si="4"/>
        <v>166943.25</v>
      </c>
      <c r="U28" s="526">
        <f t="shared" si="4"/>
        <v>67883.44</v>
      </c>
      <c r="V28" s="526">
        <f t="shared" si="4"/>
        <v>-13683.619999999995</v>
      </c>
      <c r="W28" s="526">
        <f t="shared" si="4"/>
        <v>100000</v>
      </c>
    </row>
    <row r="29" spans="1:23" x14ac:dyDescent="0.25">
      <c r="C29" s="601">
        <f>SUM(C3:C26)</f>
        <v>1519695.76</v>
      </c>
      <c r="E29" s="480"/>
      <c r="F29" s="480"/>
      <c r="G29" s="480"/>
      <c r="H29" s="480"/>
      <c r="I29" s="483"/>
      <c r="J29" s="527">
        <f>SUM(F28:N28)</f>
        <v>1519695.76</v>
      </c>
      <c r="K29" s="482"/>
      <c r="L29" s="480"/>
      <c r="M29" s="481"/>
      <c r="N29" s="481"/>
      <c r="O29" s="480"/>
      <c r="P29" s="480"/>
      <c r="Q29" s="480"/>
      <c r="R29" s="480"/>
      <c r="S29" s="480"/>
      <c r="T29" s="480"/>
      <c r="U29" s="480"/>
      <c r="V29" s="480"/>
      <c r="W29" s="480"/>
    </row>
    <row r="30" spans="1:23" x14ac:dyDescent="0.25">
      <c r="E30" s="480"/>
      <c r="F30" s="480"/>
      <c r="G30" s="480"/>
      <c r="H30" s="480"/>
      <c r="I30" s="483"/>
      <c r="J30" s="484"/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x14ac:dyDescent="0.25">
      <c r="E31" s="480"/>
      <c r="F31" s="480"/>
      <c r="G31" s="480"/>
      <c r="H31" s="480"/>
      <c r="I31" s="486" t="s">
        <v>1128</v>
      </c>
      <c r="J31" s="527"/>
      <c r="K31" s="484"/>
      <c r="M31" s="487"/>
      <c r="N31" s="487" t="s">
        <v>1220</v>
      </c>
      <c r="P31" s="480"/>
      <c r="Q31" s="480"/>
      <c r="R31" s="480"/>
      <c r="S31" s="480"/>
      <c r="T31" s="480"/>
      <c r="U31" s="480"/>
      <c r="V31" s="480"/>
      <c r="W31" s="586">
        <f>T28+U28+V28+W28</f>
        <v>321143.07</v>
      </c>
    </row>
    <row r="32" spans="1:23" x14ac:dyDescent="0.25">
      <c r="E32" s="480"/>
      <c r="F32" s="480"/>
      <c r="G32" s="480"/>
      <c r="H32" s="480"/>
      <c r="I32" s="572" t="s">
        <v>1237</v>
      </c>
      <c r="J32" s="590"/>
      <c r="K32" s="573">
        <v>46052</v>
      </c>
      <c r="L32" s="574" t="s">
        <v>1238</v>
      </c>
      <c r="N32" s="500"/>
      <c r="O32" s="575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0"/>
      <c r="G33" s="480"/>
      <c r="H33" s="480"/>
      <c r="I33" s="492"/>
      <c r="J33" s="587"/>
      <c r="K33" s="490">
        <v>46048</v>
      </c>
      <c r="L33" s="563"/>
      <c r="M33" s="480"/>
      <c r="N33" s="481"/>
      <c r="O33" s="480"/>
      <c r="P33" s="480"/>
      <c r="Q33" s="480"/>
      <c r="R33" s="480"/>
      <c r="S33" s="480"/>
      <c r="T33" s="480"/>
      <c r="U33" s="480"/>
      <c r="V33" s="480"/>
      <c r="W33" s="480"/>
    </row>
    <row r="34" spans="5:23" x14ac:dyDescent="0.25">
      <c r="E34" s="480"/>
      <c r="F34" s="480"/>
      <c r="G34" s="480"/>
      <c r="H34" s="480"/>
      <c r="I34" s="488" t="s">
        <v>1239</v>
      </c>
      <c r="J34" s="587">
        <v>700000</v>
      </c>
      <c r="K34" s="490">
        <v>46059</v>
      </c>
      <c r="L34" s="564"/>
      <c r="M34" s="480"/>
      <c r="N34" s="481"/>
      <c r="O34" s="480"/>
      <c r="P34" s="480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0"/>
      <c r="G35" s="480"/>
      <c r="H35" s="480"/>
      <c r="I35" s="488" t="s">
        <v>1240</v>
      </c>
      <c r="J35" s="587">
        <v>150000</v>
      </c>
      <c r="K35" s="490">
        <v>46059</v>
      </c>
      <c r="L35" s="564"/>
      <c r="M35" s="480"/>
      <c r="N35" s="481"/>
      <c r="O35" s="480"/>
      <c r="P35" s="480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0"/>
      <c r="G36" s="480"/>
      <c r="H36" s="480"/>
      <c r="I36" s="488" t="s">
        <v>1241</v>
      </c>
      <c r="J36" s="587"/>
      <c r="K36" s="490">
        <v>46052</v>
      </c>
      <c r="L36" s="564"/>
      <c r="M36" s="480"/>
      <c r="N36" s="481"/>
      <c r="O36" s="480"/>
      <c r="P36" s="480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0"/>
      <c r="G37" s="480"/>
      <c r="H37" s="480"/>
      <c r="I37" s="488" t="s">
        <v>1242</v>
      </c>
      <c r="J37" s="587"/>
      <c r="K37" s="490" t="s">
        <v>1243</v>
      </c>
      <c r="L37" s="564"/>
      <c r="M37" s="480"/>
      <c r="N37" s="481"/>
      <c r="O37" s="480"/>
      <c r="P37" s="480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0"/>
      <c r="G38" s="480"/>
      <c r="H38" s="480"/>
      <c r="I38" s="561" t="s">
        <v>1244</v>
      </c>
      <c r="J38" s="527"/>
      <c r="K38" s="562">
        <v>46052</v>
      </c>
      <c r="L38" s="564"/>
      <c r="M38" s="480"/>
      <c r="N38" s="481"/>
      <c r="O38" s="480"/>
      <c r="P38" s="480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0"/>
      <c r="G39" s="480"/>
      <c r="H39" s="480"/>
      <c r="I39" s="576"/>
      <c r="J39" s="527"/>
      <c r="K39" s="562">
        <v>46059</v>
      </c>
      <c r="L39" s="564"/>
      <c r="M39" s="480"/>
      <c r="N39" s="481"/>
      <c r="O39" s="480"/>
      <c r="P39" s="480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0"/>
      <c r="G40" s="480"/>
      <c r="H40" s="480"/>
      <c r="I40" s="480"/>
      <c r="J40" s="588">
        <f>J29-J32-J33-J34-J35-J36-J37-J38-J39</f>
        <v>669695.76</v>
      </c>
      <c r="K40" s="563"/>
      <c r="L40" s="564"/>
      <c r="M40" s="480"/>
      <c r="N40" s="480"/>
      <c r="O40" s="480"/>
      <c r="P40" s="480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0"/>
      <c r="G41" s="480"/>
      <c r="H41" s="480"/>
      <c r="J41" s="134"/>
      <c r="L41" s="500"/>
      <c r="M41" s="480"/>
      <c r="N41" s="480"/>
      <c r="O41" s="480"/>
      <c r="P41" s="482"/>
      <c r="Q41" s="480"/>
      <c r="R41" s="480"/>
      <c r="S41" s="480"/>
      <c r="T41" s="480"/>
      <c r="U41" s="480"/>
      <c r="V41" s="480"/>
      <c r="W41" s="480"/>
    </row>
    <row r="42" spans="5:23" x14ac:dyDescent="0.25">
      <c r="J42" s="134"/>
      <c r="L42" s="500"/>
    </row>
    <row r="43" spans="5:23" x14ac:dyDescent="0.25">
      <c r="I43" s="577" t="s">
        <v>1245</v>
      </c>
      <c r="J43" s="591">
        <v>435000</v>
      </c>
      <c r="K43" t="s">
        <v>1243</v>
      </c>
      <c r="L43" s="500"/>
      <c r="O43" s="500"/>
      <c r="P43" s="500"/>
    </row>
    <row r="44" spans="5:23" x14ac:dyDescent="0.25">
      <c r="I44" s="577" t="s">
        <v>1246</v>
      </c>
      <c r="J44" s="591"/>
      <c r="K44" s="575">
        <v>46051</v>
      </c>
      <c r="L44" s="500"/>
      <c r="O44" s="560"/>
    </row>
    <row r="45" spans="5:23" x14ac:dyDescent="0.25">
      <c r="I45" s="578" t="s">
        <v>1247</v>
      </c>
      <c r="J45" s="525"/>
      <c r="K45" s="575">
        <v>46051</v>
      </c>
      <c r="L45" s="500"/>
    </row>
    <row r="46" spans="5:23" x14ac:dyDescent="0.25">
      <c r="I46" s="578" t="s">
        <v>1248</v>
      </c>
      <c r="J46" s="525"/>
      <c r="K46" s="273" t="s">
        <v>1249</v>
      </c>
      <c r="L46" s="500"/>
    </row>
    <row r="47" spans="5:23" x14ac:dyDescent="0.25">
      <c r="I47" s="577" t="s">
        <v>1250</v>
      </c>
      <c r="J47" s="591"/>
      <c r="K47" s="575">
        <v>46052</v>
      </c>
      <c r="L47" s="500"/>
    </row>
    <row r="48" spans="5:23" x14ac:dyDescent="0.25">
      <c r="I48" s="579" t="s">
        <v>1251</v>
      </c>
      <c r="J48" s="134"/>
    </row>
  </sheetData>
  <mergeCells count="2">
    <mergeCell ref="O1:S1"/>
    <mergeCell ref="T1:W1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621F2-8A71-46C9-ABD5-B490AAB318A9}">
  <sheetPr>
    <tabColor theme="9" tint="0.39997558519241921"/>
  </sheetPr>
  <dimension ref="A1:W42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23" width="15.7109375" customWidth="1"/>
  </cols>
  <sheetData>
    <row r="1" spans="1:23" x14ac:dyDescent="0.25">
      <c r="E1" s="466" t="s">
        <v>1086</v>
      </c>
      <c r="F1" s="468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46083</v>
      </c>
      <c r="F2" s="471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2" t="s">
        <v>1093</v>
      </c>
      <c r="M2" s="473" t="s">
        <v>1094</v>
      </c>
      <c r="N2" s="473" t="s">
        <v>1095</v>
      </c>
      <c r="O2" s="474" t="s">
        <v>835</v>
      </c>
      <c r="P2" s="474" t="s">
        <v>483</v>
      </c>
      <c r="Q2" s="475" t="s">
        <v>1096</v>
      </c>
      <c r="R2" s="475" t="s">
        <v>1097</v>
      </c>
      <c r="S2" s="475" t="s">
        <v>1098</v>
      </c>
      <c r="T2" s="476" t="s">
        <v>1099</v>
      </c>
      <c r="U2" s="476" t="s">
        <v>1100</v>
      </c>
      <c r="V2" s="476" t="s">
        <v>1101</v>
      </c>
      <c r="W2" s="476" t="s">
        <v>1102</v>
      </c>
    </row>
    <row r="3" spans="1:23" x14ac:dyDescent="0.25">
      <c r="A3" s="138">
        <v>1</v>
      </c>
      <c r="B3" s="602">
        <f>$E$2</f>
        <v>46083</v>
      </c>
      <c r="C3" s="600">
        <f>SUM(F3:N3)</f>
        <v>69113.440000000002</v>
      </c>
      <c r="D3" s="138" t="s">
        <v>11</v>
      </c>
      <c r="E3" s="477" t="s">
        <v>1103</v>
      </c>
      <c r="F3" s="503">
        <v>2485.87</v>
      </c>
      <c r="G3" s="503">
        <v>66433.8</v>
      </c>
      <c r="H3" s="503">
        <v>193.77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6" si="0">$E$2</f>
        <v>46083</v>
      </c>
      <c r="C4" s="600">
        <f t="shared" ref="C4:C26" si="1">SUM(F4:N4)</f>
        <v>509635.91000000003</v>
      </c>
      <c r="D4" s="138" t="s">
        <v>7</v>
      </c>
      <c r="E4" s="477" t="s">
        <v>1104</v>
      </c>
      <c r="F4" s="503">
        <v>503827.64</v>
      </c>
      <c r="G4" s="508"/>
      <c r="H4" s="503">
        <v>0</v>
      </c>
      <c r="I4" s="503">
        <v>6785.81</v>
      </c>
      <c r="J4" s="592">
        <v>0</v>
      </c>
      <c r="K4" s="503">
        <v>0</v>
      </c>
      <c r="L4" s="593">
        <v>-977.54</v>
      </c>
      <c r="M4" s="505"/>
      <c r="N4" s="505"/>
      <c r="O4" s="509"/>
      <c r="P4" s="509"/>
      <c r="Q4" s="504"/>
      <c r="R4" s="511">
        <v>1234.05</v>
      </c>
      <c r="S4" s="505"/>
      <c r="T4" s="512">
        <f>50000</f>
        <v>50000</v>
      </c>
      <c r="U4" s="512">
        <v>0</v>
      </c>
      <c r="V4" s="584">
        <v>5754.24</v>
      </c>
      <c r="W4" s="512">
        <v>0</v>
      </c>
    </row>
    <row r="5" spans="1:23" x14ac:dyDescent="0.25">
      <c r="A5" s="138">
        <f t="shared" ref="A5:A26" si="2">A4+1</f>
        <v>3</v>
      </c>
      <c r="B5" s="602">
        <f t="shared" si="0"/>
        <v>46083</v>
      </c>
      <c r="C5" s="600">
        <f t="shared" si="1"/>
        <v>-112435.81</v>
      </c>
      <c r="D5" s="138" t="s">
        <v>479</v>
      </c>
      <c r="E5" s="478" t="s">
        <v>1105</v>
      </c>
      <c r="F5" s="509">
        <v>-77369.2</v>
      </c>
      <c r="G5" s="508"/>
      <c r="H5" s="503">
        <v>212.28</v>
      </c>
      <c r="I5" s="509">
        <v>-35278.89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12">
        <f>88000+F5</f>
        <v>10630.800000000003</v>
      </c>
      <c r="U5" s="507"/>
      <c r="V5" s="512">
        <f>50000+I5</f>
        <v>14721.11</v>
      </c>
      <c r="W5" s="513"/>
    </row>
    <row r="6" spans="1:23" x14ac:dyDescent="0.25">
      <c r="A6" s="138">
        <f t="shared" si="2"/>
        <v>4</v>
      </c>
      <c r="B6" s="602">
        <f t="shared" si="0"/>
        <v>46083</v>
      </c>
      <c r="C6" s="600">
        <f t="shared" si="1"/>
        <v>7626.22</v>
      </c>
      <c r="D6" s="138" t="s">
        <v>10</v>
      </c>
      <c r="E6" s="478" t="s">
        <v>1106</v>
      </c>
      <c r="F6" s="503">
        <v>603.41999999999996</v>
      </c>
      <c r="G6" s="508"/>
      <c r="H6" s="503">
        <v>7022.8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84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46083</v>
      </c>
      <c r="C7" s="600">
        <f t="shared" si="1"/>
        <v>0</v>
      </c>
      <c r="D7" s="138" t="s">
        <v>909</v>
      </c>
      <c r="E7" s="478" t="s">
        <v>1107</v>
      </c>
      <c r="F7" s="503">
        <v>0</v>
      </c>
      <c r="G7" s="508"/>
      <c r="H7" s="523">
        <v>0</v>
      </c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46083</v>
      </c>
      <c r="C8" s="600">
        <f t="shared" si="1"/>
        <v>931191.33000000007</v>
      </c>
      <c r="D8" s="138" t="s">
        <v>9</v>
      </c>
      <c r="E8" s="477" t="s">
        <v>1108</v>
      </c>
      <c r="F8" s="509">
        <v>-31239.119999999999</v>
      </c>
      <c r="G8" s="508"/>
      <c r="H8" s="503">
        <v>11873.67</v>
      </c>
      <c r="I8" s="503">
        <v>950556.78</v>
      </c>
      <c r="J8" s="504"/>
      <c r="K8" s="504"/>
      <c r="L8" s="504"/>
      <c r="M8" s="505"/>
      <c r="N8" s="505"/>
      <c r="O8" s="511">
        <v>320404.36</v>
      </c>
      <c r="P8" s="509"/>
      <c r="Q8" s="504"/>
      <c r="R8" s="504"/>
      <c r="S8" s="505"/>
      <c r="T8" s="584">
        <f>31700+F8</f>
        <v>460.88000000000102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46083</v>
      </c>
      <c r="C9" s="600">
        <f t="shared" si="1"/>
        <v>2472.6200000000026</v>
      </c>
      <c r="D9" s="138" t="s">
        <v>12</v>
      </c>
      <c r="E9" s="477" t="s">
        <v>1109</v>
      </c>
      <c r="F9" s="509">
        <v>-16593.169999999998</v>
      </c>
      <c r="G9" s="508"/>
      <c r="H9" s="503">
        <v>19065.79</v>
      </c>
      <c r="I9" s="504"/>
      <c r="J9" s="504"/>
      <c r="K9" s="504"/>
      <c r="L9" s="504"/>
      <c r="M9" s="505"/>
      <c r="N9" s="505"/>
      <c r="O9" s="503"/>
      <c r="P9" s="503"/>
      <c r="Q9" s="511">
        <v>80885.25</v>
      </c>
      <c r="R9" s="504"/>
      <c r="S9" s="505"/>
      <c r="T9" s="512">
        <f>17600+F9</f>
        <v>1006.8300000000017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46083</v>
      </c>
      <c r="C10" s="600">
        <f t="shared" si="1"/>
        <v>671.95000000000437</v>
      </c>
      <c r="D10" s="138" t="s">
        <v>8</v>
      </c>
      <c r="E10" s="477" t="s">
        <v>1110</v>
      </c>
      <c r="F10" s="509">
        <v>-58279.28</v>
      </c>
      <c r="G10" s="508"/>
      <c r="H10" s="503">
        <v>505.8</v>
      </c>
      <c r="I10" s="503">
        <v>58445.43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05"/>
      <c r="T10" s="512">
        <f>78700+F10</f>
        <v>20420.72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46083</v>
      </c>
      <c r="C11" s="600">
        <f t="shared" si="1"/>
        <v>-5927.23</v>
      </c>
      <c r="D11" s="138" t="s">
        <v>481</v>
      </c>
      <c r="E11" s="478" t="s">
        <v>1112</v>
      </c>
      <c r="F11" s="592">
        <v>-2676.34</v>
      </c>
      <c r="G11" s="508"/>
      <c r="H11" s="503">
        <v>0</v>
      </c>
      <c r="I11" s="509">
        <v>-3250.89</v>
      </c>
      <c r="J11" s="504"/>
      <c r="K11" s="504"/>
      <c r="L11" s="504"/>
      <c r="M11" s="505"/>
      <c r="N11" s="505"/>
      <c r="O11" s="515"/>
      <c r="P11" s="515"/>
      <c r="Q11" s="504"/>
      <c r="R11" s="504"/>
      <c r="S11" s="505"/>
      <c r="T11" s="512">
        <f>5000+F11</f>
        <v>2323.66</v>
      </c>
      <c r="U11" s="507"/>
      <c r="V11" s="512">
        <f>30000+I11</f>
        <v>26749.11</v>
      </c>
      <c r="W11" s="513"/>
    </row>
    <row r="12" spans="1:23" x14ac:dyDescent="0.25">
      <c r="A12" s="138">
        <f t="shared" si="2"/>
        <v>10</v>
      </c>
      <c r="B12" s="602">
        <f t="shared" si="0"/>
        <v>46083</v>
      </c>
      <c r="C12" s="600">
        <f t="shared" si="1"/>
        <v>15877.75</v>
      </c>
      <c r="D12" s="138" t="s">
        <v>760</v>
      </c>
      <c r="E12" s="478" t="s">
        <v>1113</v>
      </c>
      <c r="F12" s="523">
        <v>2815.66</v>
      </c>
      <c r="G12" s="508"/>
      <c r="H12" s="523">
        <v>0</v>
      </c>
      <c r="I12" s="504"/>
      <c r="J12" s="504"/>
      <c r="K12" s="504"/>
      <c r="L12" s="504"/>
      <c r="M12" s="514">
        <v>13062.09</v>
      </c>
      <c r="N12" s="505"/>
      <c r="O12" s="504"/>
      <c r="P12" s="504"/>
      <c r="Q12" s="504"/>
      <c r="R12" s="504"/>
      <c r="S12" s="505"/>
      <c r="T12" s="584">
        <v>1600</v>
      </c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46083</v>
      </c>
      <c r="C13" s="600">
        <f t="shared" si="1"/>
        <v>2509.2799999999997</v>
      </c>
      <c r="D13" s="138" t="s">
        <v>465</v>
      </c>
      <c r="E13" s="478" t="s">
        <v>1114</v>
      </c>
      <c r="F13" s="503">
        <v>820</v>
      </c>
      <c r="G13" s="508"/>
      <c r="H13" s="503">
        <v>1689.28</v>
      </c>
      <c r="I13" s="503"/>
      <c r="J13" s="504"/>
      <c r="K13" s="504"/>
      <c r="L13" s="504"/>
      <c r="M13" s="505"/>
      <c r="N13" s="505"/>
      <c r="O13" s="504"/>
      <c r="P13" s="504"/>
      <c r="Q13" s="504"/>
      <c r="R13" s="504"/>
      <c r="S13" s="505"/>
      <c r="T13" s="507"/>
      <c r="U13" s="507"/>
      <c r="V13" s="507"/>
      <c r="W13" s="507"/>
    </row>
    <row r="14" spans="1:23" x14ac:dyDescent="0.25">
      <c r="A14" s="138">
        <f t="shared" si="2"/>
        <v>12</v>
      </c>
      <c r="B14" s="602">
        <f t="shared" si="0"/>
        <v>46083</v>
      </c>
      <c r="C14" s="600">
        <f t="shared" si="1"/>
        <v>4594.1399999999994</v>
      </c>
      <c r="D14" s="138" t="s">
        <v>13</v>
      </c>
      <c r="E14" s="478" t="s">
        <v>1115</v>
      </c>
      <c r="F14" s="503">
        <v>3112.18</v>
      </c>
      <c r="G14" s="508"/>
      <c r="H14" s="503">
        <v>1481.96</v>
      </c>
      <c r="I14" s="503"/>
      <c r="J14" s="504"/>
      <c r="K14" s="504"/>
      <c r="L14" s="504"/>
      <c r="M14" s="505"/>
      <c r="N14" s="505"/>
      <c r="O14" s="504"/>
      <c r="P14" s="504"/>
      <c r="Q14" s="504"/>
      <c r="R14" s="504"/>
      <c r="S14" s="505"/>
      <c r="T14" s="507"/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46083</v>
      </c>
      <c r="C15" s="600">
        <f t="shared" si="1"/>
        <v>0</v>
      </c>
      <c r="D15" s="138" t="s">
        <v>670</v>
      </c>
      <c r="E15" s="478" t="s">
        <v>380</v>
      </c>
      <c r="F15" s="508"/>
      <c r="G15" s="508"/>
      <c r="H15" s="519"/>
      <c r="I15" s="504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46083</v>
      </c>
      <c r="C16" s="600">
        <f t="shared" si="1"/>
        <v>-2853.73</v>
      </c>
      <c r="D16" s="138" t="s">
        <v>867</v>
      </c>
      <c r="E16" s="478" t="s">
        <v>1116</v>
      </c>
      <c r="F16" s="518"/>
      <c r="G16" s="508"/>
      <c r="H16" s="520">
        <v>-2853.73</v>
      </c>
      <c r="I16" s="504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12">
        <f>10000+H16</f>
        <v>7146.27</v>
      </c>
      <c r="V16" s="507"/>
      <c r="W16" s="507"/>
    </row>
    <row r="17" spans="1:23" x14ac:dyDescent="0.25">
      <c r="A17" s="138">
        <f t="shared" si="2"/>
        <v>15</v>
      </c>
      <c r="B17" s="602">
        <f t="shared" si="0"/>
        <v>46083</v>
      </c>
      <c r="C17" s="600">
        <f t="shared" si="1"/>
        <v>-1124.6999999999998</v>
      </c>
      <c r="D17" s="138" t="s">
        <v>482</v>
      </c>
      <c r="E17" s="478" t="s">
        <v>1117</v>
      </c>
      <c r="F17" s="508"/>
      <c r="G17" s="508"/>
      <c r="H17" s="520">
        <v>-3115.24</v>
      </c>
      <c r="I17" s="504"/>
      <c r="J17" s="504"/>
      <c r="K17" s="504"/>
      <c r="L17" s="504"/>
      <c r="M17" s="505"/>
      <c r="N17" s="514">
        <v>1990.54</v>
      </c>
      <c r="O17" s="504"/>
      <c r="P17" s="504"/>
      <c r="Q17" s="504"/>
      <c r="R17" s="504"/>
      <c r="S17" s="505"/>
      <c r="T17" s="507"/>
      <c r="U17" s="512">
        <f>20000+H17</f>
        <v>16884.760000000002</v>
      </c>
      <c r="V17" s="507"/>
      <c r="W17" s="507"/>
    </row>
    <row r="18" spans="1:23" x14ac:dyDescent="0.25">
      <c r="A18" s="138">
        <f t="shared" si="2"/>
        <v>16</v>
      </c>
      <c r="B18" s="602">
        <f t="shared" si="0"/>
        <v>46083</v>
      </c>
      <c r="C18" s="600">
        <f t="shared" si="1"/>
        <v>9664.98</v>
      </c>
      <c r="D18" s="138" t="s">
        <v>673</v>
      </c>
      <c r="E18" s="478" t="s">
        <v>1118</v>
      </c>
      <c r="F18" s="504">
        <v>9664.98</v>
      </c>
      <c r="G18" s="508"/>
      <c r="H18" s="503">
        <v>0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07"/>
      <c r="V18" s="507"/>
      <c r="W18" s="507"/>
    </row>
    <row r="19" spans="1:23" x14ac:dyDescent="0.25">
      <c r="A19" s="138">
        <f t="shared" si="2"/>
        <v>17</v>
      </c>
      <c r="B19" s="602">
        <f t="shared" si="0"/>
        <v>46083</v>
      </c>
      <c r="C19" s="600">
        <f t="shared" si="1"/>
        <v>625.91999999999996</v>
      </c>
      <c r="D19" s="138" t="s">
        <v>677</v>
      </c>
      <c r="E19" s="478" t="s">
        <v>381</v>
      </c>
      <c r="F19" s="504">
        <v>311.39999999999998</v>
      </c>
      <c r="G19" s="508"/>
      <c r="H19" s="134">
        <v>314.52</v>
      </c>
      <c r="I19" s="504"/>
      <c r="J19" s="504"/>
      <c r="K19" s="504"/>
      <c r="L19" s="504"/>
      <c r="M19" s="505"/>
      <c r="N19" s="505"/>
      <c r="O19" s="504"/>
      <c r="P19" s="504"/>
      <c r="Q19" s="504"/>
      <c r="R19" s="504"/>
      <c r="S19" s="505"/>
      <c r="T19" s="507"/>
      <c r="U19" s="507"/>
      <c r="V19" s="507"/>
      <c r="W19" s="507"/>
    </row>
    <row r="20" spans="1:23" x14ac:dyDescent="0.25">
      <c r="A20" s="138">
        <f t="shared" si="2"/>
        <v>18</v>
      </c>
      <c r="B20" s="602">
        <f t="shared" si="0"/>
        <v>46083</v>
      </c>
      <c r="C20" s="600">
        <f t="shared" si="1"/>
        <v>247.29000000000002</v>
      </c>
      <c r="D20" s="138" t="s">
        <v>678</v>
      </c>
      <c r="E20" s="478" t="s">
        <v>1119</v>
      </c>
      <c r="F20" s="504">
        <v>70.23</v>
      </c>
      <c r="G20" s="508"/>
      <c r="H20" s="503">
        <v>177.06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46083</v>
      </c>
      <c r="C21" s="600">
        <f t="shared" si="1"/>
        <v>0</v>
      </c>
      <c r="D21" s="138" t="s">
        <v>813</v>
      </c>
      <c r="E21" s="478" t="s">
        <v>1120</v>
      </c>
      <c r="F21" s="504">
        <v>0</v>
      </c>
      <c r="G21" s="508"/>
      <c r="H21" s="503">
        <v>0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46083</v>
      </c>
      <c r="C22" s="600">
        <f t="shared" si="1"/>
        <v>-97898.22</v>
      </c>
      <c r="D22" s="138" t="s">
        <v>671</v>
      </c>
      <c r="E22" s="478" t="s">
        <v>1121</v>
      </c>
      <c r="F22" s="504">
        <v>521.53</v>
      </c>
      <c r="G22" s="508"/>
      <c r="H22" s="515">
        <v>-98419.75</v>
      </c>
      <c r="I22" s="503"/>
      <c r="J22" s="503"/>
      <c r="K22" s="504"/>
      <c r="L22" s="503"/>
      <c r="M22" s="505"/>
      <c r="N22" s="505"/>
      <c r="O22" s="504"/>
      <c r="P22" s="504"/>
      <c r="Q22" s="504"/>
      <c r="R22" s="504"/>
      <c r="S22" s="505"/>
      <c r="T22" s="507"/>
      <c r="U22" s="512">
        <f>100000+H22</f>
        <v>1580.25</v>
      </c>
      <c r="V22" s="513"/>
      <c r="W22" s="513"/>
    </row>
    <row r="23" spans="1:23" x14ac:dyDescent="0.25">
      <c r="A23" s="138">
        <f t="shared" si="2"/>
        <v>21</v>
      </c>
      <c r="B23" s="602">
        <f t="shared" si="0"/>
        <v>46083</v>
      </c>
      <c r="C23" s="600">
        <f t="shared" si="1"/>
        <v>-39768.54</v>
      </c>
      <c r="D23" s="138" t="s">
        <v>1122</v>
      </c>
      <c r="E23" s="479" t="s">
        <v>1122</v>
      </c>
      <c r="F23" s="508"/>
      <c r="G23" s="508"/>
      <c r="H23" s="521">
        <v>-39768.54</v>
      </c>
      <c r="I23" s="522"/>
      <c r="J23" s="522"/>
      <c r="K23" s="522"/>
      <c r="L23" s="522"/>
      <c r="M23" s="522"/>
      <c r="N23" s="522"/>
      <c r="O23" s="522"/>
      <c r="P23" s="522"/>
      <c r="Q23" s="504"/>
      <c r="R23" s="504"/>
      <c r="S23" s="505"/>
      <c r="T23" s="507"/>
      <c r="U23" s="512">
        <f>40000+H23</f>
        <v>231.45999999999913</v>
      </c>
      <c r="V23" s="513"/>
      <c r="W23" s="513"/>
    </row>
    <row r="24" spans="1:23" x14ac:dyDescent="0.25">
      <c r="A24" s="138">
        <f t="shared" si="2"/>
        <v>22</v>
      </c>
      <c r="B24" s="602">
        <f t="shared" si="0"/>
        <v>46083</v>
      </c>
      <c r="C24" s="600">
        <f t="shared" si="1"/>
        <v>9855.07</v>
      </c>
      <c r="D24" s="138" t="s">
        <v>857</v>
      </c>
      <c r="E24" s="478" t="s">
        <v>1123</v>
      </c>
      <c r="F24" s="504">
        <v>1814.61</v>
      </c>
      <c r="G24" s="508"/>
      <c r="H24" s="503">
        <v>8040.46</v>
      </c>
      <c r="I24" s="503"/>
      <c r="J24" s="503"/>
      <c r="K24" s="503"/>
      <c r="L24" s="503"/>
      <c r="M24" s="505"/>
      <c r="N24" s="505"/>
      <c r="O24" s="504"/>
      <c r="P24" s="504"/>
      <c r="Q24" s="504"/>
      <c r="R24" s="504"/>
      <c r="S24" s="505"/>
      <c r="T24" s="507"/>
      <c r="U24" s="507"/>
      <c r="V24" s="507"/>
      <c r="W24" s="507"/>
    </row>
    <row r="25" spans="1:23" x14ac:dyDescent="0.25">
      <c r="A25" s="138">
        <f t="shared" si="2"/>
        <v>23</v>
      </c>
      <c r="B25" s="602">
        <f t="shared" si="0"/>
        <v>46083</v>
      </c>
      <c r="C25" s="600">
        <f t="shared" si="1"/>
        <v>1734.24</v>
      </c>
      <c r="D25" s="138" t="s">
        <v>889</v>
      </c>
      <c r="E25" s="478" t="s">
        <v>1124</v>
      </c>
      <c r="F25" s="508"/>
      <c r="G25" s="508"/>
      <c r="H25" s="503">
        <v>1734.24</v>
      </c>
      <c r="I25" s="503"/>
      <c r="J25" s="503"/>
      <c r="K25" s="503"/>
      <c r="L25" s="503"/>
      <c r="M25" s="505"/>
      <c r="N25" s="505"/>
      <c r="O25" s="504"/>
      <c r="P25" s="504"/>
      <c r="Q25" s="504"/>
      <c r="R25" s="504"/>
      <c r="S25" s="505"/>
      <c r="T25" s="507"/>
      <c r="U25" s="507"/>
      <c r="V25" s="507"/>
      <c r="W25" s="507"/>
    </row>
    <row r="26" spans="1:23" x14ac:dyDescent="0.25">
      <c r="A26" s="138">
        <f t="shared" si="2"/>
        <v>24</v>
      </c>
      <c r="B26" s="602">
        <f t="shared" si="0"/>
        <v>46083</v>
      </c>
      <c r="C26" s="600">
        <f t="shared" si="1"/>
        <v>0</v>
      </c>
      <c r="D26" s="138" t="s">
        <v>863</v>
      </c>
      <c r="E26" s="478" t="s">
        <v>1125</v>
      </c>
      <c r="F26" s="508"/>
      <c r="G26" s="508"/>
      <c r="H26" s="504"/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x14ac:dyDescent="0.25">
      <c r="E27" s="480"/>
      <c r="F27" s="526">
        <f t="shared" ref="F27:N27" si="3">SUM(F3:F26)</f>
        <v>339890.41</v>
      </c>
      <c r="G27" s="526">
        <f t="shared" si="3"/>
        <v>66433.8</v>
      </c>
      <c r="H27" s="526">
        <f t="shared" si="3"/>
        <v>-91845.63</v>
      </c>
      <c r="I27" s="526">
        <f t="shared" si="3"/>
        <v>977258.24000000011</v>
      </c>
      <c r="J27" s="526">
        <f t="shared" si="3"/>
        <v>0</v>
      </c>
      <c r="K27" s="526">
        <f t="shared" si="3"/>
        <v>0</v>
      </c>
      <c r="L27" s="526">
        <f t="shared" si="3"/>
        <v>-977.54</v>
      </c>
      <c r="M27" s="526">
        <f t="shared" si="3"/>
        <v>13062.09</v>
      </c>
      <c r="N27" s="526">
        <f t="shared" si="3"/>
        <v>1990.54</v>
      </c>
      <c r="O27" s="526">
        <v>0</v>
      </c>
      <c r="P27" s="526">
        <f>SUM(P3:P26)</f>
        <v>0</v>
      </c>
      <c r="Q27" s="526">
        <v>0</v>
      </c>
      <c r="R27" s="526">
        <f t="shared" ref="R27:W27" si="4">SUM(R3:R26)</f>
        <v>1234.05</v>
      </c>
      <c r="S27" s="526">
        <f t="shared" si="4"/>
        <v>0</v>
      </c>
      <c r="T27" s="526">
        <f t="shared" si="4"/>
        <v>90139.890000000014</v>
      </c>
      <c r="U27" s="526">
        <f t="shared" si="4"/>
        <v>25842.74</v>
      </c>
      <c r="V27" s="526">
        <f t="shared" si="4"/>
        <v>47224.46</v>
      </c>
      <c r="W27" s="526">
        <f t="shared" si="4"/>
        <v>0</v>
      </c>
    </row>
    <row r="28" spans="1:23" x14ac:dyDescent="0.25">
      <c r="C28" s="601">
        <f>SUM(C3:C26)</f>
        <v>1305811.9100000001</v>
      </c>
      <c r="E28" s="480"/>
      <c r="F28" s="480"/>
      <c r="G28" s="480"/>
      <c r="H28" s="480"/>
      <c r="I28" s="483" t="s">
        <v>1126</v>
      </c>
      <c r="J28" s="527">
        <f>SUM(F27:N27)</f>
        <v>1305811.9100000001</v>
      </c>
      <c r="K28" s="482"/>
      <c r="L28" s="480"/>
      <c r="M28" s="481"/>
      <c r="N28" s="481"/>
      <c r="O28" s="480"/>
      <c r="P28" s="480"/>
      <c r="Q28" s="480"/>
      <c r="R28" s="480"/>
      <c r="S28" s="480"/>
      <c r="T28" s="480"/>
      <c r="U28" s="480"/>
      <c r="V28" s="480"/>
      <c r="W28" s="480"/>
    </row>
    <row r="29" spans="1:23" ht="30" x14ac:dyDescent="0.25">
      <c r="E29" s="480"/>
      <c r="F29" s="480"/>
      <c r="G29" s="480"/>
      <c r="H29" s="480"/>
      <c r="I29" s="485" t="s">
        <v>1127</v>
      </c>
      <c r="J29" s="528">
        <f>SUM(F3,G3,H3,F4,F6,H5,H6,I4,I8,I10,H10,H9,H8,F12,F13,F14,H13,F18,H14,H19,H20,F19,F20,F22,F24,H24,H25)</f>
        <v>1660580.9700000002</v>
      </c>
      <c r="K29" s="482"/>
      <c r="L29" s="480"/>
      <c r="M29" s="481"/>
      <c r="N29" s="481"/>
      <c r="O29" s="480"/>
      <c r="P29" s="480"/>
      <c r="Q29" s="480"/>
      <c r="R29" s="480"/>
      <c r="S29" s="480"/>
      <c r="T29" s="480"/>
      <c r="U29" s="480"/>
      <c r="V29" s="480"/>
      <c r="W29" s="480"/>
    </row>
    <row r="30" spans="1:23" x14ac:dyDescent="0.25">
      <c r="E30" s="480"/>
      <c r="F30" s="480"/>
      <c r="G30" s="480"/>
      <c r="H30" s="480"/>
      <c r="I30" s="483"/>
      <c r="J30" s="527"/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x14ac:dyDescent="0.25">
      <c r="E31" s="480"/>
      <c r="F31" s="480"/>
      <c r="G31" s="480"/>
      <c r="H31" s="480"/>
      <c r="I31" s="486" t="s">
        <v>1128</v>
      </c>
      <c r="J31" s="527"/>
      <c r="K31" s="484"/>
      <c r="M31" s="487"/>
      <c r="N31" s="487" t="s">
        <v>1220</v>
      </c>
      <c r="O31" s="134" t="s">
        <v>1221</v>
      </c>
      <c r="P31" s="480"/>
      <c r="Q31" s="480"/>
      <c r="R31" s="480"/>
      <c r="S31" s="480"/>
      <c r="T31" s="480"/>
      <c r="U31" s="480"/>
      <c r="V31" s="480"/>
      <c r="W31" s="586">
        <f>T27+U27+V27+W27</f>
        <v>163207.09000000003</v>
      </c>
    </row>
    <row r="32" spans="1:23" x14ac:dyDescent="0.25">
      <c r="E32" s="480"/>
      <c r="F32" s="480"/>
      <c r="G32" s="480"/>
      <c r="H32" s="480"/>
      <c r="I32" s="488" t="s">
        <v>1222</v>
      </c>
      <c r="J32" s="587"/>
      <c r="K32" s="490"/>
      <c r="L32" s="563"/>
      <c r="N32" s="481" t="s">
        <v>1230</v>
      </c>
      <c r="O32" s="525"/>
      <c r="P32" s="491">
        <v>46083</v>
      </c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0"/>
      <c r="G33" s="480"/>
      <c r="H33" s="480"/>
      <c r="I33" s="492" t="s">
        <v>1231</v>
      </c>
      <c r="J33" s="587">
        <v>492800</v>
      </c>
      <c r="K33" s="490">
        <v>46086</v>
      </c>
      <c r="L33" s="563"/>
      <c r="M33" s="480"/>
      <c r="N33" s="481" t="s">
        <v>1232</v>
      </c>
      <c r="O33" s="525">
        <v>330000</v>
      </c>
      <c r="P33" s="491">
        <v>46084</v>
      </c>
      <c r="Q33" s="480"/>
      <c r="R33" s="480"/>
      <c r="S33" s="480"/>
      <c r="T33" s="480"/>
      <c r="U33" s="480"/>
      <c r="V33" s="480"/>
      <c r="W33" s="480"/>
    </row>
    <row r="34" spans="5:23" x14ac:dyDescent="0.25">
      <c r="E34" s="480"/>
      <c r="F34" s="480"/>
      <c r="G34" s="480"/>
      <c r="H34" s="480"/>
      <c r="I34" s="488" t="s">
        <v>1233</v>
      </c>
      <c r="J34" s="587">
        <v>270000</v>
      </c>
      <c r="K34" s="490">
        <v>46086</v>
      </c>
      <c r="L34" s="564"/>
      <c r="M34" s="480"/>
      <c r="N34" s="481"/>
      <c r="O34" s="525"/>
      <c r="P34" s="480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0"/>
      <c r="G35" s="480"/>
      <c r="H35" s="480"/>
      <c r="I35" s="488" t="s">
        <v>1228</v>
      </c>
      <c r="J35" s="587">
        <v>205168.95</v>
      </c>
      <c r="K35" s="490"/>
      <c r="L35" s="564"/>
      <c r="M35" s="480"/>
      <c r="N35" s="481"/>
      <c r="O35" s="525"/>
      <c r="P35" s="480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0"/>
      <c r="G36" s="480"/>
      <c r="H36" s="480"/>
      <c r="I36" s="488" t="s">
        <v>1234</v>
      </c>
      <c r="J36" s="587"/>
      <c r="K36" s="490"/>
      <c r="L36" s="564"/>
      <c r="M36" s="480"/>
      <c r="N36" s="481"/>
      <c r="O36" s="525"/>
      <c r="P36" s="480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0"/>
      <c r="G37" s="480"/>
      <c r="H37" s="480"/>
      <c r="I37" s="488" t="s">
        <v>1235</v>
      </c>
      <c r="J37" s="587"/>
      <c r="K37" s="490"/>
      <c r="L37" s="564"/>
      <c r="M37" s="480"/>
      <c r="N37" s="481"/>
      <c r="O37" s="525"/>
      <c r="P37" s="480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0"/>
      <c r="G38" s="480"/>
      <c r="H38" s="480"/>
      <c r="I38" s="488" t="s">
        <v>1136</v>
      </c>
      <c r="J38" s="587"/>
      <c r="K38" s="490"/>
      <c r="L38" s="564"/>
      <c r="M38" s="480"/>
      <c r="N38" s="481"/>
      <c r="O38" s="525"/>
      <c r="P38" s="480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0"/>
      <c r="G39" s="480"/>
      <c r="H39" s="480"/>
      <c r="I39" s="488" t="s">
        <v>1138</v>
      </c>
      <c r="J39" s="587">
        <v>145000</v>
      </c>
      <c r="K39" s="490">
        <v>46071</v>
      </c>
      <c r="L39" s="564" t="s">
        <v>1229</v>
      </c>
      <c r="M39" s="480"/>
      <c r="N39" s="481"/>
      <c r="O39" s="525"/>
      <c r="P39" s="480"/>
      <c r="Q39" s="480"/>
      <c r="R39" s="480"/>
      <c r="S39" s="480"/>
      <c r="T39" s="480"/>
      <c r="U39" s="480"/>
      <c r="V39" s="480"/>
      <c r="W39" s="480"/>
    </row>
    <row r="40" spans="5:23" ht="45" x14ac:dyDescent="0.25">
      <c r="E40" s="480"/>
      <c r="F40" s="480"/>
      <c r="G40" s="480"/>
      <c r="H40" s="480"/>
      <c r="I40" s="501" t="s">
        <v>1139</v>
      </c>
      <c r="J40" s="594">
        <f>J29-J32-J33-J34-J35-J38-J39-J36-J37</f>
        <v>547612.02000000025</v>
      </c>
      <c r="K40" s="565"/>
      <c r="L40" s="566"/>
      <c r="M40" s="498"/>
      <c r="N40" s="498"/>
      <c r="O40" s="594">
        <f>O32+O33+O34+O35+O36+O37+O38+O39</f>
        <v>330000</v>
      </c>
      <c r="P40" s="480"/>
      <c r="Q40" s="480"/>
      <c r="R40" s="480"/>
      <c r="S40" s="480"/>
      <c r="T40" s="480"/>
      <c r="U40" s="480"/>
      <c r="V40" s="480"/>
      <c r="W40" s="480"/>
    </row>
    <row r="41" spans="5:23" x14ac:dyDescent="0.25">
      <c r="J41" s="134"/>
      <c r="O41" s="500"/>
    </row>
    <row r="42" spans="5:23" x14ac:dyDescent="0.25">
      <c r="J42" s="595">
        <f>O40+J40</f>
        <v>877612.02000000025</v>
      </c>
    </row>
  </sheetData>
  <mergeCells count="2">
    <mergeCell ref="O1:S1"/>
    <mergeCell ref="T1:W1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C8" formulaRange="1"/>
  </ignoredErrors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3C10-1D7D-458C-8A9B-8858A687D49A}">
  <sheetPr>
    <tabColor theme="9" tint="0.39997558519241921"/>
  </sheetPr>
  <dimension ref="A1:W44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23" width="15.7109375" customWidth="1"/>
  </cols>
  <sheetData>
    <row r="1" spans="1:23" x14ac:dyDescent="0.25">
      <c r="E1" s="466" t="s">
        <v>1086</v>
      </c>
      <c r="F1" s="468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46114</v>
      </c>
      <c r="F2" s="471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2" t="s">
        <v>1093</v>
      </c>
      <c r="M2" s="473" t="s">
        <v>1094</v>
      </c>
      <c r="N2" s="473" t="s">
        <v>1095</v>
      </c>
      <c r="O2" s="474" t="s">
        <v>835</v>
      </c>
      <c r="P2" s="474" t="s">
        <v>483</v>
      </c>
      <c r="Q2" s="475" t="s">
        <v>1096</v>
      </c>
      <c r="R2" s="475" t="s">
        <v>1097</v>
      </c>
      <c r="S2" s="475" t="s">
        <v>1098</v>
      </c>
      <c r="T2" s="476" t="s">
        <v>1099</v>
      </c>
      <c r="U2" s="476" t="s">
        <v>1100</v>
      </c>
      <c r="V2" s="476" t="s">
        <v>1101</v>
      </c>
      <c r="W2" s="476" t="s">
        <v>1102</v>
      </c>
    </row>
    <row r="3" spans="1:23" x14ac:dyDescent="0.25">
      <c r="A3" s="138">
        <v>1</v>
      </c>
      <c r="B3" s="602">
        <f>$E$2</f>
        <v>46114</v>
      </c>
      <c r="C3" s="600">
        <f>SUM(F3:N3)</f>
        <v>202533.68999999997</v>
      </c>
      <c r="D3" s="138" t="s">
        <v>11</v>
      </c>
      <c r="E3" s="477" t="s">
        <v>1103</v>
      </c>
      <c r="F3" s="503">
        <v>2578.61</v>
      </c>
      <c r="G3" s="503">
        <v>199834.71</v>
      </c>
      <c r="H3" s="503">
        <v>120.37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8" si="0">$E$2</f>
        <v>46114</v>
      </c>
      <c r="C4" s="600">
        <f t="shared" ref="C4:C28" si="1">SUM(F4:N4)</f>
        <v>61806.85</v>
      </c>
      <c r="D4" s="138" t="s">
        <v>7</v>
      </c>
      <c r="E4" s="477" t="s">
        <v>1104</v>
      </c>
      <c r="F4" s="503">
        <v>49723.1</v>
      </c>
      <c r="G4" s="508"/>
      <c r="H4" s="503">
        <v>5.0199999999999996</v>
      </c>
      <c r="I4" s="503">
        <v>8610.8700000000008</v>
      </c>
      <c r="J4" s="503">
        <v>0</v>
      </c>
      <c r="K4" s="503">
        <v>0</v>
      </c>
      <c r="L4" s="510">
        <v>3467.86</v>
      </c>
      <c r="M4" s="505"/>
      <c r="N4" s="505"/>
      <c r="O4" s="509"/>
      <c r="P4" s="509"/>
      <c r="Q4" s="504"/>
      <c r="R4" s="511">
        <v>1234.05</v>
      </c>
      <c r="S4" s="514">
        <v>528042</v>
      </c>
      <c r="T4" s="584">
        <f>50000</f>
        <v>50000</v>
      </c>
      <c r="U4" s="512">
        <v>0</v>
      </c>
      <c r="V4" s="584">
        <v>5754.24</v>
      </c>
      <c r="W4" s="512">
        <v>0</v>
      </c>
    </row>
    <row r="5" spans="1:23" x14ac:dyDescent="0.25">
      <c r="A5" s="138">
        <f t="shared" ref="A5:A28" si="2">A4+1</f>
        <v>3</v>
      </c>
      <c r="B5" s="602">
        <f t="shared" si="0"/>
        <v>46114</v>
      </c>
      <c r="C5" s="600">
        <f t="shared" si="1"/>
        <v>-120162.23999999999</v>
      </c>
      <c r="D5" s="138" t="s">
        <v>479</v>
      </c>
      <c r="E5" s="478" t="s">
        <v>1105</v>
      </c>
      <c r="F5" s="509">
        <v>-78323.679999999993</v>
      </c>
      <c r="G5" s="508"/>
      <c r="H5" s="503">
        <v>1146.5999999999999</v>
      </c>
      <c r="I5" s="509">
        <v>-42985.16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12">
        <f>88000+F5</f>
        <v>9676.320000000007</v>
      </c>
      <c r="U5" s="507"/>
      <c r="V5" s="512">
        <f>50000+I5</f>
        <v>7014.8399999999965</v>
      </c>
      <c r="W5" s="513"/>
    </row>
    <row r="6" spans="1:23" x14ac:dyDescent="0.25">
      <c r="A6" s="138">
        <f t="shared" si="2"/>
        <v>4</v>
      </c>
      <c r="B6" s="602">
        <f t="shared" si="0"/>
        <v>46114</v>
      </c>
      <c r="C6" s="600">
        <f t="shared" si="1"/>
        <v>10938.32</v>
      </c>
      <c r="D6" s="138" t="s">
        <v>10</v>
      </c>
      <c r="E6" s="478" t="s">
        <v>1106</v>
      </c>
      <c r="F6" s="503">
        <v>3013.36</v>
      </c>
      <c r="G6" s="508"/>
      <c r="H6" s="503">
        <v>7924.96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84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46114</v>
      </c>
      <c r="C7" s="600">
        <f t="shared" si="1"/>
        <v>1865.08</v>
      </c>
      <c r="D7" s="138" t="s">
        <v>909</v>
      </c>
      <c r="E7" s="478" t="s">
        <v>1107</v>
      </c>
      <c r="F7" s="503">
        <v>1865.08</v>
      </c>
      <c r="G7" s="508"/>
      <c r="H7" s="503">
        <v>0</v>
      </c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46114</v>
      </c>
      <c r="C8" s="600">
        <f t="shared" si="1"/>
        <v>358511.69</v>
      </c>
      <c r="D8" s="138" t="s">
        <v>9</v>
      </c>
      <c r="E8" s="477" t="s">
        <v>1108</v>
      </c>
      <c r="F8" s="503">
        <v>151601.06</v>
      </c>
      <c r="G8" s="508"/>
      <c r="H8" s="503">
        <v>5263.03</v>
      </c>
      <c r="I8" s="503">
        <v>201647.6</v>
      </c>
      <c r="J8" s="504"/>
      <c r="K8" s="504"/>
      <c r="L8" s="504"/>
      <c r="M8" s="505"/>
      <c r="N8" s="505"/>
      <c r="O8" s="511">
        <v>19517.830000000002</v>
      </c>
      <c r="P8" s="509"/>
      <c r="Q8" s="504"/>
      <c r="R8" s="504"/>
      <c r="S8" s="505"/>
      <c r="T8" s="584">
        <f>31700</f>
        <v>31700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46114</v>
      </c>
      <c r="C9" s="600">
        <f t="shared" si="1"/>
        <v>1482505.38</v>
      </c>
      <c r="D9" s="138" t="s">
        <v>12</v>
      </c>
      <c r="E9" s="477" t="s">
        <v>1109</v>
      </c>
      <c r="F9" s="503">
        <v>7636.68</v>
      </c>
      <c r="G9" s="508"/>
      <c r="H9" s="503">
        <v>1474868.7</v>
      </c>
      <c r="I9" s="504"/>
      <c r="J9" s="504"/>
      <c r="K9" s="504"/>
      <c r="L9" s="504"/>
      <c r="M9" s="505"/>
      <c r="N9" s="505"/>
      <c r="O9" s="503"/>
      <c r="P9" s="503"/>
      <c r="Q9" s="511">
        <v>248612.34</v>
      </c>
      <c r="R9" s="504"/>
      <c r="S9" s="505"/>
      <c r="T9" s="512">
        <f>17600</f>
        <v>17600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46114</v>
      </c>
      <c r="C10" s="600">
        <f t="shared" si="1"/>
        <v>21770.19</v>
      </c>
      <c r="D10" s="138" t="s">
        <v>8</v>
      </c>
      <c r="E10" s="477" t="s">
        <v>1110</v>
      </c>
      <c r="F10" s="509">
        <v>-6641.59</v>
      </c>
      <c r="G10" s="508"/>
      <c r="H10" s="503">
        <v>161.16</v>
      </c>
      <c r="I10" s="503">
        <v>28250.62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05"/>
      <c r="T10" s="512">
        <f>78700+F10</f>
        <v>72058.41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46114</v>
      </c>
      <c r="C11" s="600">
        <f t="shared" si="1"/>
        <v>0</v>
      </c>
      <c r="D11" s="138" t="s">
        <v>1261</v>
      </c>
      <c r="E11" s="477" t="s">
        <v>348</v>
      </c>
      <c r="F11" s="508"/>
      <c r="G11" s="508"/>
      <c r="H11" s="503">
        <v>0</v>
      </c>
      <c r="I11" s="503"/>
      <c r="J11" s="504"/>
      <c r="K11" s="504"/>
      <c r="L11" s="504"/>
      <c r="M11" s="505"/>
      <c r="N11" s="505"/>
      <c r="O11" s="509"/>
      <c r="P11" s="509"/>
      <c r="Q11" s="504"/>
      <c r="R11" s="504"/>
      <c r="S11" s="505"/>
      <c r="T11" s="507"/>
      <c r="U11" s="507"/>
      <c r="V11" s="507"/>
      <c r="W11" s="507"/>
    </row>
    <row r="12" spans="1:23" x14ac:dyDescent="0.25">
      <c r="A12" s="138">
        <f t="shared" si="2"/>
        <v>10</v>
      </c>
      <c r="B12" s="602">
        <f t="shared" si="0"/>
        <v>46114</v>
      </c>
      <c r="C12" s="600">
        <f t="shared" si="1"/>
        <v>0</v>
      </c>
      <c r="D12" s="138" t="s">
        <v>1271</v>
      </c>
      <c r="E12" s="477" t="s">
        <v>1111</v>
      </c>
      <c r="F12" s="508"/>
      <c r="G12" s="508"/>
      <c r="H12" s="503">
        <v>0</v>
      </c>
      <c r="I12" s="503"/>
      <c r="J12" s="504"/>
      <c r="K12" s="504"/>
      <c r="L12" s="504"/>
      <c r="M12" s="505"/>
      <c r="N12" s="505"/>
      <c r="O12" s="509"/>
      <c r="P12" s="509"/>
      <c r="Q12" s="504"/>
      <c r="R12" s="504"/>
      <c r="S12" s="505"/>
      <c r="T12" s="507"/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46114</v>
      </c>
      <c r="C13" s="600">
        <f t="shared" si="1"/>
        <v>-27696.14</v>
      </c>
      <c r="D13" s="138" t="s">
        <v>481</v>
      </c>
      <c r="E13" s="478" t="s">
        <v>1112</v>
      </c>
      <c r="F13" s="509">
        <v>-611</v>
      </c>
      <c r="G13" s="508"/>
      <c r="H13" s="503">
        <v>0</v>
      </c>
      <c r="I13" s="509">
        <v>-27085.14</v>
      </c>
      <c r="J13" s="504"/>
      <c r="K13" s="504"/>
      <c r="L13" s="504"/>
      <c r="M13" s="505"/>
      <c r="N13" s="505"/>
      <c r="O13" s="515"/>
      <c r="P13" s="515"/>
      <c r="Q13" s="504"/>
      <c r="R13" s="504"/>
      <c r="S13" s="505"/>
      <c r="T13" s="512">
        <f>5000+F13</f>
        <v>4389</v>
      </c>
      <c r="U13" s="507"/>
      <c r="V13" s="512">
        <f>30000+I13</f>
        <v>2914.8600000000006</v>
      </c>
      <c r="W13" s="513"/>
    </row>
    <row r="14" spans="1:23" x14ac:dyDescent="0.25">
      <c r="A14" s="138">
        <f t="shared" si="2"/>
        <v>12</v>
      </c>
      <c r="B14" s="602">
        <f t="shared" si="0"/>
        <v>46114</v>
      </c>
      <c r="C14" s="600">
        <f t="shared" si="1"/>
        <v>7529.8899999999994</v>
      </c>
      <c r="D14" s="138" t="s">
        <v>760</v>
      </c>
      <c r="E14" s="478" t="s">
        <v>1113</v>
      </c>
      <c r="F14" s="596">
        <v>2152.6999999999998</v>
      </c>
      <c r="G14" s="508"/>
      <c r="H14" s="503">
        <v>0</v>
      </c>
      <c r="I14" s="504"/>
      <c r="J14" s="504"/>
      <c r="K14" s="504"/>
      <c r="L14" s="504"/>
      <c r="M14" s="514">
        <v>5377.19</v>
      </c>
      <c r="N14" s="505"/>
      <c r="O14" s="504"/>
      <c r="P14" s="504"/>
      <c r="Q14" s="504"/>
      <c r="R14" s="504"/>
      <c r="S14" s="505"/>
      <c r="T14" s="589">
        <f>1600</f>
        <v>1600</v>
      </c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46114</v>
      </c>
      <c r="C15" s="600">
        <f t="shared" si="1"/>
        <v>9273.6299999999992</v>
      </c>
      <c r="D15" s="138" t="s">
        <v>465</v>
      </c>
      <c r="E15" s="478" t="s">
        <v>1114</v>
      </c>
      <c r="F15" s="503">
        <v>7113.03</v>
      </c>
      <c r="G15" s="508"/>
      <c r="H15" s="503">
        <v>2160.6</v>
      </c>
      <c r="I15" s="503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46114</v>
      </c>
      <c r="C16" s="600">
        <f t="shared" si="1"/>
        <v>1006435.56</v>
      </c>
      <c r="D16" s="138" t="s">
        <v>13</v>
      </c>
      <c r="E16" s="478" t="s">
        <v>1115</v>
      </c>
      <c r="F16" s="503">
        <v>640.67999999999995</v>
      </c>
      <c r="G16" s="508"/>
      <c r="H16" s="503">
        <v>1005794.88</v>
      </c>
      <c r="I16" s="503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07"/>
      <c r="V16" s="507"/>
      <c r="W16" s="507"/>
    </row>
    <row r="17" spans="1:23" x14ac:dyDescent="0.25">
      <c r="A17" s="138">
        <f t="shared" si="2"/>
        <v>15</v>
      </c>
      <c r="B17" s="602">
        <f t="shared" si="0"/>
        <v>46114</v>
      </c>
      <c r="C17" s="600">
        <f t="shared" si="1"/>
        <v>74.87</v>
      </c>
      <c r="D17" s="138" t="s">
        <v>670</v>
      </c>
      <c r="E17" s="478" t="s">
        <v>380</v>
      </c>
      <c r="F17" s="508"/>
      <c r="G17" s="508"/>
      <c r="H17" s="519">
        <v>74.87</v>
      </c>
      <c r="I17" s="504"/>
      <c r="J17" s="504"/>
      <c r="K17" s="504"/>
      <c r="L17" s="504"/>
      <c r="M17" s="505"/>
      <c r="N17" s="505"/>
      <c r="O17" s="504"/>
      <c r="P17" s="504"/>
      <c r="Q17" s="504"/>
      <c r="R17" s="504"/>
      <c r="S17" s="505"/>
      <c r="T17" s="507"/>
      <c r="U17" s="507"/>
      <c r="V17" s="507"/>
      <c r="W17" s="507"/>
    </row>
    <row r="18" spans="1:23" x14ac:dyDescent="0.25">
      <c r="A18" s="138">
        <f t="shared" si="2"/>
        <v>16</v>
      </c>
      <c r="B18" s="602">
        <f t="shared" si="0"/>
        <v>46114</v>
      </c>
      <c r="C18" s="600">
        <f t="shared" si="1"/>
        <v>-1501.78</v>
      </c>
      <c r="D18" s="138" t="s">
        <v>867</v>
      </c>
      <c r="E18" s="478" t="s">
        <v>1116</v>
      </c>
      <c r="F18" s="518"/>
      <c r="G18" s="508"/>
      <c r="H18" s="520">
        <v>-1501.78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12">
        <f>10000+H18</f>
        <v>8498.2199999999993</v>
      </c>
      <c r="V18" s="507"/>
      <c r="W18" s="507"/>
    </row>
    <row r="19" spans="1:23" x14ac:dyDescent="0.25">
      <c r="A19" s="138">
        <f t="shared" si="2"/>
        <v>17</v>
      </c>
      <c r="B19" s="602">
        <f t="shared" si="0"/>
        <v>46114</v>
      </c>
      <c r="C19" s="600">
        <f t="shared" si="1"/>
        <v>-1776.1599999999999</v>
      </c>
      <c r="D19" s="138" t="s">
        <v>482</v>
      </c>
      <c r="E19" s="478" t="s">
        <v>1117</v>
      </c>
      <c r="F19" s="508"/>
      <c r="G19" s="508"/>
      <c r="H19" s="520">
        <v>-6760.16</v>
      </c>
      <c r="I19" s="504"/>
      <c r="J19" s="504"/>
      <c r="K19" s="504"/>
      <c r="L19" s="504"/>
      <c r="M19" s="505"/>
      <c r="N19" s="514">
        <v>4984</v>
      </c>
      <c r="O19" s="504"/>
      <c r="P19" s="504"/>
      <c r="Q19" s="504"/>
      <c r="R19" s="504"/>
      <c r="S19" s="505"/>
      <c r="T19" s="507"/>
      <c r="U19" s="512">
        <f>20000+H19</f>
        <v>13239.84</v>
      </c>
      <c r="V19" s="507"/>
      <c r="W19" s="507"/>
    </row>
    <row r="20" spans="1:23" x14ac:dyDescent="0.25">
      <c r="A20" s="138">
        <f t="shared" si="2"/>
        <v>18</v>
      </c>
      <c r="B20" s="602">
        <f t="shared" si="0"/>
        <v>46114</v>
      </c>
      <c r="C20" s="600">
        <f t="shared" si="1"/>
        <v>19544.72</v>
      </c>
      <c r="D20" s="138" t="s">
        <v>673</v>
      </c>
      <c r="E20" s="478" t="s">
        <v>1118</v>
      </c>
      <c r="F20" s="504">
        <v>19544.72</v>
      </c>
      <c r="G20" s="508"/>
      <c r="H20" s="503">
        <v>0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46114</v>
      </c>
      <c r="C21" s="600">
        <f t="shared" si="1"/>
        <v>477.69</v>
      </c>
      <c r="D21" s="138" t="s">
        <v>677</v>
      </c>
      <c r="E21" s="478" t="s">
        <v>381</v>
      </c>
      <c r="F21" s="504">
        <v>238.94</v>
      </c>
      <c r="G21" s="508"/>
      <c r="H21" s="134">
        <v>238.75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46114</v>
      </c>
      <c r="C22" s="600">
        <f t="shared" si="1"/>
        <v>1246.0999999999999</v>
      </c>
      <c r="D22" s="138" t="s">
        <v>678</v>
      </c>
      <c r="E22" s="478" t="s">
        <v>1119</v>
      </c>
      <c r="F22" s="504">
        <v>1136.97</v>
      </c>
      <c r="G22" s="508"/>
      <c r="H22" s="503">
        <v>109.13</v>
      </c>
      <c r="I22" s="504"/>
      <c r="J22" s="504"/>
      <c r="K22" s="504"/>
      <c r="L22" s="504"/>
      <c r="M22" s="505"/>
      <c r="N22" s="505"/>
      <c r="O22" s="504"/>
      <c r="P22" s="504"/>
      <c r="Q22" s="504"/>
      <c r="R22" s="504"/>
      <c r="S22" s="505"/>
      <c r="T22" s="507"/>
      <c r="U22" s="507"/>
      <c r="V22" s="507"/>
      <c r="W22" s="507"/>
    </row>
    <row r="23" spans="1:23" x14ac:dyDescent="0.25">
      <c r="A23" s="138">
        <f t="shared" si="2"/>
        <v>21</v>
      </c>
      <c r="B23" s="602">
        <f t="shared" si="0"/>
        <v>46114</v>
      </c>
      <c r="C23" s="600">
        <f t="shared" si="1"/>
        <v>0</v>
      </c>
      <c r="D23" s="138" t="s">
        <v>813</v>
      </c>
      <c r="E23" s="478" t="s">
        <v>1120</v>
      </c>
      <c r="F23" s="504">
        <v>0</v>
      </c>
      <c r="G23" s="508"/>
      <c r="H23" s="503">
        <v>0</v>
      </c>
      <c r="I23" s="504"/>
      <c r="J23" s="504"/>
      <c r="K23" s="504"/>
      <c r="L23" s="504"/>
      <c r="M23" s="505"/>
      <c r="N23" s="505"/>
      <c r="O23" s="504"/>
      <c r="P23" s="504"/>
      <c r="Q23" s="504"/>
      <c r="R23" s="504"/>
      <c r="S23" s="505"/>
      <c r="T23" s="507"/>
      <c r="U23" s="507"/>
      <c r="V23" s="507"/>
      <c r="W23" s="507"/>
    </row>
    <row r="24" spans="1:23" x14ac:dyDescent="0.25">
      <c r="A24" s="138">
        <f t="shared" si="2"/>
        <v>22</v>
      </c>
      <c r="B24" s="602">
        <f t="shared" si="0"/>
        <v>46114</v>
      </c>
      <c r="C24" s="600">
        <f t="shared" si="1"/>
        <v>-96141.58</v>
      </c>
      <c r="D24" s="138" t="s">
        <v>671</v>
      </c>
      <c r="E24" s="478" t="s">
        <v>1121</v>
      </c>
      <c r="F24" s="504">
        <v>181.16</v>
      </c>
      <c r="G24" s="508"/>
      <c r="H24" s="515">
        <v>-96322.74</v>
      </c>
      <c r="I24" s="503"/>
      <c r="J24" s="503"/>
      <c r="K24" s="504"/>
      <c r="L24" s="503"/>
      <c r="M24" s="505"/>
      <c r="N24" s="505"/>
      <c r="O24" s="504"/>
      <c r="P24" s="504"/>
      <c r="Q24" s="504"/>
      <c r="R24" s="504"/>
      <c r="S24" s="505"/>
      <c r="T24" s="507"/>
      <c r="U24" s="512">
        <f>100000+H24</f>
        <v>3677.2599999999948</v>
      </c>
      <c r="V24" s="513"/>
      <c r="W24" s="513"/>
    </row>
    <row r="25" spans="1:23" x14ac:dyDescent="0.25">
      <c r="A25" s="138">
        <f t="shared" si="2"/>
        <v>23</v>
      </c>
      <c r="B25" s="602">
        <f t="shared" si="0"/>
        <v>46114</v>
      </c>
      <c r="C25" s="600">
        <f t="shared" si="1"/>
        <v>-35287.72</v>
      </c>
      <c r="D25" s="138" t="s">
        <v>1122</v>
      </c>
      <c r="E25" s="479" t="s">
        <v>1122</v>
      </c>
      <c r="F25" s="508"/>
      <c r="G25" s="508"/>
      <c r="H25" s="521">
        <v>-35287.72</v>
      </c>
      <c r="I25" s="522"/>
      <c r="J25" s="522"/>
      <c r="K25" s="522"/>
      <c r="L25" s="522"/>
      <c r="M25" s="522"/>
      <c r="N25" s="522"/>
      <c r="O25" s="522"/>
      <c r="P25" s="522"/>
      <c r="Q25" s="504"/>
      <c r="R25" s="504"/>
      <c r="S25" s="505"/>
      <c r="T25" s="507"/>
      <c r="U25" s="512">
        <f>40000+H25</f>
        <v>4712.2799999999988</v>
      </c>
      <c r="V25" s="513"/>
      <c r="W25" s="513"/>
    </row>
    <row r="26" spans="1:23" x14ac:dyDescent="0.25">
      <c r="A26" s="138">
        <f t="shared" si="2"/>
        <v>24</v>
      </c>
      <c r="B26" s="602">
        <f t="shared" si="0"/>
        <v>46114</v>
      </c>
      <c r="C26" s="600">
        <f t="shared" si="1"/>
        <v>4313.1400000000003</v>
      </c>
      <c r="D26" s="138" t="s">
        <v>857</v>
      </c>
      <c r="E26" s="478" t="s">
        <v>1123</v>
      </c>
      <c r="F26" s="504">
        <v>2041.68</v>
      </c>
      <c r="G26" s="508"/>
      <c r="H26" s="503">
        <v>2271.46</v>
      </c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x14ac:dyDescent="0.25">
      <c r="A27" s="138">
        <f t="shared" si="2"/>
        <v>25</v>
      </c>
      <c r="B27" s="602">
        <f t="shared" si="0"/>
        <v>46114</v>
      </c>
      <c r="C27" s="600">
        <f t="shared" si="1"/>
        <v>226.36</v>
      </c>
      <c r="D27" s="138" t="s">
        <v>889</v>
      </c>
      <c r="E27" s="478" t="s">
        <v>1124</v>
      </c>
      <c r="F27" s="508"/>
      <c r="G27" s="508"/>
      <c r="H27" s="503">
        <v>226.36</v>
      </c>
      <c r="I27" s="503"/>
      <c r="J27" s="503"/>
      <c r="K27" s="503"/>
      <c r="L27" s="503"/>
      <c r="M27" s="505"/>
      <c r="N27" s="505"/>
      <c r="O27" s="504"/>
      <c r="P27" s="504"/>
      <c r="Q27" s="504"/>
      <c r="R27" s="504"/>
      <c r="S27" s="505"/>
      <c r="T27" s="507"/>
      <c r="U27" s="507"/>
      <c r="V27" s="507"/>
      <c r="W27" s="507"/>
    </row>
    <row r="28" spans="1:23" x14ac:dyDescent="0.25">
      <c r="A28" s="138">
        <f t="shared" si="2"/>
        <v>26</v>
      </c>
      <c r="B28" s="602">
        <f t="shared" si="0"/>
        <v>46114</v>
      </c>
      <c r="C28" s="600">
        <f t="shared" si="1"/>
        <v>0</v>
      </c>
      <c r="D28" s="138" t="s">
        <v>863</v>
      </c>
      <c r="E28" s="478" t="s">
        <v>1125</v>
      </c>
      <c r="F28" s="508"/>
      <c r="G28" s="508"/>
      <c r="H28" s="504"/>
      <c r="I28" s="503"/>
      <c r="J28" s="503"/>
      <c r="K28" s="503"/>
      <c r="L28" s="503"/>
      <c r="M28" s="505"/>
      <c r="N28" s="505"/>
      <c r="O28" s="504"/>
      <c r="P28" s="504"/>
      <c r="Q28" s="504"/>
      <c r="R28" s="504"/>
      <c r="S28" s="505"/>
      <c r="T28" s="507"/>
      <c r="U28" s="507"/>
      <c r="V28" s="507"/>
      <c r="W28" s="507"/>
    </row>
    <row r="29" spans="1:23" x14ac:dyDescent="0.25">
      <c r="E29" s="480"/>
      <c r="F29" s="526">
        <f t="shared" ref="F29:N29" si="3">SUM(F3:F28)</f>
        <v>163891.5</v>
      </c>
      <c r="G29" s="526">
        <f t="shared" si="3"/>
        <v>199834.71</v>
      </c>
      <c r="H29" s="526">
        <f t="shared" si="3"/>
        <v>2360493.4899999993</v>
      </c>
      <c r="I29" s="526">
        <f t="shared" si="3"/>
        <v>168438.78999999998</v>
      </c>
      <c r="J29" s="526">
        <f t="shared" si="3"/>
        <v>0</v>
      </c>
      <c r="K29" s="526">
        <f t="shared" si="3"/>
        <v>0</v>
      </c>
      <c r="L29" s="526">
        <f t="shared" si="3"/>
        <v>3467.86</v>
      </c>
      <c r="M29" s="526">
        <f t="shared" si="3"/>
        <v>5377.19</v>
      </c>
      <c r="N29" s="526">
        <f t="shared" si="3"/>
        <v>4984</v>
      </c>
      <c r="O29" s="526">
        <v>0</v>
      </c>
      <c r="P29" s="526">
        <f>SUM(P3:P28)</f>
        <v>0</v>
      </c>
      <c r="Q29" s="526">
        <v>0</v>
      </c>
      <c r="R29" s="526">
        <f t="shared" ref="R29:W29" si="4">SUM(R3:R28)</f>
        <v>1234.05</v>
      </c>
      <c r="S29" s="526">
        <f t="shared" si="4"/>
        <v>528042</v>
      </c>
      <c r="T29" s="526">
        <f t="shared" si="4"/>
        <v>190720.73</v>
      </c>
      <c r="U29" s="526">
        <f t="shared" si="4"/>
        <v>30127.599999999991</v>
      </c>
      <c r="V29" s="526">
        <f t="shared" si="4"/>
        <v>15683.939999999997</v>
      </c>
      <c r="W29" s="526">
        <f t="shared" si="4"/>
        <v>0</v>
      </c>
    </row>
    <row r="30" spans="1:23" x14ac:dyDescent="0.25">
      <c r="C30" s="601">
        <f>SUM(C3:C28)</f>
        <v>2906487.54</v>
      </c>
      <c r="E30" s="480"/>
      <c r="F30" s="480"/>
      <c r="G30" s="480"/>
      <c r="H30" s="480"/>
      <c r="I30" s="483" t="s">
        <v>1126</v>
      </c>
      <c r="J30" s="527">
        <f>SUM(F29:N29)</f>
        <v>2906487.5399999991</v>
      </c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0"/>
      <c r="G31" s="480"/>
      <c r="H31" s="480"/>
      <c r="I31" s="485" t="s">
        <v>1127</v>
      </c>
      <c r="J31" s="528">
        <f>SUM(F3,G3,H3,F4,H4,I4,L4,H5,F6,H6,F7,F8,H8,I8,F9,H9,F10,H10,I10,F15,H15,M14,F16,H16,H17,F20,F21,H21,F22,H22,N19,F24,F26,H26,H27)</f>
        <v>3193212.2200000007</v>
      </c>
      <c r="K31" s="482"/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x14ac:dyDescent="0.25">
      <c r="E32" s="480"/>
      <c r="F32" s="480"/>
      <c r="G32" s="480"/>
      <c r="H32" s="480"/>
      <c r="I32" s="483"/>
      <c r="J32" s="527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0"/>
      <c r="G33" s="480"/>
      <c r="H33" s="480"/>
      <c r="I33" s="486" t="s">
        <v>1128</v>
      </c>
      <c r="J33" s="527"/>
      <c r="K33" s="484"/>
      <c r="M33" s="487"/>
      <c r="N33" s="487" t="s">
        <v>1220</v>
      </c>
      <c r="O33" s="134" t="s">
        <v>1221</v>
      </c>
      <c r="P33" s="480"/>
      <c r="Q33" s="480"/>
      <c r="R33" s="480"/>
      <c r="S33" s="480"/>
      <c r="T33" s="480"/>
      <c r="U33" s="480"/>
      <c r="V33" s="480"/>
      <c r="W33" s="586">
        <f>T29+U29+V29+W29</f>
        <v>236532.27000000002</v>
      </c>
    </row>
    <row r="34" spans="5:23" x14ac:dyDescent="0.25">
      <c r="E34" s="480"/>
      <c r="F34" s="480"/>
      <c r="G34" s="480"/>
      <c r="H34" s="480"/>
      <c r="I34" s="488" t="s">
        <v>1222</v>
      </c>
      <c r="J34" s="587"/>
      <c r="K34" s="490"/>
      <c r="L34" s="563"/>
      <c r="N34" s="481" t="s">
        <v>1223</v>
      </c>
      <c r="O34" s="525"/>
      <c r="P34" s="491">
        <v>46086</v>
      </c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633" t="s">
        <v>1224</v>
      </c>
      <c r="G35" s="633"/>
      <c r="H35" s="480"/>
      <c r="I35" s="492" t="s">
        <v>1225</v>
      </c>
      <c r="J35" s="587"/>
      <c r="K35" s="490">
        <v>46096</v>
      </c>
      <c r="L35" s="563"/>
      <c r="M35" s="480"/>
      <c r="N35" s="481" t="s">
        <v>1226</v>
      </c>
      <c r="O35" s="525"/>
      <c r="P35" s="491">
        <v>46087</v>
      </c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633"/>
      <c r="G36" s="633"/>
      <c r="H36" s="480"/>
      <c r="I36" s="488" t="s">
        <v>1227</v>
      </c>
      <c r="J36" s="587"/>
      <c r="K36" s="490">
        <v>46101</v>
      </c>
      <c r="L36" s="564"/>
      <c r="M36" s="480"/>
      <c r="N36" s="481"/>
      <c r="O36" s="525"/>
      <c r="P36" s="480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0"/>
      <c r="G37" s="480"/>
      <c r="H37" s="480"/>
      <c r="I37" s="488" t="s">
        <v>1228</v>
      </c>
      <c r="J37" s="587">
        <v>205168.95</v>
      </c>
      <c r="K37" s="490"/>
      <c r="L37" s="564"/>
      <c r="M37" s="480"/>
      <c r="N37" s="481"/>
      <c r="O37" s="525"/>
      <c r="P37" s="480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0"/>
      <c r="G38" s="480"/>
      <c r="H38" s="480"/>
      <c r="I38" s="488" t="s">
        <v>1134</v>
      </c>
      <c r="J38" s="587"/>
      <c r="K38" s="490"/>
      <c r="L38" s="564"/>
      <c r="M38" s="480"/>
      <c r="N38" s="481"/>
      <c r="O38" s="525"/>
      <c r="P38" s="480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0"/>
      <c r="G39" s="480"/>
      <c r="H39" s="480"/>
      <c r="I39" s="488" t="s">
        <v>1135</v>
      </c>
      <c r="J39" s="587"/>
      <c r="K39" s="490"/>
      <c r="L39" s="564"/>
      <c r="M39" s="480"/>
      <c r="N39" s="481"/>
      <c r="O39" s="525"/>
      <c r="P39" s="480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0"/>
      <c r="G40" s="480"/>
      <c r="H40" s="480"/>
      <c r="I40" s="488" t="s">
        <v>1136</v>
      </c>
      <c r="J40" s="587"/>
      <c r="K40" s="490"/>
      <c r="L40" s="564"/>
      <c r="M40" s="480"/>
      <c r="N40" s="481"/>
      <c r="O40" s="525"/>
      <c r="P40" s="480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0"/>
      <c r="G41" s="480"/>
      <c r="H41" s="480"/>
      <c r="I41" s="488" t="s">
        <v>1138</v>
      </c>
      <c r="J41" s="587"/>
      <c r="K41" s="490">
        <v>46071</v>
      </c>
      <c r="L41" s="564" t="s">
        <v>1229</v>
      </c>
      <c r="M41" s="480"/>
      <c r="N41" s="481"/>
      <c r="O41" s="525"/>
      <c r="P41" s="480"/>
      <c r="Q41" s="480"/>
      <c r="R41" s="480"/>
      <c r="S41" s="480"/>
      <c r="T41" s="480"/>
      <c r="U41" s="480"/>
      <c r="V41" s="480"/>
      <c r="W41" s="480"/>
    </row>
    <row r="42" spans="5:23" ht="45" x14ac:dyDescent="0.25">
      <c r="E42" s="480"/>
      <c r="F42" s="480"/>
      <c r="G42" s="480"/>
      <c r="H42" s="480"/>
      <c r="I42" s="501" t="s">
        <v>1139</v>
      </c>
      <c r="J42" s="594">
        <f>J31-J34-J35-J36-J37-J40-J41-J38-J39</f>
        <v>2988043.2700000005</v>
      </c>
      <c r="K42" s="565"/>
      <c r="L42" s="566"/>
      <c r="M42" s="498"/>
      <c r="N42" s="498"/>
      <c r="O42" s="594">
        <f>O34+O35+O36+O37+O38+O39+O40+O41</f>
        <v>0</v>
      </c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J43" s="134"/>
      <c r="O43" s="500"/>
    </row>
    <row r="44" spans="5:23" x14ac:dyDescent="0.25">
      <c r="J44" s="595">
        <f>O42+J42</f>
        <v>2988043.2700000005</v>
      </c>
    </row>
  </sheetData>
  <mergeCells count="3">
    <mergeCell ref="O1:S1"/>
    <mergeCell ref="T1:W1"/>
    <mergeCell ref="F35:G36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394CD-FF43-4B5F-AA37-C79EF0672032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500" customWidth="1"/>
    <col min="7" max="23" width="15.7109375" customWidth="1"/>
  </cols>
  <sheetData>
    <row r="1" spans="1:23" x14ac:dyDescent="0.25">
      <c r="E1" s="466" t="s">
        <v>1086</v>
      </c>
      <c r="F1" s="467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46146</v>
      </c>
      <c r="F2" s="470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2" t="s">
        <v>1093</v>
      </c>
      <c r="M2" s="473" t="s">
        <v>1094</v>
      </c>
      <c r="N2" s="473" t="s">
        <v>1095</v>
      </c>
      <c r="O2" s="474" t="s">
        <v>835</v>
      </c>
      <c r="P2" s="474" t="s">
        <v>483</v>
      </c>
      <c r="Q2" s="475" t="s">
        <v>1096</v>
      </c>
      <c r="R2" s="475" t="s">
        <v>1097</v>
      </c>
      <c r="S2" s="475" t="s">
        <v>1098</v>
      </c>
      <c r="T2" s="476" t="s">
        <v>1099</v>
      </c>
      <c r="U2" s="476" t="s">
        <v>1100</v>
      </c>
      <c r="V2" s="476" t="s">
        <v>1101</v>
      </c>
      <c r="W2" s="476" t="s">
        <v>1102</v>
      </c>
    </row>
    <row r="3" spans="1:23" x14ac:dyDescent="0.25">
      <c r="A3" s="138">
        <v>1</v>
      </c>
      <c r="B3" s="602">
        <f>$E$2</f>
        <v>46146</v>
      </c>
      <c r="C3" s="600">
        <f>SUM(F3:N3)</f>
        <v>8431.86</v>
      </c>
      <c r="D3" s="138" t="s">
        <v>11</v>
      </c>
      <c r="E3" s="477" t="s">
        <v>1103</v>
      </c>
      <c r="F3" s="503">
        <v>348.55</v>
      </c>
      <c r="G3" s="503">
        <v>8036.54</v>
      </c>
      <c r="H3" s="503">
        <v>46.77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8" si="0">$E$2</f>
        <v>46146</v>
      </c>
      <c r="C4" s="600">
        <f t="shared" ref="C4:C28" si="1">SUM(F4:N4)</f>
        <v>-123348.25000000001</v>
      </c>
      <c r="D4" s="138" t="s">
        <v>7</v>
      </c>
      <c r="E4" s="477" t="s">
        <v>1104</v>
      </c>
      <c r="F4" s="504">
        <v>72917.41</v>
      </c>
      <c r="G4" s="508"/>
      <c r="H4" s="503">
        <v>0</v>
      </c>
      <c r="I4" s="503">
        <v>5212.1499999999996</v>
      </c>
      <c r="J4" s="509">
        <v>-4355.67</v>
      </c>
      <c r="K4" s="503">
        <v>0</v>
      </c>
      <c r="L4" s="593">
        <v>-197122.14</v>
      </c>
      <c r="M4" s="505"/>
      <c r="N4" s="505"/>
      <c r="O4" s="509"/>
      <c r="P4" s="509"/>
      <c r="Q4" s="504"/>
      <c r="R4" s="511">
        <v>1252.9000000000001</v>
      </c>
      <c r="S4" s="505"/>
      <c r="T4" s="584">
        <f>50000</f>
        <v>50000</v>
      </c>
      <c r="U4" s="513">
        <v>0</v>
      </c>
      <c r="V4" s="584">
        <f>10000+J4</f>
        <v>5644.33</v>
      </c>
      <c r="W4" s="512">
        <f>300000+L4</f>
        <v>102877.85999999999</v>
      </c>
    </row>
    <row r="5" spans="1:23" x14ac:dyDescent="0.25">
      <c r="A5" s="138">
        <f t="shared" ref="A5:A28" si="2">A4+1</f>
        <v>3</v>
      </c>
      <c r="B5" s="602">
        <f t="shared" si="0"/>
        <v>46146</v>
      </c>
      <c r="C5" s="600">
        <f t="shared" si="1"/>
        <v>-130216.46</v>
      </c>
      <c r="D5" s="138" t="s">
        <v>479</v>
      </c>
      <c r="E5" s="478" t="s">
        <v>1105</v>
      </c>
      <c r="F5" s="509">
        <v>-87177.5</v>
      </c>
      <c r="G5" s="508"/>
      <c r="H5" s="503">
        <v>71.2</v>
      </c>
      <c r="I5" s="509">
        <v>-43110.16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12">
        <f>88000+F5</f>
        <v>822.5</v>
      </c>
      <c r="U5" s="507"/>
      <c r="V5" s="512">
        <f>50000+I5</f>
        <v>6889.8399999999965</v>
      </c>
      <c r="W5" s="513"/>
    </row>
    <row r="6" spans="1:23" x14ac:dyDescent="0.25">
      <c r="A6" s="138">
        <f t="shared" si="2"/>
        <v>4</v>
      </c>
      <c r="B6" s="602">
        <f t="shared" si="0"/>
        <v>46146</v>
      </c>
      <c r="C6" s="600">
        <f t="shared" si="1"/>
        <v>-342.34</v>
      </c>
      <c r="D6" s="138" t="s">
        <v>10</v>
      </c>
      <c r="E6" s="478" t="s">
        <v>1106</v>
      </c>
      <c r="F6" s="515">
        <v>-587.77</v>
      </c>
      <c r="G6" s="508"/>
      <c r="H6" s="503">
        <v>245.43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12">
        <f>3697+F6</f>
        <v>3109.23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46146</v>
      </c>
      <c r="C7" s="600">
        <f t="shared" si="1"/>
        <v>948.89</v>
      </c>
      <c r="D7" s="138" t="s">
        <v>909</v>
      </c>
      <c r="E7" s="478" t="s">
        <v>1107</v>
      </c>
      <c r="F7" s="503">
        <v>948.89</v>
      </c>
      <c r="G7" s="508"/>
      <c r="H7" s="503">
        <v>0</v>
      </c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46146</v>
      </c>
      <c r="C8" s="600">
        <f t="shared" si="1"/>
        <v>637156.14</v>
      </c>
      <c r="D8" s="138" t="s">
        <v>9</v>
      </c>
      <c r="E8" s="478" t="s">
        <v>1108</v>
      </c>
      <c r="F8" s="515">
        <v>-25782.080000000002</v>
      </c>
      <c r="G8" s="508"/>
      <c r="H8" s="503">
        <v>1844.59</v>
      </c>
      <c r="I8" s="503">
        <v>661093.63</v>
      </c>
      <c r="J8" s="504"/>
      <c r="K8" s="504"/>
      <c r="L8" s="504"/>
      <c r="M8" s="505"/>
      <c r="N8" s="505"/>
      <c r="O8" s="511">
        <v>260560.24</v>
      </c>
      <c r="P8" s="509"/>
      <c r="Q8" s="504"/>
      <c r="R8" s="504"/>
      <c r="S8" s="514">
        <v>12000</v>
      </c>
      <c r="T8" s="512">
        <f>31700+F8</f>
        <v>5917.9199999999983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46146</v>
      </c>
      <c r="C9" s="600">
        <f t="shared" si="1"/>
        <v>-6447.83</v>
      </c>
      <c r="D9" s="138" t="s">
        <v>12</v>
      </c>
      <c r="E9" s="477" t="s">
        <v>1109</v>
      </c>
      <c r="F9" s="515">
        <v>-7474.5</v>
      </c>
      <c r="G9" s="508"/>
      <c r="H9" s="503">
        <v>1026.67</v>
      </c>
      <c r="I9" s="504"/>
      <c r="J9" s="504"/>
      <c r="K9" s="504"/>
      <c r="L9" s="504"/>
      <c r="M9" s="505"/>
      <c r="N9" s="505"/>
      <c r="O9" s="503"/>
      <c r="P9" s="503"/>
      <c r="Q9" s="511">
        <v>181728.12</v>
      </c>
      <c r="R9" s="504"/>
      <c r="S9" s="505"/>
      <c r="T9" s="512">
        <f>17600+F9</f>
        <v>10125.5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46146</v>
      </c>
      <c r="C10" s="600">
        <f t="shared" si="1"/>
        <v>-62085.130000000005</v>
      </c>
      <c r="D10" s="138" t="s">
        <v>8</v>
      </c>
      <c r="E10" s="477" t="s">
        <v>1110</v>
      </c>
      <c r="F10" s="509">
        <v>-77083.520000000004</v>
      </c>
      <c r="G10" s="508"/>
      <c r="H10" s="503">
        <v>264.55</v>
      </c>
      <c r="I10" s="503">
        <v>14733.84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05"/>
      <c r="T10" s="512">
        <f>78700+F10</f>
        <v>1616.4799999999959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46146</v>
      </c>
      <c r="C11" s="600">
        <f t="shared" si="1"/>
        <v>2751</v>
      </c>
      <c r="D11" s="138" t="s">
        <v>1261</v>
      </c>
      <c r="E11" s="477" t="s">
        <v>348</v>
      </c>
      <c r="F11" s="508"/>
      <c r="G11" s="508"/>
      <c r="H11" s="503">
        <v>2751</v>
      </c>
      <c r="I11" s="503"/>
      <c r="J11" s="504"/>
      <c r="K11" s="504"/>
      <c r="L11" s="504"/>
      <c r="M11" s="505"/>
      <c r="N11" s="505"/>
      <c r="O11" s="509"/>
      <c r="P11" s="509"/>
      <c r="Q11" s="504"/>
      <c r="R11" s="504"/>
      <c r="S11" s="505"/>
      <c r="T11" s="507"/>
      <c r="U11" s="507"/>
      <c r="V11" s="507"/>
      <c r="W11" s="507"/>
    </row>
    <row r="12" spans="1:23" x14ac:dyDescent="0.25">
      <c r="A12" s="138">
        <f t="shared" si="2"/>
        <v>10</v>
      </c>
      <c r="B12" s="602">
        <f t="shared" si="0"/>
        <v>46146</v>
      </c>
      <c r="C12" s="600">
        <f t="shared" si="1"/>
        <v>0</v>
      </c>
      <c r="D12" s="138" t="s">
        <v>1271</v>
      </c>
      <c r="E12" s="477" t="s">
        <v>1111</v>
      </c>
      <c r="F12" s="508"/>
      <c r="G12" s="508"/>
      <c r="H12" s="503">
        <v>0</v>
      </c>
      <c r="I12" s="503"/>
      <c r="J12" s="504"/>
      <c r="K12" s="504"/>
      <c r="L12" s="504"/>
      <c r="M12" s="505"/>
      <c r="N12" s="505"/>
      <c r="O12" s="509"/>
      <c r="P12" s="509"/>
      <c r="Q12" s="504"/>
      <c r="R12" s="504"/>
      <c r="S12" s="505"/>
      <c r="T12" s="507"/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46146</v>
      </c>
      <c r="C13" s="600">
        <f t="shared" si="1"/>
        <v>-28570.46</v>
      </c>
      <c r="D13" s="138" t="s">
        <v>481</v>
      </c>
      <c r="E13" s="478" t="s">
        <v>1112</v>
      </c>
      <c r="F13" s="509">
        <v>-1296.32</v>
      </c>
      <c r="G13" s="508"/>
      <c r="H13" s="597"/>
      <c r="I13" s="509">
        <v>-27274.14</v>
      </c>
      <c r="J13" s="504"/>
      <c r="K13" s="504"/>
      <c r="L13" s="504"/>
      <c r="M13" s="505"/>
      <c r="N13" s="505"/>
      <c r="O13" s="515"/>
      <c r="P13" s="515"/>
      <c r="Q13" s="504"/>
      <c r="R13" s="504"/>
      <c r="S13" s="505"/>
      <c r="T13" s="512">
        <f>5000+F13</f>
        <v>3703.6800000000003</v>
      </c>
      <c r="U13" s="507"/>
      <c r="V13" s="512">
        <f>30000+I13</f>
        <v>2725.8600000000006</v>
      </c>
      <c r="W13" s="513"/>
    </row>
    <row r="14" spans="1:23" x14ac:dyDescent="0.25">
      <c r="A14" s="138">
        <f t="shared" si="2"/>
        <v>12</v>
      </c>
      <c r="B14" s="602">
        <f t="shared" si="0"/>
        <v>46146</v>
      </c>
      <c r="C14" s="600">
        <f t="shared" si="1"/>
        <v>29353.53</v>
      </c>
      <c r="D14" s="138" t="s">
        <v>760</v>
      </c>
      <c r="E14" s="478" t="s">
        <v>1113</v>
      </c>
      <c r="F14" s="596">
        <v>764.36</v>
      </c>
      <c r="G14" s="508"/>
      <c r="H14" s="503">
        <v>0</v>
      </c>
      <c r="I14" s="504"/>
      <c r="J14" s="504"/>
      <c r="K14" s="504"/>
      <c r="L14" s="504"/>
      <c r="M14" s="514">
        <v>28589.17</v>
      </c>
      <c r="N14" s="505"/>
      <c r="O14" s="504"/>
      <c r="P14" s="504"/>
      <c r="Q14" s="504"/>
      <c r="R14" s="504"/>
      <c r="S14" s="505"/>
      <c r="T14" s="589">
        <f>1600</f>
        <v>1600</v>
      </c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46146</v>
      </c>
      <c r="C15" s="600">
        <f t="shared" si="1"/>
        <v>2050.96</v>
      </c>
      <c r="D15" s="138" t="s">
        <v>465</v>
      </c>
      <c r="E15" s="478" t="s">
        <v>1114</v>
      </c>
      <c r="F15" s="503">
        <v>597.94000000000005</v>
      </c>
      <c r="G15" s="508"/>
      <c r="H15" s="503">
        <v>1453.02</v>
      </c>
      <c r="I15" s="503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46146</v>
      </c>
      <c r="C16" s="600">
        <f t="shared" si="1"/>
        <v>1745.97</v>
      </c>
      <c r="D16" s="138" t="s">
        <v>13</v>
      </c>
      <c r="E16" s="478" t="s">
        <v>1115</v>
      </c>
      <c r="F16" s="504">
        <v>1541.78</v>
      </c>
      <c r="G16" s="508"/>
      <c r="H16" s="503">
        <v>204.19</v>
      </c>
      <c r="I16" s="503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07"/>
      <c r="V16" s="507"/>
      <c r="W16" s="507"/>
    </row>
    <row r="17" spans="1:23" x14ac:dyDescent="0.25">
      <c r="A17" s="138">
        <f t="shared" si="2"/>
        <v>15</v>
      </c>
      <c r="B17" s="602">
        <f t="shared" si="0"/>
        <v>46146</v>
      </c>
      <c r="C17" s="600">
        <f t="shared" si="1"/>
        <v>543.9</v>
      </c>
      <c r="D17" s="138" t="s">
        <v>670</v>
      </c>
      <c r="E17" s="478" t="s">
        <v>380</v>
      </c>
      <c r="F17" s="508"/>
      <c r="G17" s="508"/>
      <c r="H17" s="503">
        <v>543.9</v>
      </c>
      <c r="I17" s="504"/>
      <c r="J17" s="504"/>
      <c r="K17" s="504"/>
      <c r="L17" s="504"/>
      <c r="M17" s="505"/>
      <c r="N17" s="505"/>
      <c r="O17" s="504"/>
      <c r="P17" s="504"/>
      <c r="Q17" s="504"/>
      <c r="R17" s="504"/>
      <c r="S17" s="505"/>
      <c r="T17" s="507"/>
      <c r="U17" s="507"/>
      <c r="V17" s="507"/>
      <c r="W17" s="507"/>
    </row>
    <row r="18" spans="1:23" x14ac:dyDescent="0.25">
      <c r="A18" s="138">
        <f t="shared" si="2"/>
        <v>16</v>
      </c>
      <c r="B18" s="602">
        <f t="shared" si="0"/>
        <v>46146</v>
      </c>
      <c r="C18" s="600">
        <f t="shared" si="1"/>
        <v>-2905.16</v>
      </c>
      <c r="D18" s="138" t="s">
        <v>867</v>
      </c>
      <c r="E18" s="478" t="s">
        <v>1116</v>
      </c>
      <c r="F18" s="518"/>
      <c r="G18" s="508"/>
      <c r="H18" s="520">
        <v>-2905.16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12">
        <f>10000+H18</f>
        <v>7094.84</v>
      </c>
      <c r="V18" s="507"/>
      <c r="W18" s="507"/>
    </row>
    <row r="19" spans="1:23" x14ac:dyDescent="0.25">
      <c r="A19" s="138">
        <f t="shared" si="2"/>
        <v>17</v>
      </c>
      <c r="B19" s="602">
        <f t="shared" si="0"/>
        <v>46146</v>
      </c>
      <c r="C19" s="600">
        <f t="shared" si="1"/>
        <v>-4287.3500000000004</v>
      </c>
      <c r="D19" s="138" t="s">
        <v>482</v>
      </c>
      <c r="E19" s="478" t="s">
        <v>1117</v>
      </c>
      <c r="F19" s="508"/>
      <c r="G19" s="508"/>
      <c r="H19" s="520">
        <v>-4287.3500000000004</v>
      </c>
      <c r="I19" s="504"/>
      <c r="J19" s="504"/>
      <c r="K19" s="504"/>
      <c r="L19" s="504"/>
      <c r="M19" s="505"/>
      <c r="N19" s="514">
        <v>0</v>
      </c>
      <c r="O19" s="504"/>
      <c r="P19" s="504"/>
      <c r="Q19" s="504"/>
      <c r="R19" s="504"/>
      <c r="S19" s="505"/>
      <c r="T19" s="507"/>
      <c r="U19" s="512">
        <f>20000+H19</f>
        <v>15712.65</v>
      </c>
      <c r="V19" s="507"/>
      <c r="W19" s="507"/>
    </row>
    <row r="20" spans="1:23" x14ac:dyDescent="0.25">
      <c r="A20" s="138">
        <f t="shared" si="2"/>
        <v>18</v>
      </c>
      <c r="B20" s="602">
        <f t="shared" si="0"/>
        <v>46146</v>
      </c>
      <c r="C20" s="600">
        <f t="shared" si="1"/>
        <v>106028.82</v>
      </c>
      <c r="D20" s="138" t="s">
        <v>673</v>
      </c>
      <c r="E20" s="478" t="s">
        <v>1118</v>
      </c>
      <c r="F20" s="504">
        <v>106028.82</v>
      </c>
      <c r="G20" s="508"/>
      <c r="H20" s="503">
        <v>0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46146</v>
      </c>
      <c r="C21" s="600">
        <f t="shared" si="1"/>
        <v>729.01</v>
      </c>
      <c r="D21" s="138" t="s">
        <v>677</v>
      </c>
      <c r="E21" s="478" t="s">
        <v>381</v>
      </c>
      <c r="F21" s="504">
        <v>604.82000000000005</v>
      </c>
      <c r="G21" s="508"/>
      <c r="H21" s="134">
        <v>124.19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46146</v>
      </c>
      <c r="C22" s="600">
        <f t="shared" si="1"/>
        <v>259.02999999999997</v>
      </c>
      <c r="D22" s="138" t="s">
        <v>678</v>
      </c>
      <c r="E22" s="478" t="s">
        <v>1119</v>
      </c>
      <c r="F22" s="503">
        <v>259.01</v>
      </c>
      <c r="G22" s="508"/>
      <c r="H22" s="503">
        <v>0.02</v>
      </c>
      <c r="I22" s="504"/>
      <c r="J22" s="504"/>
      <c r="K22" s="504"/>
      <c r="L22" s="504"/>
      <c r="M22" s="505"/>
      <c r="N22" s="505"/>
      <c r="O22" s="504"/>
      <c r="P22" s="504"/>
      <c r="Q22" s="504"/>
      <c r="R22" s="504"/>
      <c r="S22" s="505"/>
      <c r="T22" s="507"/>
      <c r="U22" s="507"/>
      <c r="V22" s="507"/>
      <c r="W22" s="507"/>
    </row>
    <row r="23" spans="1:23" x14ac:dyDescent="0.25">
      <c r="A23" s="138">
        <f t="shared" si="2"/>
        <v>21</v>
      </c>
      <c r="B23" s="602">
        <f t="shared" si="0"/>
        <v>46146</v>
      </c>
      <c r="C23" s="600">
        <f t="shared" si="1"/>
        <v>0</v>
      </c>
      <c r="D23" s="138" t="s">
        <v>813</v>
      </c>
      <c r="E23" s="478" t="s">
        <v>1120</v>
      </c>
      <c r="F23" s="504">
        <v>0</v>
      </c>
      <c r="G23" s="508"/>
      <c r="H23" s="503">
        <v>0</v>
      </c>
      <c r="I23" s="504"/>
      <c r="J23" s="504"/>
      <c r="K23" s="504"/>
      <c r="L23" s="504"/>
      <c r="M23" s="505"/>
      <c r="N23" s="505"/>
      <c r="O23" s="504"/>
      <c r="P23" s="504"/>
      <c r="Q23" s="504"/>
      <c r="R23" s="504"/>
      <c r="S23" s="505"/>
      <c r="T23" s="507"/>
      <c r="U23" s="507"/>
      <c r="V23" s="507"/>
      <c r="W23" s="507"/>
    </row>
    <row r="24" spans="1:23" x14ac:dyDescent="0.25">
      <c r="A24" s="138">
        <f t="shared" si="2"/>
        <v>22</v>
      </c>
      <c r="B24" s="602">
        <f t="shared" si="0"/>
        <v>46146</v>
      </c>
      <c r="C24" s="600">
        <f t="shared" si="1"/>
        <v>-114791.79</v>
      </c>
      <c r="D24" s="138" t="s">
        <v>671</v>
      </c>
      <c r="E24" s="478" t="s">
        <v>1121</v>
      </c>
      <c r="F24" s="503">
        <v>188.33</v>
      </c>
      <c r="G24" s="508"/>
      <c r="H24" s="509">
        <v>-114980.12</v>
      </c>
      <c r="I24" s="503"/>
      <c r="J24" s="503"/>
      <c r="K24" s="504"/>
      <c r="L24" s="503"/>
      <c r="M24" s="505"/>
      <c r="N24" s="505"/>
      <c r="O24" s="504"/>
      <c r="P24" s="504"/>
      <c r="Q24" s="504"/>
      <c r="R24" s="504"/>
      <c r="S24" s="505"/>
      <c r="T24" s="507"/>
      <c r="U24" s="512">
        <f>100000+H24</f>
        <v>-14980.119999999995</v>
      </c>
      <c r="V24" s="513"/>
      <c r="W24" s="513"/>
    </row>
    <row r="25" spans="1:23" x14ac:dyDescent="0.25">
      <c r="A25" s="138">
        <f t="shared" si="2"/>
        <v>23</v>
      </c>
      <c r="B25" s="602">
        <f t="shared" si="0"/>
        <v>46146</v>
      </c>
      <c r="C25" s="600">
        <f t="shared" si="1"/>
        <v>-40683.660000000003</v>
      </c>
      <c r="D25" s="138" t="s">
        <v>1122</v>
      </c>
      <c r="E25" s="479" t="s">
        <v>1122</v>
      </c>
      <c r="F25" s="508"/>
      <c r="G25" s="508"/>
      <c r="H25" s="521">
        <v>-40683.660000000003</v>
      </c>
      <c r="I25" s="522"/>
      <c r="J25" s="522"/>
      <c r="K25" s="522"/>
      <c r="L25" s="522"/>
      <c r="M25" s="522"/>
      <c r="N25" s="522"/>
      <c r="O25" s="522"/>
      <c r="P25" s="522"/>
      <c r="Q25" s="504"/>
      <c r="R25" s="504"/>
      <c r="S25" s="505"/>
      <c r="T25" s="507"/>
      <c r="U25" s="512">
        <f>40000+H25</f>
        <v>-683.66000000000349</v>
      </c>
      <c r="V25" s="513"/>
      <c r="W25" s="513"/>
    </row>
    <row r="26" spans="1:23" x14ac:dyDescent="0.25">
      <c r="A26" s="138">
        <f t="shared" si="2"/>
        <v>24</v>
      </c>
      <c r="B26" s="602">
        <f t="shared" si="0"/>
        <v>46146</v>
      </c>
      <c r="C26" s="600">
        <f t="shared" si="1"/>
        <v>8025.8300000000008</v>
      </c>
      <c r="D26" s="138" t="s">
        <v>857</v>
      </c>
      <c r="E26" s="478" t="s">
        <v>1123</v>
      </c>
      <c r="F26" s="503">
        <v>7732.27</v>
      </c>
      <c r="G26" s="508"/>
      <c r="H26" s="503">
        <v>293.56</v>
      </c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x14ac:dyDescent="0.25">
      <c r="A27" s="138">
        <f t="shared" si="2"/>
        <v>25</v>
      </c>
      <c r="B27" s="602">
        <f t="shared" si="0"/>
        <v>46146</v>
      </c>
      <c r="C27" s="600">
        <f t="shared" si="1"/>
        <v>456.12</v>
      </c>
      <c r="D27" s="138" t="s">
        <v>889</v>
      </c>
      <c r="E27" s="478" t="s">
        <v>1124</v>
      </c>
      <c r="F27" s="508"/>
      <c r="G27" s="508"/>
      <c r="H27" s="503">
        <v>456.12</v>
      </c>
      <c r="I27" s="503"/>
      <c r="J27" s="503"/>
      <c r="K27" s="503"/>
      <c r="L27" s="503"/>
      <c r="M27" s="505"/>
      <c r="N27" s="505"/>
      <c r="O27" s="504"/>
      <c r="P27" s="504"/>
      <c r="Q27" s="504"/>
      <c r="R27" s="504"/>
      <c r="S27" s="505"/>
      <c r="T27" s="507"/>
      <c r="U27" s="507"/>
      <c r="V27" s="507"/>
      <c r="W27" s="507"/>
    </row>
    <row r="28" spans="1:23" x14ac:dyDescent="0.25">
      <c r="A28" s="138">
        <f t="shared" si="2"/>
        <v>26</v>
      </c>
      <c r="B28" s="602">
        <f t="shared" si="0"/>
        <v>46146</v>
      </c>
      <c r="C28" s="600">
        <f t="shared" si="1"/>
        <v>0</v>
      </c>
      <c r="D28" s="138" t="s">
        <v>863</v>
      </c>
      <c r="E28" s="478" t="s">
        <v>1125</v>
      </c>
      <c r="F28" s="508"/>
      <c r="G28" s="508"/>
      <c r="H28" s="524"/>
      <c r="I28" s="503"/>
      <c r="J28" s="503"/>
      <c r="K28" s="503"/>
      <c r="L28" s="503"/>
      <c r="M28" s="505"/>
      <c r="N28" s="505"/>
      <c r="O28" s="504"/>
      <c r="P28" s="504"/>
      <c r="Q28" s="504"/>
      <c r="R28" s="504"/>
      <c r="S28" s="505"/>
      <c r="T28" s="507"/>
      <c r="U28" s="507"/>
      <c r="V28" s="507"/>
      <c r="W28" s="507"/>
    </row>
    <row r="29" spans="1:23" x14ac:dyDescent="0.25">
      <c r="E29" s="480"/>
      <c r="F29" s="525">
        <f t="shared" ref="F29:N29" si="3">SUM(F3:F28)</f>
        <v>-7469.510000000002</v>
      </c>
      <c r="G29" s="526">
        <f t="shared" si="3"/>
        <v>8036.54</v>
      </c>
      <c r="H29" s="526">
        <f t="shared" si="3"/>
        <v>-153531.08000000002</v>
      </c>
      <c r="I29" s="526">
        <f t="shared" si="3"/>
        <v>610655.31999999995</v>
      </c>
      <c r="J29" s="526">
        <f t="shared" si="3"/>
        <v>-4355.67</v>
      </c>
      <c r="K29" s="526">
        <f t="shared" si="3"/>
        <v>0</v>
      </c>
      <c r="L29" s="526">
        <f t="shared" si="3"/>
        <v>-197122.14</v>
      </c>
      <c r="M29" s="526">
        <f t="shared" si="3"/>
        <v>28589.17</v>
      </c>
      <c r="N29" s="526">
        <f t="shared" si="3"/>
        <v>0</v>
      </c>
      <c r="O29" s="526">
        <v>0</v>
      </c>
      <c r="P29" s="526">
        <f>SUM(P3:P28)</f>
        <v>0</v>
      </c>
      <c r="Q29" s="526">
        <v>0</v>
      </c>
      <c r="R29" s="526">
        <f t="shared" ref="R29:W29" si="4">SUM(R3:R28)</f>
        <v>1252.9000000000001</v>
      </c>
      <c r="S29" s="526">
        <f t="shared" si="4"/>
        <v>12000</v>
      </c>
      <c r="T29" s="526">
        <f t="shared" si="4"/>
        <v>76895.31</v>
      </c>
      <c r="U29" s="526">
        <f t="shared" si="4"/>
        <v>7143.7099999999991</v>
      </c>
      <c r="V29" s="526">
        <f t="shared" si="4"/>
        <v>15260.029999999997</v>
      </c>
      <c r="W29" s="526">
        <f t="shared" si="4"/>
        <v>102877.85999999999</v>
      </c>
    </row>
    <row r="30" spans="1:23" x14ac:dyDescent="0.25">
      <c r="C30" s="601">
        <f>SUM(C3:C28)</f>
        <v>284802.63000000006</v>
      </c>
      <c r="E30" s="480"/>
      <c r="F30" s="481"/>
      <c r="G30" s="480"/>
      <c r="H30" s="480"/>
      <c r="I30" s="483" t="s">
        <v>1126</v>
      </c>
      <c r="J30" s="527">
        <f>SUM(F29:N29)</f>
        <v>284802.62999999989</v>
      </c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1"/>
      <c r="G31" s="480"/>
      <c r="H31" s="480"/>
      <c r="I31" s="485" t="s">
        <v>1127</v>
      </c>
      <c r="J31" s="528">
        <f>SUM(F3,G3,H3,I4,F4,H5,F7,H6,H8,I8,H9,H10,I10,H11,F14,F15,F16,H15,H16,F20,F21,F22,F24,F26,H26,H27,H22,H21,M14)</f>
        <v>918378.82000000007</v>
      </c>
      <c r="K31" s="529">
        <f>J31+W33</f>
        <v>1120555.73</v>
      </c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x14ac:dyDescent="0.25">
      <c r="E32" s="480"/>
      <c r="F32" s="634" t="s">
        <v>1213</v>
      </c>
      <c r="G32" s="635" t="s">
        <v>1214</v>
      </c>
      <c r="H32" s="635"/>
      <c r="I32" s="483"/>
      <c r="J32" s="527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634"/>
      <c r="G33" s="636" t="s">
        <v>1215</v>
      </c>
      <c r="H33" s="636"/>
      <c r="I33" s="486" t="s">
        <v>1128</v>
      </c>
      <c r="J33" s="527"/>
      <c r="K33" s="484"/>
      <c r="M33" s="487"/>
      <c r="N33" s="637" t="s">
        <v>1129</v>
      </c>
      <c r="O33" s="637"/>
      <c r="P33" s="637"/>
      <c r="Q33" s="480"/>
      <c r="R33" s="480"/>
      <c r="S33" s="480"/>
      <c r="T33" s="480"/>
      <c r="U33" s="480"/>
      <c r="V33" s="480"/>
      <c r="W33" s="586">
        <f>T29+U29+V29+W29</f>
        <v>202176.90999999997</v>
      </c>
    </row>
    <row r="34" spans="5:23" x14ac:dyDescent="0.25">
      <c r="E34" s="480"/>
      <c r="F34" s="481"/>
      <c r="G34" s="480"/>
      <c r="H34" s="480"/>
      <c r="I34" s="488"/>
      <c r="J34" s="598"/>
      <c r="K34" s="490"/>
      <c r="N34" s="481"/>
      <c r="O34" s="481"/>
      <c r="P34" s="491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1"/>
      <c r="G35" s="480"/>
      <c r="H35" s="480"/>
      <c r="I35" s="492" t="s">
        <v>1130</v>
      </c>
      <c r="J35" s="530">
        <v>290000</v>
      </c>
      <c r="K35" s="490"/>
      <c r="M35" s="480"/>
      <c r="N35" s="494"/>
      <c r="O35" s="493"/>
      <c r="P35" s="495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1"/>
      <c r="G36" s="480"/>
      <c r="H36" s="480"/>
      <c r="I36" s="488" t="s">
        <v>1216</v>
      </c>
      <c r="J36" s="530">
        <v>460000</v>
      </c>
      <c r="K36" s="490"/>
      <c r="M36" s="480"/>
      <c r="N36" s="494"/>
      <c r="O36" s="494"/>
      <c r="P36" s="496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1"/>
      <c r="G37" s="480"/>
      <c r="H37" s="480"/>
      <c r="I37" s="488" t="s">
        <v>1217</v>
      </c>
      <c r="J37" s="530">
        <v>160000</v>
      </c>
      <c r="K37" s="490"/>
      <c r="M37" s="480"/>
      <c r="N37" s="494"/>
      <c r="O37" s="494"/>
      <c r="P37" s="496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1"/>
      <c r="G38" s="480"/>
      <c r="H38" s="480"/>
      <c r="I38" s="488"/>
      <c r="J38" s="530">
        <v>0</v>
      </c>
      <c r="K38" s="490"/>
      <c r="M38" s="480"/>
      <c r="N38" s="494"/>
      <c r="O38" s="494"/>
      <c r="P38" s="496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1"/>
      <c r="G39" s="480"/>
      <c r="H39" s="480"/>
      <c r="I39" s="488"/>
      <c r="J39" s="530">
        <v>0</v>
      </c>
      <c r="K39" s="490"/>
      <c r="M39" s="480"/>
      <c r="N39" s="481"/>
      <c r="O39" s="481"/>
      <c r="P39" s="497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1"/>
      <c r="G40" s="480"/>
      <c r="H40" s="480"/>
      <c r="I40" s="488" t="s">
        <v>1134</v>
      </c>
      <c r="J40" s="531"/>
      <c r="K40" s="490"/>
      <c r="M40" s="480"/>
      <c r="N40" s="481" t="s">
        <v>1218</v>
      </c>
      <c r="O40" s="525">
        <v>29173.56</v>
      </c>
      <c r="P40" s="497">
        <v>46142</v>
      </c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1"/>
      <c r="G41" s="480"/>
      <c r="H41" s="480"/>
      <c r="I41" s="488" t="s">
        <v>1135</v>
      </c>
      <c r="J41" s="531"/>
      <c r="K41" s="490">
        <v>46162</v>
      </c>
      <c r="M41" s="480"/>
      <c r="N41" s="481" t="s">
        <v>1219</v>
      </c>
      <c r="O41" s="525">
        <v>47103.5</v>
      </c>
      <c r="P41" s="497">
        <v>46142</v>
      </c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1"/>
      <c r="G42" s="480"/>
      <c r="H42" s="480"/>
      <c r="I42" s="488" t="s">
        <v>1136</v>
      </c>
      <c r="J42" s="531"/>
      <c r="K42" s="490">
        <v>46142</v>
      </c>
      <c r="M42" s="480"/>
      <c r="N42" s="481"/>
      <c r="O42" s="525"/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E43" s="480"/>
      <c r="F43" s="481"/>
      <c r="G43" s="480"/>
      <c r="H43" s="480"/>
      <c r="I43" s="488" t="s">
        <v>1137</v>
      </c>
      <c r="J43" s="531"/>
      <c r="K43" s="490">
        <v>46142</v>
      </c>
      <c r="M43" s="480"/>
      <c r="N43" s="481"/>
      <c r="O43" s="525"/>
      <c r="P43" s="480"/>
      <c r="Q43" s="480"/>
      <c r="R43" s="480"/>
      <c r="S43" s="480"/>
      <c r="T43" s="480"/>
      <c r="U43" s="480"/>
      <c r="V43" s="480"/>
      <c r="W43" s="480"/>
    </row>
    <row r="44" spans="5:23" x14ac:dyDescent="0.25">
      <c r="E44" s="480"/>
      <c r="F44" s="481"/>
      <c r="G44" s="480"/>
      <c r="H44" s="480"/>
      <c r="I44" s="488" t="s">
        <v>1138</v>
      </c>
      <c r="J44" s="531"/>
      <c r="K44" s="490">
        <v>46162</v>
      </c>
      <c r="M44" s="498"/>
      <c r="N44" s="498"/>
      <c r="O44" s="534">
        <f>O34+O35+O36+O38+O40+O41+O42+O43</f>
        <v>76277.06</v>
      </c>
      <c r="P44" s="499"/>
      <c r="Q44" s="480"/>
      <c r="R44" s="480"/>
      <c r="S44" s="480"/>
      <c r="T44" s="480"/>
      <c r="U44" s="480"/>
      <c r="V44" s="480"/>
      <c r="W44" s="480"/>
    </row>
    <row r="45" spans="5:23" ht="45" x14ac:dyDescent="0.25">
      <c r="I45" s="501" t="s">
        <v>1139</v>
      </c>
      <c r="J45" s="532">
        <f>J31-J34-J35-J36-J38-J42-J44-J40-J41-J39-J37-J43</f>
        <v>8378.8200000000652</v>
      </c>
      <c r="K45" s="533">
        <f>K31-J40-J41-J42-J43-J44</f>
        <v>1120555.73</v>
      </c>
      <c r="L45" s="502"/>
      <c r="O45" s="500"/>
    </row>
  </sheetData>
  <mergeCells count="6">
    <mergeCell ref="O1:S1"/>
    <mergeCell ref="T1:W1"/>
    <mergeCell ref="F32:F33"/>
    <mergeCell ref="G32:H32"/>
    <mergeCell ref="G33:H33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7840-B4B9-4405-BA52-EBE6BC9BAD0F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500" customWidth="1"/>
    <col min="7" max="23" width="15.7109375" customWidth="1"/>
  </cols>
  <sheetData>
    <row r="1" spans="1:23" x14ac:dyDescent="0.25">
      <c r="E1" s="466" t="s">
        <v>1086</v>
      </c>
      <c r="F1" s="467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46174</v>
      </c>
      <c r="F2" s="470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2" t="s">
        <v>1093</v>
      </c>
      <c r="M2" s="473" t="s">
        <v>1094</v>
      </c>
      <c r="N2" s="473" t="s">
        <v>1095</v>
      </c>
      <c r="O2" s="474" t="s">
        <v>835</v>
      </c>
      <c r="P2" s="474" t="s">
        <v>483</v>
      </c>
      <c r="Q2" s="475" t="s">
        <v>1096</v>
      </c>
      <c r="R2" s="475" t="s">
        <v>1097</v>
      </c>
      <c r="S2" s="475" t="s">
        <v>1098</v>
      </c>
      <c r="T2" s="476" t="s">
        <v>1099</v>
      </c>
      <c r="U2" s="476" t="s">
        <v>1100</v>
      </c>
      <c r="V2" s="476" t="s">
        <v>1101</v>
      </c>
      <c r="W2" s="476" t="s">
        <v>1102</v>
      </c>
    </row>
    <row r="3" spans="1:23" x14ac:dyDescent="0.25">
      <c r="A3" s="138">
        <v>1</v>
      </c>
      <c r="B3" s="602">
        <f>$E$2</f>
        <v>46174</v>
      </c>
      <c r="C3" s="600">
        <f>SUM(F3:N3)</f>
        <v>895857.05999999994</v>
      </c>
      <c r="D3" s="138" t="s">
        <v>11</v>
      </c>
      <c r="E3" s="477" t="s">
        <v>1103</v>
      </c>
      <c r="F3" s="503">
        <v>802.97</v>
      </c>
      <c r="G3" s="503">
        <v>895054.09</v>
      </c>
      <c r="H3" s="503">
        <v>0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8" si="0">$E$2</f>
        <v>46174</v>
      </c>
      <c r="C4" s="600">
        <f t="shared" ref="C4:C28" si="1">SUM(F4:N4)</f>
        <v>199234.8</v>
      </c>
      <c r="D4" s="138" t="s">
        <v>7</v>
      </c>
      <c r="E4" s="477" t="s">
        <v>1104</v>
      </c>
      <c r="F4" s="504">
        <v>39474.43</v>
      </c>
      <c r="G4" s="508"/>
      <c r="H4" s="503">
        <v>150000</v>
      </c>
      <c r="I4" s="503">
        <v>8455.85</v>
      </c>
      <c r="J4" s="509">
        <v>-3492.03</v>
      </c>
      <c r="K4" s="503">
        <v>0</v>
      </c>
      <c r="L4" s="510">
        <v>4796.55</v>
      </c>
      <c r="M4" s="505"/>
      <c r="N4" s="505"/>
      <c r="O4" s="509"/>
      <c r="P4" s="509"/>
      <c r="Q4" s="504"/>
      <c r="R4" s="511">
        <v>1252.9000000000001</v>
      </c>
      <c r="S4" s="505"/>
      <c r="T4" s="512">
        <f>50000</f>
        <v>50000</v>
      </c>
      <c r="U4" s="513">
        <v>0</v>
      </c>
      <c r="V4" s="507">
        <f>10000+J4</f>
        <v>6507.9699999999993</v>
      </c>
      <c r="W4" s="507">
        <f>300000</f>
        <v>300000</v>
      </c>
    </row>
    <row r="5" spans="1:23" x14ac:dyDescent="0.25">
      <c r="A5" s="138">
        <f t="shared" ref="A5:A28" si="2">A4+1</f>
        <v>3</v>
      </c>
      <c r="B5" s="602">
        <f t="shared" si="0"/>
        <v>46174</v>
      </c>
      <c r="C5" s="600">
        <f t="shared" si="1"/>
        <v>4336.51</v>
      </c>
      <c r="D5" s="138" t="s">
        <v>479</v>
      </c>
      <c r="E5" s="478" t="s">
        <v>1105</v>
      </c>
      <c r="F5" s="503">
        <v>6643.21</v>
      </c>
      <c r="G5" s="508"/>
      <c r="H5" s="503">
        <v>0</v>
      </c>
      <c r="I5" s="509">
        <v>-2306.6999999999998</v>
      </c>
      <c r="J5" s="504"/>
      <c r="K5" s="504"/>
      <c r="L5" s="504"/>
      <c r="M5" s="505"/>
      <c r="N5" s="505"/>
      <c r="O5" s="509"/>
      <c r="P5" s="509"/>
      <c r="Q5" s="504"/>
      <c r="R5" s="504"/>
      <c r="S5" s="505"/>
      <c r="T5" s="512">
        <f>88000</f>
        <v>88000</v>
      </c>
      <c r="U5" s="507"/>
      <c r="V5" s="513">
        <f>50000+I5</f>
        <v>47693.3</v>
      </c>
      <c r="W5" s="513"/>
    </row>
    <row r="6" spans="1:23" x14ac:dyDescent="0.25">
      <c r="A6" s="138">
        <f t="shared" si="2"/>
        <v>4</v>
      </c>
      <c r="B6" s="602">
        <f t="shared" si="0"/>
        <v>46174</v>
      </c>
      <c r="C6" s="600">
        <f t="shared" si="1"/>
        <v>29119.280000000002</v>
      </c>
      <c r="D6" s="138" t="s">
        <v>10</v>
      </c>
      <c r="E6" s="478" t="s">
        <v>1106</v>
      </c>
      <c r="F6" s="504">
        <v>765.49</v>
      </c>
      <c r="G6" s="508"/>
      <c r="H6" s="503">
        <v>28353.79</v>
      </c>
      <c r="I6" s="509"/>
      <c r="J6" s="504"/>
      <c r="K6" s="504"/>
      <c r="L6" s="504"/>
      <c r="M6" s="505"/>
      <c r="N6" s="505"/>
      <c r="O6" s="503"/>
      <c r="P6" s="503"/>
      <c r="Q6" s="504"/>
      <c r="R6" s="504"/>
      <c r="S6" s="505"/>
      <c r="T6" s="507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46174</v>
      </c>
      <c r="C7" s="600">
        <f t="shared" si="1"/>
        <v>318.66000000000003</v>
      </c>
      <c r="D7" s="138" t="s">
        <v>909</v>
      </c>
      <c r="E7" s="478" t="s">
        <v>1107</v>
      </c>
      <c r="F7" s="503">
        <v>318.66000000000003</v>
      </c>
      <c r="G7" s="508"/>
      <c r="H7" s="503">
        <v>0</v>
      </c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05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46174</v>
      </c>
      <c r="C8" s="600">
        <f t="shared" si="1"/>
        <v>2088667.99</v>
      </c>
      <c r="D8" s="138" t="s">
        <v>9</v>
      </c>
      <c r="E8" s="478" t="s">
        <v>1108</v>
      </c>
      <c r="F8" s="504">
        <v>532.69000000000005</v>
      </c>
      <c r="G8" s="508"/>
      <c r="H8" s="503">
        <v>2073594.01</v>
      </c>
      <c r="I8" s="503">
        <v>14541.29</v>
      </c>
      <c r="J8" s="504"/>
      <c r="K8" s="504"/>
      <c r="L8" s="504"/>
      <c r="M8" s="505"/>
      <c r="N8" s="505"/>
      <c r="O8" s="511">
        <v>191037.3</v>
      </c>
      <c r="P8" s="509"/>
      <c r="Q8" s="504"/>
      <c r="R8" s="504"/>
      <c r="S8" s="514">
        <v>12000</v>
      </c>
      <c r="T8" s="507">
        <f>31700</f>
        <v>31700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46174</v>
      </c>
      <c r="C9" s="600">
        <f t="shared" si="1"/>
        <v>15808.68</v>
      </c>
      <c r="D9" s="138" t="s">
        <v>12</v>
      </c>
      <c r="E9" s="477" t="s">
        <v>1109</v>
      </c>
      <c r="F9" s="504">
        <v>992.75</v>
      </c>
      <c r="G9" s="508"/>
      <c r="H9" s="503">
        <v>14815.93</v>
      </c>
      <c r="I9" s="504"/>
      <c r="J9" s="504"/>
      <c r="K9" s="504"/>
      <c r="L9" s="504"/>
      <c r="M9" s="505"/>
      <c r="N9" s="505"/>
      <c r="O9" s="503"/>
      <c r="P9" s="503"/>
      <c r="Q9" s="511">
        <v>133888.89000000001</v>
      </c>
      <c r="R9" s="504"/>
      <c r="S9" s="505"/>
      <c r="T9" s="512">
        <f>17600</f>
        <v>17600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46174</v>
      </c>
      <c r="C10" s="600">
        <f t="shared" si="1"/>
        <v>63206.74</v>
      </c>
      <c r="D10" s="138" t="s">
        <v>8</v>
      </c>
      <c r="E10" s="477" t="s">
        <v>1110</v>
      </c>
      <c r="F10" s="509">
        <v>-290.68</v>
      </c>
      <c r="G10" s="508"/>
      <c r="H10" s="503">
        <v>189.15</v>
      </c>
      <c r="I10" s="503">
        <v>63308.27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05"/>
      <c r="T10" s="512">
        <f>78700+F10</f>
        <v>78409.320000000007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46174</v>
      </c>
      <c r="C11" s="600">
        <f t="shared" si="1"/>
        <v>2264</v>
      </c>
      <c r="D11" s="138" t="s">
        <v>1261</v>
      </c>
      <c r="E11" s="477" t="s">
        <v>348</v>
      </c>
      <c r="F11" s="508"/>
      <c r="G11" s="508"/>
      <c r="H11" s="503">
        <v>2264</v>
      </c>
      <c r="I11" s="503"/>
      <c r="J11" s="504"/>
      <c r="K11" s="504"/>
      <c r="L11" s="504"/>
      <c r="M11" s="505"/>
      <c r="N11" s="505"/>
      <c r="O11" s="509"/>
      <c r="P11" s="509"/>
      <c r="Q11" s="504"/>
      <c r="R11" s="504"/>
      <c r="S11" s="505"/>
      <c r="T11" s="507"/>
      <c r="U11" s="507"/>
      <c r="V11" s="507"/>
      <c r="W11" s="507"/>
    </row>
    <row r="12" spans="1:23" x14ac:dyDescent="0.25">
      <c r="A12" s="138">
        <f t="shared" si="2"/>
        <v>10</v>
      </c>
      <c r="B12" s="602">
        <f t="shared" si="0"/>
        <v>46174</v>
      </c>
      <c r="C12" s="600">
        <f t="shared" si="1"/>
        <v>0</v>
      </c>
      <c r="D12" s="138" t="s">
        <v>1271</v>
      </c>
      <c r="E12" s="477" t="s">
        <v>1111</v>
      </c>
      <c r="F12" s="508"/>
      <c r="G12" s="508"/>
      <c r="H12" s="503">
        <v>0</v>
      </c>
      <c r="I12" s="503"/>
      <c r="J12" s="504"/>
      <c r="K12" s="504"/>
      <c r="L12" s="504"/>
      <c r="M12" s="505"/>
      <c r="N12" s="505"/>
      <c r="O12" s="509"/>
      <c r="P12" s="509"/>
      <c r="Q12" s="504"/>
      <c r="R12" s="504"/>
      <c r="S12" s="505"/>
      <c r="T12" s="507"/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46174</v>
      </c>
      <c r="C13" s="600">
        <f t="shared" si="1"/>
        <v>-35687.120000000003</v>
      </c>
      <c r="D13" s="138" t="s">
        <v>481</v>
      </c>
      <c r="E13" s="478" t="s">
        <v>1112</v>
      </c>
      <c r="F13" s="503">
        <v>951.29</v>
      </c>
      <c r="G13" s="508"/>
      <c r="H13" s="503"/>
      <c r="I13" s="509">
        <v>-36638.410000000003</v>
      </c>
      <c r="J13" s="504"/>
      <c r="K13" s="504"/>
      <c r="L13" s="504"/>
      <c r="M13" s="505"/>
      <c r="N13" s="505"/>
      <c r="O13" s="515"/>
      <c r="P13" s="515"/>
      <c r="Q13" s="504"/>
      <c r="R13" s="504"/>
      <c r="S13" s="505"/>
      <c r="T13" s="513">
        <f>5000</f>
        <v>5000</v>
      </c>
      <c r="U13" s="507"/>
      <c r="V13" s="513">
        <f>30000+I13</f>
        <v>-6638.4100000000035</v>
      </c>
      <c r="W13" s="513"/>
    </row>
    <row r="14" spans="1:23" x14ac:dyDescent="0.25">
      <c r="A14" s="138">
        <f t="shared" si="2"/>
        <v>12</v>
      </c>
      <c r="B14" s="602">
        <f t="shared" si="0"/>
        <v>46174</v>
      </c>
      <c r="C14" s="600">
        <f t="shared" si="1"/>
        <v>51828.94</v>
      </c>
      <c r="D14" s="138" t="s">
        <v>760</v>
      </c>
      <c r="E14" s="478" t="s">
        <v>1113</v>
      </c>
      <c r="F14" s="516">
        <v>14630.5</v>
      </c>
      <c r="G14" s="508"/>
      <c r="H14" s="503">
        <v>0</v>
      </c>
      <c r="I14" s="504"/>
      <c r="J14" s="504"/>
      <c r="K14" s="504"/>
      <c r="L14" s="504"/>
      <c r="M14" s="514">
        <v>37198.44</v>
      </c>
      <c r="N14" s="505"/>
      <c r="O14" s="504"/>
      <c r="P14" s="504"/>
      <c r="Q14" s="504"/>
      <c r="R14" s="504"/>
      <c r="S14" s="505"/>
      <c r="T14" s="517">
        <f>1600</f>
        <v>1600</v>
      </c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46174</v>
      </c>
      <c r="C15" s="600">
        <f t="shared" si="1"/>
        <v>210563.44</v>
      </c>
      <c r="D15" s="138" t="s">
        <v>465</v>
      </c>
      <c r="E15" s="478" t="s">
        <v>1114</v>
      </c>
      <c r="F15" s="503">
        <v>210238.65</v>
      </c>
      <c r="G15" s="508"/>
      <c r="H15" s="503">
        <v>324.79000000000002</v>
      </c>
      <c r="I15" s="503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46174</v>
      </c>
      <c r="C16" s="600">
        <f t="shared" si="1"/>
        <v>440479</v>
      </c>
      <c r="D16" s="138" t="s">
        <v>13</v>
      </c>
      <c r="E16" s="478" t="s">
        <v>1115</v>
      </c>
      <c r="F16" s="504">
        <v>423881.05</v>
      </c>
      <c r="G16" s="508"/>
      <c r="H16" s="503">
        <v>16597.95</v>
      </c>
      <c r="I16" s="503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07"/>
      <c r="V16" s="507"/>
      <c r="W16" s="507"/>
    </row>
    <row r="17" spans="1:23" x14ac:dyDescent="0.25">
      <c r="A17" s="138">
        <f t="shared" si="2"/>
        <v>15</v>
      </c>
      <c r="B17" s="602">
        <f t="shared" si="0"/>
        <v>46174</v>
      </c>
      <c r="C17" s="600">
        <f t="shared" si="1"/>
        <v>442.16</v>
      </c>
      <c r="D17" s="138" t="s">
        <v>670</v>
      </c>
      <c r="E17" s="478" t="s">
        <v>380</v>
      </c>
      <c r="F17" s="508"/>
      <c r="G17" s="508"/>
      <c r="H17" s="503">
        <v>442.16</v>
      </c>
      <c r="I17" s="504"/>
      <c r="J17" s="504"/>
      <c r="K17" s="504"/>
      <c r="L17" s="504"/>
      <c r="M17" s="505"/>
      <c r="N17" s="505"/>
      <c r="O17" s="504"/>
      <c r="P17" s="504"/>
      <c r="Q17" s="504"/>
      <c r="R17" s="504"/>
      <c r="S17" s="505"/>
      <c r="T17" s="507"/>
      <c r="U17" s="507"/>
      <c r="V17" s="507"/>
      <c r="W17" s="507"/>
    </row>
    <row r="18" spans="1:23" x14ac:dyDescent="0.25">
      <c r="A18" s="138">
        <f t="shared" si="2"/>
        <v>16</v>
      </c>
      <c r="B18" s="602">
        <f t="shared" si="0"/>
        <v>46174</v>
      </c>
      <c r="C18" s="600">
        <f t="shared" si="1"/>
        <v>3746.08</v>
      </c>
      <c r="D18" s="138" t="s">
        <v>867</v>
      </c>
      <c r="E18" s="478" t="s">
        <v>1116</v>
      </c>
      <c r="F18" s="518"/>
      <c r="G18" s="508"/>
      <c r="H18" s="519">
        <v>3746.08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07">
        <f>10000</f>
        <v>10000</v>
      </c>
      <c r="V18" s="507"/>
      <c r="W18" s="507"/>
    </row>
    <row r="19" spans="1:23" x14ac:dyDescent="0.25">
      <c r="A19" s="138">
        <f t="shared" si="2"/>
        <v>17</v>
      </c>
      <c r="B19" s="602">
        <f t="shared" si="0"/>
        <v>46174</v>
      </c>
      <c r="C19" s="600">
        <f t="shared" si="1"/>
        <v>-12521.119999999999</v>
      </c>
      <c r="D19" s="138" t="s">
        <v>482</v>
      </c>
      <c r="E19" s="478" t="s">
        <v>1117</v>
      </c>
      <c r="F19" s="508"/>
      <c r="G19" s="508"/>
      <c r="H19" s="520">
        <v>-12815.24</v>
      </c>
      <c r="I19" s="504"/>
      <c r="J19" s="504"/>
      <c r="K19" s="504"/>
      <c r="L19" s="504"/>
      <c r="M19" s="505"/>
      <c r="N19" s="514">
        <v>294.12</v>
      </c>
      <c r="O19" s="504"/>
      <c r="P19" s="504"/>
      <c r="Q19" s="504"/>
      <c r="R19" s="504"/>
      <c r="S19" s="505"/>
      <c r="T19" s="507"/>
      <c r="U19" s="513">
        <f>20000+H19</f>
        <v>7184.76</v>
      </c>
      <c r="V19" s="507"/>
      <c r="W19" s="507"/>
    </row>
    <row r="20" spans="1:23" x14ac:dyDescent="0.25">
      <c r="A20" s="138">
        <f t="shared" si="2"/>
        <v>18</v>
      </c>
      <c r="B20" s="602">
        <f t="shared" si="0"/>
        <v>46174</v>
      </c>
      <c r="C20" s="600">
        <f t="shared" si="1"/>
        <v>2032960.69</v>
      </c>
      <c r="D20" s="138" t="s">
        <v>673</v>
      </c>
      <c r="E20" s="478" t="s">
        <v>1118</v>
      </c>
      <c r="F20" s="504">
        <v>2032960.69</v>
      </c>
      <c r="G20" s="508"/>
      <c r="H20" s="503">
        <v>0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46174</v>
      </c>
      <c r="C21" s="600">
        <f t="shared" si="1"/>
        <v>3615.89</v>
      </c>
      <c r="D21" s="138" t="s">
        <v>677</v>
      </c>
      <c r="E21" s="478" t="s">
        <v>381</v>
      </c>
      <c r="F21" s="504">
        <v>3566.68</v>
      </c>
      <c r="G21" s="508"/>
      <c r="H21" s="134">
        <v>49.21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46174</v>
      </c>
      <c r="C22" s="600">
        <f t="shared" si="1"/>
        <v>1446.94</v>
      </c>
      <c r="D22" s="138" t="s">
        <v>678</v>
      </c>
      <c r="E22" s="478" t="s">
        <v>1119</v>
      </c>
      <c r="F22" s="503">
        <v>1446.92</v>
      </c>
      <c r="G22" s="508"/>
      <c r="H22" s="503">
        <v>0.02</v>
      </c>
      <c r="I22" s="504"/>
      <c r="J22" s="504"/>
      <c r="K22" s="504"/>
      <c r="L22" s="504"/>
      <c r="M22" s="505"/>
      <c r="N22" s="505"/>
      <c r="O22" s="504"/>
      <c r="P22" s="504"/>
      <c r="Q22" s="504"/>
      <c r="R22" s="504"/>
      <c r="S22" s="505"/>
      <c r="T22" s="507"/>
      <c r="U22" s="507"/>
      <c r="V22" s="507"/>
      <c r="W22" s="507"/>
    </row>
    <row r="23" spans="1:23" x14ac:dyDescent="0.25">
      <c r="A23" s="138">
        <f t="shared" si="2"/>
        <v>21</v>
      </c>
      <c r="B23" s="602">
        <f t="shared" si="0"/>
        <v>46174</v>
      </c>
      <c r="C23" s="600">
        <f t="shared" si="1"/>
        <v>0</v>
      </c>
      <c r="D23" s="138" t="s">
        <v>813</v>
      </c>
      <c r="E23" s="478" t="s">
        <v>1120</v>
      </c>
      <c r="F23" s="504">
        <v>0</v>
      </c>
      <c r="G23" s="508"/>
      <c r="H23" s="503">
        <v>0</v>
      </c>
      <c r="I23" s="504"/>
      <c r="J23" s="504"/>
      <c r="K23" s="504"/>
      <c r="L23" s="504"/>
      <c r="M23" s="505"/>
      <c r="N23" s="505"/>
      <c r="O23" s="504"/>
      <c r="P23" s="504"/>
      <c r="Q23" s="504"/>
      <c r="R23" s="504"/>
      <c r="S23" s="505"/>
      <c r="T23" s="507"/>
      <c r="U23" s="507"/>
      <c r="V23" s="507"/>
      <c r="W23" s="507"/>
    </row>
    <row r="24" spans="1:23" x14ac:dyDescent="0.25">
      <c r="A24" s="138">
        <f t="shared" si="2"/>
        <v>22</v>
      </c>
      <c r="B24" s="602">
        <f t="shared" si="0"/>
        <v>46174</v>
      </c>
      <c r="C24" s="600">
        <f t="shared" si="1"/>
        <v>6104.32</v>
      </c>
      <c r="D24" s="138" t="s">
        <v>671</v>
      </c>
      <c r="E24" s="478" t="s">
        <v>1121</v>
      </c>
      <c r="F24" s="503">
        <v>2006.96</v>
      </c>
      <c r="G24" s="508"/>
      <c r="H24" s="503">
        <v>4097.3599999999997</v>
      </c>
      <c r="I24" s="503"/>
      <c r="J24" s="503"/>
      <c r="K24" s="504"/>
      <c r="L24" s="503"/>
      <c r="M24" s="505"/>
      <c r="N24" s="505"/>
      <c r="O24" s="504"/>
      <c r="P24" s="504"/>
      <c r="Q24" s="504"/>
      <c r="R24" s="504"/>
      <c r="S24" s="505"/>
      <c r="T24" s="507"/>
      <c r="U24" s="513">
        <f>100000</f>
        <v>100000</v>
      </c>
      <c r="V24" s="513"/>
      <c r="W24" s="513"/>
    </row>
    <row r="25" spans="1:23" x14ac:dyDescent="0.25">
      <c r="A25" s="138">
        <f t="shared" si="2"/>
        <v>23</v>
      </c>
      <c r="B25" s="602">
        <f t="shared" si="0"/>
        <v>46174</v>
      </c>
      <c r="C25" s="600">
        <f t="shared" si="1"/>
        <v>-39852.39</v>
      </c>
      <c r="D25" s="138" t="s">
        <v>1122</v>
      </c>
      <c r="E25" s="479" t="s">
        <v>1122</v>
      </c>
      <c r="F25" s="508"/>
      <c r="G25" s="508"/>
      <c r="H25" s="521">
        <v>-39852.39</v>
      </c>
      <c r="I25" s="522"/>
      <c r="J25" s="522"/>
      <c r="K25" s="522"/>
      <c r="L25" s="522"/>
      <c r="M25" s="522"/>
      <c r="N25" s="522"/>
      <c r="O25" s="522"/>
      <c r="P25" s="522"/>
      <c r="Q25" s="504"/>
      <c r="R25" s="504"/>
      <c r="S25" s="505"/>
      <c r="T25" s="507"/>
      <c r="U25" s="507">
        <f>40000+H25</f>
        <v>147.61000000000058</v>
      </c>
      <c r="V25" s="513"/>
      <c r="W25" s="513"/>
    </row>
    <row r="26" spans="1:23" x14ac:dyDescent="0.25">
      <c r="A26" s="138">
        <f t="shared" si="2"/>
        <v>24</v>
      </c>
      <c r="B26" s="602">
        <f t="shared" si="0"/>
        <v>46174</v>
      </c>
      <c r="C26" s="600">
        <f t="shared" si="1"/>
        <v>9268.59</v>
      </c>
      <c r="D26" s="138" t="s">
        <v>857</v>
      </c>
      <c r="E26" s="478" t="s">
        <v>1123</v>
      </c>
      <c r="F26" s="523">
        <v>2444.86</v>
      </c>
      <c r="G26" s="508"/>
      <c r="H26" s="503">
        <v>6823.73</v>
      </c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x14ac:dyDescent="0.25">
      <c r="A27" s="138">
        <f t="shared" si="2"/>
        <v>25</v>
      </c>
      <c r="B27" s="602">
        <f t="shared" si="0"/>
        <v>46174</v>
      </c>
      <c r="C27" s="600">
        <f t="shared" si="1"/>
        <v>988.38</v>
      </c>
      <c r="D27" s="138" t="s">
        <v>889</v>
      </c>
      <c r="E27" s="478" t="s">
        <v>1124</v>
      </c>
      <c r="F27" s="508"/>
      <c r="G27" s="508"/>
      <c r="H27" s="503">
        <v>988.38</v>
      </c>
      <c r="I27" s="503"/>
      <c r="J27" s="503"/>
      <c r="K27" s="503"/>
      <c r="L27" s="503"/>
      <c r="M27" s="505"/>
      <c r="N27" s="505"/>
      <c r="O27" s="504"/>
      <c r="P27" s="504"/>
      <c r="Q27" s="504"/>
      <c r="R27" s="504"/>
      <c r="S27" s="505"/>
      <c r="T27" s="507"/>
      <c r="U27" s="507"/>
      <c r="V27" s="507"/>
      <c r="W27" s="507"/>
    </row>
    <row r="28" spans="1:23" x14ac:dyDescent="0.25">
      <c r="A28" s="138">
        <f t="shared" si="2"/>
        <v>26</v>
      </c>
      <c r="B28" s="602">
        <f t="shared" si="0"/>
        <v>46174</v>
      </c>
      <c r="C28" s="600">
        <f t="shared" si="1"/>
        <v>0</v>
      </c>
      <c r="D28" s="138" t="s">
        <v>863</v>
      </c>
      <c r="E28" s="478" t="s">
        <v>1125</v>
      </c>
      <c r="F28" s="508"/>
      <c r="G28" s="508"/>
      <c r="H28" s="524"/>
      <c r="I28" s="503"/>
      <c r="J28" s="503"/>
      <c r="K28" s="503"/>
      <c r="L28" s="503"/>
      <c r="M28" s="505"/>
      <c r="N28" s="505"/>
      <c r="O28" s="504"/>
      <c r="P28" s="504"/>
      <c r="Q28" s="504"/>
      <c r="R28" s="504"/>
      <c r="S28" s="505"/>
      <c r="T28" s="507"/>
      <c r="U28" s="507"/>
      <c r="V28" s="507"/>
      <c r="W28" s="507"/>
    </row>
    <row r="29" spans="1:23" x14ac:dyDescent="0.25">
      <c r="E29" s="480"/>
      <c r="F29" s="525">
        <f t="shared" ref="F29:N29" si="3">SUM(F3:F28)</f>
        <v>2741367.12</v>
      </c>
      <c r="G29" s="526">
        <f t="shared" si="3"/>
        <v>895054.09</v>
      </c>
      <c r="H29" s="526">
        <f t="shared" si="3"/>
        <v>2249618.9299999997</v>
      </c>
      <c r="I29" s="526">
        <f t="shared" si="3"/>
        <v>47360.299999999988</v>
      </c>
      <c r="J29" s="526">
        <f t="shared" si="3"/>
        <v>-3492.03</v>
      </c>
      <c r="K29" s="526">
        <f t="shared" si="3"/>
        <v>0</v>
      </c>
      <c r="L29" s="526">
        <f t="shared" si="3"/>
        <v>4796.55</v>
      </c>
      <c r="M29" s="526">
        <f t="shared" si="3"/>
        <v>37198.44</v>
      </c>
      <c r="N29" s="526">
        <f t="shared" si="3"/>
        <v>294.12</v>
      </c>
      <c r="O29" s="526">
        <v>0</v>
      </c>
      <c r="P29" s="526">
        <f>SUM(P3:P28)</f>
        <v>0</v>
      </c>
      <c r="Q29" s="526">
        <v>0</v>
      </c>
      <c r="R29" s="526">
        <f t="shared" ref="R29:W29" si="4">SUM(R3:R28)</f>
        <v>1252.9000000000001</v>
      </c>
      <c r="S29" s="526">
        <f t="shared" si="4"/>
        <v>12000</v>
      </c>
      <c r="T29" s="526">
        <f t="shared" si="4"/>
        <v>276006.32</v>
      </c>
      <c r="U29" s="526">
        <f t="shared" si="4"/>
        <v>117332.37000000001</v>
      </c>
      <c r="V29" s="526">
        <f t="shared" si="4"/>
        <v>47562.86</v>
      </c>
      <c r="W29" s="526">
        <f t="shared" si="4"/>
        <v>300000</v>
      </c>
    </row>
    <row r="30" spans="1:23" x14ac:dyDescent="0.25">
      <c r="C30" s="601">
        <f>SUM(C3:C28)</f>
        <v>5972197.5200000005</v>
      </c>
      <c r="E30" s="480"/>
      <c r="F30" s="481"/>
      <c r="G30" s="480"/>
      <c r="H30" s="480"/>
      <c r="I30" s="483" t="s">
        <v>1126</v>
      </c>
      <c r="J30" s="527">
        <f>SUM(F29:N29)</f>
        <v>5972197.5199999996</v>
      </c>
      <c r="K30" s="526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1"/>
      <c r="G31" s="480"/>
      <c r="H31" s="480"/>
      <c r="I31" s="485" t="s">
        <v>1127</v>
      </c>
      <c r="J31" s="528">
        <f>SUM(F3,G3,F4,H4,I4,L4,F5,F6,H6,F7,F8,F9,H8,I8,H9,H10,I10,H11,F13,F14,F15,F16,H15,H16,H18,F20,F21,F22,H21,H22,H24,F24,F26,H26,H27,N19,M14)</f>
        <v>6067150.8100000015</v>
      </c>
      <c r="K31" s="529">
        <f>J31+W33</f>
        <v>6808052.3600000013</v>
      </c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ht="15" customHeight="1" x14ac:dyDescent="0.25">
      <c r="E32" s="480"/>
      <c r="F32" s="481"/>
      <c r="G32" s="480"/>
      <c r="H32" s="480"/>
      <c r="I32" s="483"/>
      <c r="J32" s="484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ht="15" customHeight="1" x14ac:dyDescent="0.25">
      <c r="E33" s="480"/>
      <c r="F33" s="481"/>
      <c r="G33" s="480"/>
      <c r="H33" s="480"/>
      <c r="I33" s="486" t="s">
        <v>1128</v>
      </c>
      <c r="J33" s="484"/>
      <c r="K33" s="484"/>
      <c r="M33" s="487"/>
      <c r="N33" s="637" t="s">
        <v>1129</v>
      </c>
      <c r="O33" s="637"/>
      <c r="P33" s="637"/>
      <c r="Q33" s="480"/>
      <c r="R33" s="480"/>
      <c r="S33" s="480"/>
      <c r="T33" s="480"/>
      <c r="U33" s="480"/>
      <c r="V33" s="480"/>
      <c r="W33" s="586">
        <f>T29+U29+V29+W29</f>
        <v>740901.55</v>
      </c>
    </row>
    <row r="34" spans="5:23" x14ac:dyDescent="0.25">
      <c r="E34" s="480"/>
      <c r="F34" s="481"/>
      <c r="G34" s="480"/>
      <c r="H34" s="480"/>
      <c r="I34" s="488"/>
      <c r="J34" s="489"/>
      <c r="K34" s="490"/>
      <c r="N34" s="481"/>
      <c r="O34" s="481"/>
      <c r="P34" s="491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1"/>
      <c r="G35" s="480"/>
      <c r="H35" s="480"/>
      <c r="I35" s="492" t="s">
        <v>1130</v>
      </c>
      <c r="J35" s="530"/>
      <c r="K35" s="490">
        <v>46176</v>
      </c>
      <c r="M35" s="480"/>
      <c r="N35" s="494"/>
      <c r="O35" s="493"/>
      <c r="P35" s="495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1"/>
      <c r="G36" s="480"/>
      <c r="H36" s="480"/>
      <c r="I36" s="488" t="s">
        <v>1131</v>
      </c>
      <c r="J36" s="530">
        <v>500000</v>
      </c>
      <c r="K36" s="490">
        <v>46178</v>
      </c>
      <c r="M36" s="480"/>
      <c r="N36" s="494"/>
      <c r="O36" s="494"/>
      <c r="P36" s="496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1"/>
      <c r="G37" s="480"/>
      <c r="H37" s="480"/>
      <c r="I37" s="488" t="s">
        <v>1132</v>
      </c>
      <c r="J37" s="530">
        <v>0</v>
      </c>
      <c r="K37" s="490"/>
      <c r="M37" s="480"/>
      <c r="N37" s="494"/>
      <c r="O37" s="494"/>
      <c r="P37" s="496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1"/>
      <c r="G38" s="480"/>
      <c r="H38" s="480"/>
      <c r="I38" s="488"/>
      <c r="J38" s="530">
        <v>0</v>
      </c>
      <c r="K38" s="490"/>
      <c r="M38" s="480"/>
      <c r="N38" s="494"/>
      <c r="O38" s="494"/>
      <c r="P38" s="496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1"/>
      <c r="G39" s="480"/>
      <c r="H39" s="480"/>
      <c r="I39" s="488" t="s">
        <v>1133</v>
      </c>
      <c r="J39" s="530">
        <v>450000</v>
      </c>
      <c r="K39" s="490">
        <v>46178</v>
      </c>
      <c r="M39" s="480"/>
      <c r="N39" s="481"/>
      <c r="O39" s="481"/>
      <c r="P39" s="497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1"/>
      <c r="G40" s="480"/>
      <c r="H40" s="480"/>
      <c r="I40" s="488" t="s">
        <v>1134</v>
      </c>
      <c r="J40" s="531"/>
      <c r="K40" s="490"/>
      <c r="M40" s="480"/>
      <c r="N40" s="481"/>
      <c r="O40" s="481"/>
      <c r="P40" s="497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1"/>
      <c r="G41" s="480"/>
      <c r="H41" s="480"/>
      <c r="I41" s="488" t="s">
        <v>1135</v>
      </c>
      <c r="J41" s="531"/>
      <c r="K41" s="490">
        <v>46167</v>
      </c>
      <c r="M41" s="480"/>
      <c r="N41" s="481"/>
      <c r="O41" s="481"/>
      <c r="P41" s="497"/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1"/>
      <c r="G42" s="480"/>
      <c r="H42" s="480"/>
      <c r="I42" s="488" t="s">
        <v>1136</v>
      </c>
      <c r="J42" s="531"/>
      <c r="K42" s="490">
        <v>46172</v>
      </c>
      <c r="M42" s="480"/>
      <c r="N42" s="481"/>
      <c r="O42" s="481"/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E43" s="480"/>
      <c r="F43" s="481"/>
      <c r="G43" s="480"/>
      <c r="H43" s="480"/>
      <c r="I43" s="488" t="s">
        <v>1137</v>
      </c>
      <c r="J43" s="531"/>
      <c r="K43" s="490"/>
      <c r="M43" s="480"/>
      <c r="N43" s="481"/>
      <c r="O43" s="481"/>
      <c r="P43" s="480"/>
      <c r="Q43" s="480"/>
      <c r="R43" s="480"/>
      <c r="S43" s="480"/>
      <c r="T43" s="480"/>
      <c r="U43" s="480"/>
      <c r="V43" s="480"/>
      <c r="W43" s="480"/>
    </row>
    <row r="44" spans="5:23" x14ac:dyDescent="0.25">
      <c r="E44" s="480"/>
      <c r="F44" s="481"/>
      <c r="G44" s="480"/>
      <c r="H44" s="480"/>
      <c r="I44" s="488" t="s">
        <v>1138</v>
      </c>
      <c r="J44" s="531"/>
      <c r="K44" s="490"/>
      <c r="M44" s="498"/>
      <c r="N44" s="498"/>
      <c r="O44" s="534">
        <f>O34+O35+O36+O38+O40+O41+O42+O43+O37+O39</f>
        <v>0</v>
      </c>
      <c r="P44" s="499"/>
      <c r="Q44" s="480"/>
      <c r="R44" s="480"/>
      <c r="S44" s="480"/>
      <c r="T44" s="480"/>
      <c r="U44" s="480"/>
      <c r="V44" s="480"/>
      <c r="W44" s="480"/>
    </row>
    <row r="45" spans="5:23" ht="45" x14ac:dyDescent="0.25">
      <c r="I45" s="501" t="s">
        <v>1139</v>
      </c>
      <c r="J45" s="532">
        <f>J31-J34-J35-J36-J38-J42-J44-J40-J41-J39-J37-J43</f>
        <v>5117150.8100000015</v>
      </c>
      <c r="K45" s="533">
        <f>K31-J40-J41-J42-J43-J44</f>
        <v>6808052.3600000013</v>
      </c>
      <c r="L45" s="502"/>
      <c r="O45" s="500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13796-81D6-4225-ACF5-9A8EB6AB4E7E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500" customWidth="1"/>
    <col min="7" max="23" width="15.7109375" customWidth="1"/>
  </cols>
  <sheetData>
    <row r="1" spans="1:23" x14ac:dyDescent="0.25">
      <c r="E1" s="466" t="s">
        <v>1086</v>
      </c>
      <c r="F1" s="467"/>
      <c r="G1" s="468"/>
      <c r="H1" s="468"/>
      <c r="I1" s="468"/>
      <c r="J1" s="468"/>
      <c r="K1" s="468"/>
      <c r="L1" s="468"/>
      <c r="M1" s="468"/>
      <c r="N1" s="468"/>
      <c r="O1" s="629" t="s">
        <v>1087</v>
      </c>
      <c r="P1" s="630"/>
      <c r="Q1" s="630"/>
      <c r="R1" s="630"/>
      <c r="S1" s="631"/>
      <c r="T1" s="632" t="s">
        <v>1088</v>
      </c>
      <c r="U1" s="632"/>
      <c r="V1" s="632"/>
      <c r="W1" s="632"/>
    </row>
    <row r="2" spans="1:23" ht="18.75" x14ac:dyDescent="0.25">
      <c r="A2" s="183" t="s">
        <v>1260</v>
      </c>
      <c r="B2" s="183" t="s">
        <v>1262</v>
      </c>
      <c r="C2" s="183" t="s">
        <v>441</v>
      </c>
      <c r="D2" s="183" t="s">
        <v>33</v>
      </c>
      <c r="E2" s="469">
        <v>46204</v>
      </c>
      <c r="F2" s="470" t="s">
        <v>773</v>
      </c>
      <c r="G2" s="471" t="s">
        <v>22</v>
      </c>
      <c r="H2" s="471" t="s">
        <v>1089</v>
      </c>
      <c r="I2" s="471" t="s">
        <v>1090</v>
      </c>
      <c r="J2" s="471" t="s">
        <v>1091</v>
      </c>
      <c r="K2" s="471" t="s">
        <v>1092</v>
      </c>
      <c r="L2" s="472" t="s">
        <v>1093</v>
      </c>
      <c r="M2" s="473" t="s">
        <v>1094</v>
      </c>
      <c r="N2" s="473" t="s">
        <v>1095</v>
      </c>
      <c r="O2" s="474" t="s">
        <v>835</v>
      </c>
      <c r="P2" s="474" t="s">
        <v>483</v>
      </c>
      <c r="Q2" s="475" t="s">
        <v>1096</v>
      </c>
      <c r="R2" s="475" t="s">
        <v>1097</v>
      </c>
      <c r="S2" s="475" t="s">
        <v>1098</v>
      </c>
      <c r="T2" s="476" t="s">
        <v>1099</v>
      </c>
      <c r="U2" s="476" t="s">
        <v>1100</v>
      </c>
      <c r="V2" s="476" t="s">
        <v>1101</v>
      </c>
      <c r="W2" s="476" t="s">
        <v>1102</v>
      </c>
    </row>
    <row r="3" spans="1:23" x14ac:dyDescent="0.25">
      <c r="A3" s="138">
        <v>1</v>
      </c>
      <c r="B3" s="602">
        <f>$E$2</f>
        <v>46204</v>
      </c>
      <c r="C3" s="600">
        <f>SUM(F3:N3)</f>
        <v>298411.48</v>
      </c>
      <c r="D3" s="138" t="s">
        <v>11</v>
      </c>
      <c r="E3" s="477" t="s">
        <v>1103</v>
      </c>
      <c r="F3" s="503">
        <v>40391.19</v>
      </c>
      <c r="G3" s="503">
        <v>231305.49</v>
      </c>
      <c r="H3" s="503">
        <v>26714.799999999999</v>
      </c>
      <c r="I3" s="504"/>
      <c r="J3" s="504"/>
      <c r="K3" s="504"/>
      <c r="L3" s="504"/>
      <c r="M3" s="505"/>
      <c r="N3" s="505"/>
      <c r="O3" s="503"/>
      <c r="P3" s="503"/>
      <c r="Q3" s="504"/>
      <c r="R3" s="504"/>
      <c r="S3" s="506"/>
      <c r="T3" s="507"/>
      <c r="U3" s="507"/>
      <c r="V3" s="507"/>
      <c r="W3" s="507"/>
    </row>
    <row r="4" spans="1:23" x14ac:dyDescent="0.25">
      <c r="A4" s="138">
        <f>A3+1</f>
        <v>2</v>
      </c>
      <c r="B4" s="602">
        <f t="shared" ref="B4:B28" si="0">$E$2</f>
        <v>46204</v>
      </c>
      <c r="C4" s="600">
        <f t="shared" ref="C4:C28" si="1">SUM(F4:N4)</f>
        <v>938198.67</v>
      </c>
      <c r="D4" s="138" t="s">
        <v>7</v>
      </c>
      <c r="E4" s="477" t="s">
        <v>1104</v>
      </c>
      <c r="F4" s="504">
        <v>68282</v>
      </c>
      <c r="G4" s="508"/>
      <c r="H4" s="503">
        <v>274199.69</v>
      </c>
      <c r="I4" s="503">
        <v>12419.87</v>
      </c>
      <c r="J4" s="509">
        <v>-2496.56</v>
      </c>
      <c r="K4" s="503">
        <v>0</v>
      </c>
      <c r="L4" s="593">
        <v>585793.67000000004</v>
      </c>
      <c r="M4" s="505"/>
      <c r="N4" s="505"/>
      <c r="O4" s="509"/>
      <c r="P4" s="509"/>
      <c r="Q4" s="504"/>
      <c r="R4" s="511"/>
      <c r="S4" s="514">
        <v>264809</v>
      </c>
      <c r="T4" s="513">
        <f>50000</f>
        <v>50000</v>
      </c>
      <c r="U4" s="513">
        <v>0</v>
      </c>
      <c r="V4" s="507">
        <f>10000+J4</f>
        <v>7503.4400000000005</v>
      </c>
      <c r="W4" s="512">
        <f>300000</f>
        <v>300000</v>
      </c>
    </row>
    <row r="5" spans="1:23" x14ac:dyDescent="0.25">
      <c r="A5" s="138">
        <f t="shared" ref="A5:A28" si="2">A4+1</f>
        <v>3</v>
      </c>
      <c r="B5" s="602">
        <f t="shared" si="0"/>
        <v>46204</v>
      </c>
      <c r="C5" s="600">
        <f t="shared" si="1"/>
        <v>4790.51</v>
      </c>
      <c r="D5" s="138" t="s">
        <v>479</v>
      </c>
      <c r="E5" s="478" t="s">
        <v>1105</v>
      </c>
      <c r="F5" s="503">
        <v>2212.4299999999998</v>
      </c>
      <c r="G5" s="508"/>
      <c r="H5" s="503">
        <v>222.11</v>
      </c>
      <c r="I5" s="503">
        <v>2355.9699999999998</v>
      </c>
      <c r="J5" s="504"/>
      <c r="K5" s="504"/>
      <c r="L5" s="504"/>
      <c r="M5" s="505"/>
      <c r="N5" s="505"/>
      <c r="O5" s="509"/>
      <c r="P5" s="509"/>
      <c r="Q5" s="504"/>
      <c r="R5" s="504"/>
      <c r="S5" s="514"/>
      <c r="T5" s="513">
        <f>88000</f>
        <v>88000</v>
      </c>
      <c r="U5" s="507"/>
      <c r="V5" s="513">
        <f>50000</f>
        <v>50000</v>
      </c>
      <c r="W5" s="513"/>
    </row>
    <row r="6" spans="1:23" x14ac:dyDescent="0.25">
      <c r="A6" s="138">
        <f t="shared" si="2"/>
        <v>4</v>
      </c>
      <c r="B6" s="602">
        <f t="shared" si="0"/>
        <v>46204</v>
      </c>
      <c r="C6" s="600">
        <f t="shared" si="1"/>
        <v>215714.90999999997</v>
      </c>
      <c r="D6" s="138" t="s">
        <v>10</v>
      </c>
      <c r="E6" s="478" t="s">
        <v>1106</v>
      </c>
      <c r="F6" s="504">
        <v>118893.62</v>
      </c>
      <c r="G6" s="508"/>
      <c r="H6" s="503">
        <v>96821.29</v>
      </c>
      <c r="I6" s="503"/>
      <c r="J6" s="504"/>
      <c r="K6" s="504"/>
      <c r="L6" s="504"/>
      <c r="M6" s="505"/>
      <c r="N6" s="505"/>
      <c r="O6" s="503"/>
      <c r="P6" s="503"/>
      <c r="Q6" s="504"/>
      <c r="R6" s="504"/>
      <c r="S6" s="514">
        <v>120547.49</v>
      </c>
      <c r="T6" s="507">
        <f>3697</f>
        <v>3697</v>
      </c>
      <c r="U6" s="507"/>
      <c r="V6" s="507"/>
      <c r="W6" s="507"/>
    </row>
    <row r="7" spans="1:23" x14ac:dyDescent="0.25">
      <c r="A7" s="138">
        <f t="shared" si="2"/>
        <v>5</v>
      </c>
      <c r="B7" s="602">
        <f t="shared" si="0"/>
        <v>46204</v>
      </c>
      <c r="C7" s="600">
        <f t="shared" si="1"/>
        <v>18691.509999999998</v>
      </c>
      <c r="D7" s="138" t="s">
        <v>909</v>
      </c>
      <c r="E7" s="478" t="s">
        <v>1107</v>
      </c>
      <c r="F7" s="503">
        <v>18691.509999999998</v>
      </c>
      <c r="G7" s="508"/>
      <c r="H7" s="503">
        <v>0</v>
      </c>
      <c r="I7" s="504"/>
      <c r="J7" s="504"/>
      <c r="K7" s="504"/>
      <c r="L7" s="504"/>
      <c r="M7" s="505"/>
      <c r="N7" s="505"/>
      <c r="O7" s="503"/>
      <c r="P7" s="503"/>
      <c r="Q7" s="504"/>
      <c r="R7" s="504"/>
      <c r="S7" s="514"/>
      <c r="T7" s="507"/>
      <c r="U7" s="507"/>
      <c r="V7" s="507"/>
      <c r="W7" s="507"/>
    </row>
    <row r="8" spans="1:23" x14ac:dyDescent="0.25">
      <c r="A8" s="138">
        <f>A7+1</f>
        <v>6</v>
      </c>
      <c r="B8" s="602">
        <f t="shared" si="0"/>
        <v>46204</v>
      </c>
      <c r="C8" s="600">
        <f t="shared" si="1"/>
        <v>30953.41</v>
      </c>
      <c r="D8" s="138" t="s">
        <v>9</v>
      </c>
      <c r="E8" s="478" t="s">
        <v>1108</v>
      </c>
      <c r="F8" s="504">
        <v>12587.75</v>
      </c>
      <c r="G8" s="508"/>
      <c r="H8" s="503">
        <v>18365.66</v>
      </c>
      <c r="I8" s="503"/>
      <c r="J8" s="504"/>
      <c r="K8" s="504"/>
      <c r="L8" s="504"/>
      <c r="M8" s="505"/>
      <c r="N8" s="505"/>
      <c r="O8" s="511">
        <v>22047.99</v>
      </c>
      <c r="P8" s="509"/>
      <c r="Q8" s="504"/>
      <c r="R8" s="504"/>
      <c r="S8" s="514">
        <v>12000</v>
      </c>
      <c r="T8" s="507">
        <f>31700</f>
        <v>31700</v>
      </c>
      <c r="U8" s="507"/>
      <c r="V8" s="507"/>
      <c r="W8" s="507"/>
    </row>
    <row r="9" spans="1:23" x14ac:dyDescent="0.25">
      <c r="A9" s="138">
        <f t="shared" si="2"/>
        <v>7</v>
      </c>
      <c r="B9" s="602">
        <f t="shared" si="0"/>
        <v>46204</v>
      </c>
      <c r="C9" s="600">
        <f t="shared" si="1"/>
        <v>70542.19</v>
      </c>
      <c r="D9" s="138" t="s">
        <v>12</v>
      </c>
      <c r="E9" s="477" t="s">
        <v>1109</v>
      </c>
      <c r="F9" s="504">
        <v>16210.03</v>
      </c>
      <c r="G9" s="508"/>
      <c r="H9" s="503">
        <v>54332.160000000003</v>
      </c>
      <c r="I9" s="504"/>
      <c r="J9" s="504"/>
      <c r="K9" s="504"/>
      <c r="L9" s="504"/>
      <c r="M9" s="505"/>
      <c r="N9" s="505"/>
      <c r="O9" s="503"/>
      <c r="P9" s="503"/>
      <c r="Q9" s="511">
        <v>130032.8</v>
      </c>
      <c r="R9" s="504"/>
      <c r="S9" s="514"/>
      <c r="T9" s="513">
        <f>17600</f>
        <v>17600</v>
      </c>
      <c r="U9" s="507"/>
      <c r="V9" s="507"/>
      <c r="W9" s="507"/>
    </row>
    <row r="10" spans="1:23" x14ac:dyDescent="0.25">
      <c r="A10" s="138">
        <f t="shared" si="2"/>
        <v>8</v>
      </c>
      <c r="B10" s="602">
        <f t="shared" si="0"/>
        <v>46204</v>
      </c>
      <c r="C10" s="600">
        <f t="shared" si="1"/>
        <v>58441.34</v>
      </c>
      <c r="D10" s="138" t="s">
        <v>8</v>
      </c>
      <c r="E10" s="477" t="s">
        <v>1110</v>
      </c>
      <c r="F10" s="503">
        <v>5103.03</v>
      </c>
      <c r="G10" s="508"/>
      <c r="H10" s="503">
        <v>113.95</v>
      </c>
      <c r="I10" s="503">
        <v>53224.36</v>
      </c>
      <c r="J10" s="504"/>
      <c r="K10" s="504"/>
      <c r="L10" s="504"/>
      <c r="M10" s="505"/>
      <c r="N10" s="505"/>
      <c r="O10" s="509"/>
      <c r="P10" s="509"/>
      <c r="Q10" s="504"/>
      <c r="R10" s="504"/>
      <c r="S10" s="514"/>
      <c r="T10" s="513">
        <f>78700</f>
        <v>78700</v>
      </c>
      <c r="U10" s="507"/>
      <c r="V10" s="507"/>
      <c r="W10" s="507"/>
    </row>
    <row r="11" spans="1:23" x14ac:dyDescent="0.25">
      <c r="A11" s="138">
        <f t="shared" si="2"/>
        <v>9</v>
      </c>
      <c r="B11" s="602">
        <f t="shared" si="0"/>
        <v>46204</v>
      </c>
      <c r="C11" s="600">
        <f t="shared" si="1"/>
        <v>2090</v>
      </c>
      <c r="D11" s="138" t="s">
        <v>1261</v>
      </c>
      <c r="E11" s="477" t="s">
        <v>348</v>
      </c>
      <c r="F11" s="508"/>
      <c r="G11" s="508"/>
      <c r="H11" s="503">
        <v>2090</v>
      </c>
      <c r="I11" s="503"/>
      <c r="J11" s="504"/>
      <c r="K11" s="504"/>
      <c r="L11" s="504"/>
      <c r="M11" s="505"/>
      <c r="N11" s="505"/>
      <c r="O11" s="509"/>
      <c r="P11" s="509"/>
      <c r="Q11" s="504"/>
      <c r="R11" s="504"/>
      <c r="S11" s="505"/>
      <c r="T11" s="507"/>
      <c r="U11" s="507"/>
      <c r="V11" s="507"/>
      <c r="W11" s="507"/>
    </row>
    <row r="12" spans="1:23" x14ac:dyDescent="0.25">
      <c r="A12" s="138">
        <f t="shared" si="2"/>
        <v>10</v>
      </c>
      <c r="B12" s="602">
        <f t="shared" si="0"/>
        <v>46204</v>
      </c>
      <c r="C12" s="600">
        <f t="shared" si="1"/>
        <v>0</v>
      </c>
      <c r="D12" s="138" t="s">
        <v>1271</v>
      </c>
      <c r="E12" s="477" t="s">
        <v>1111</v>
      </c>
      <c r="F12" s="508"/>
      <c r="G12" s="508"/>
      <c r="H12" s="503">
        <v>0</v>
      </c>
      <c r="I12" s="503"/>
      <c r="J12" s="504"/>
      <c r="K12" s="504"/>
      <c r="L12" s="504"/>
      <c r="M12" s="505"/>
      <c r="N12" s="505"/>
      <c r="O12" s="509"/>
      <c r="P12" s="509"/>
      <c r="Q12" s="504"/>
      <c r="R12" s="504"/>
      <c r="S12" s="505"/>
      <c r="T12" s="507"/>
      <c r="U12" s="507"/>
      <c r="V12" s="507"/>
      <c r="W12" s="507"/>
    </row>
    <row r="13" spans="1:23" x14ac:dyDescent="0.25">
      <c r="A13" s="138">
        <f t="shared" si="2"/>
        <v>11</v>
      </c>
      <c r="B13" s="602">
        <f t="shared" si="0"/>
        <v>46204</v>
      </c>
      <c r="C13" s="600">
        <f t="shared" si="1"/>
        <v>-16578.120000000003</v>
      </c>
      <c r="D13" s="138" t="s">
        <v>481</v>
      </c>
      <c r="E13" s="478" t="s">
        <v>1112</v>
      </c>
      <c r="F13" s="503">
        <v>6419.21</v>
      </c>
      <c r="G13" s="508"/>
      <c r="H13" s="503"/>
      <c r="I13" s="509">
        <v>-22997.33</v>
      </c>
      <c r="J13" s="504"/>
      <c r="K13" s="504"/>
      <c r="L13" s="504"/>
      <c r="M13" s="505"/>
      <c r="N13" s="505"/>
      <c r="O13" s="515"/>
      <c r="P13" s="515"/>
      <c r="Q13" s="504"/>
      <c r="R13" s="504"/>
      <c r="S13" s="505"/>
      <c r="T13" s="513">
        <f>5000</f>
        <v>5000</v>
      </c>
      <c r="U13" s="507"/>
      <c r="V13" s="513">
        <f>30000+I13</f>
        <v>7002.6699999999983</v>
      </c>
      <c r="W13" s="513"/>
    </row>
    <row r="14" spans="1:23" x14ac:dyDescent="0.25">
      <c r="A14" s="138">
        <f t="shared" si="2"/>
        <v>12</v>
      </c>
      <c r="B14" s="602">
        <f t="shared" si="0"/>
        <v>46204</v>
      </c>
      <c r="C14" s="600">
        <f t="shared" si="1"/>
        <v>75616.160000000003</v>
      </c>
      <c r="D14" s="138" t="s">
        <v>760</v>
      </c>
      <c r="E14" s="478" t="s">
        <v>1113</v>
      </c>
      <c r="F14" s="516">
        <v>3682.35</v>
      </c>
      <c r="G14" s="508"/>
      <c r="H14" s="503">
        <v>0</v>
      </c>
      <c r="I14" s="504"/>
      <c r="J14" s="504"/>
      <c r="K14" s="504"/>
      <c r="L14" s="504"/>
      <c r="M14" s="514">
        <v>71933.81</v>
      </c>
      <c r="N14" s="505"/>
      <c r="O14" s="504"/>
      <c r="P14" s="504"/>
      <c r="Q14" s="504"/>
      <c r="R14" s="504"/>
      <c r="S14" s="505"/>
      <c r="T14" s="517">
        <f>1600</f>
        <v>1600</v>
      </c>
      <c r="U14" s="507"/>
      <c r="V14" s="507"/>
      <c r="W14" s="507"/>
    </row>
    <row r="15" spans="1:23" x14ac:dyDescent="0.25">
      <c r="A15" s="138">
        <f t="shared" si="2"/>
        <v>13</v>
      </c>
      <c r="B15" s="602">
        <f t="shared" si="0"/>
        <v>46204</v>
      </c>
      <c r="C15" s="600">
        <f t="shared" si="1"/>
        <v>386432.78</v>
      </c>
      <c r="D15" s="138" t="s">
        <v>465</v>
      </c>
      <c r="E15" s="478" t="s">
        <v>1114</v>
      </c>
      <c r="F15" s="503">
        <v>4912.1499999999996</v>
      </c>
      <c r="G15" s="508"/>
      <c r="H15" s="503">
        <v>381520.63</v>
      </c>
      <c r="I15" s="503"/>
      <c r="J15" s="504"/>
      <c r="K15" s="504"/>
      <c r="L15" s="504"/>
      <c r="M15" s="505"/>
      <c r="N15" s="505"/>
      <c r="O15" s="504"/>
      <c r="P15" s="504"/>
      <c r="Q15" s="504"/>
      <c r="R15" s="504"/>
      <c r="S15" s="505"/>
      <c r="T15" s="507"/>
      <c r="U15" s="507"/>
      <c r="V15" s="507"/>
      <c r="W15" s="507"/>
    </row>
    <row r="16" spans="1:23" x14ac:dyDescent="0.25">
      <c r="A16" s="138">
        <f t="shared" si="2"/>
        <v>14</v>
      </c>
      <c r="B16" s="602">
        <f t="shared" si="0"/>
        <v>46204</v>
      </c>
      <c r="C16" s="600">
        <f t="shared" si="1"/>
        <v>190249.72</v>
      </c>
      <c r="D16" s="138" t="s">
        <v>13</v>
      </c>
      <c r="E16" s="478" t="s">
        <v>1115</v>
      </c>
      <c r="F16" s="504">
        <v>181753.53</v>
      </c>
      <c r="G16" s="508"/>
      <c r="H16" s="503">
        <v>8496.19</v>
      </c>
      <c r="I16" s="503"/>
      <c r="J16" s="504"/>
      <c r="K16" s="504"/>
      <c r="L16" s="504"/>
      <c r="M16" s="505"/>
      <c r="N16" s="505"/>
      <c r="O16" s="504"/>
      <c r="P16" s="504"/>
      <c r="Q16" s="504"/>
      <c r="R16" s="504"/>
      <c r="S16" s="505"/>
      <c r="T16" s="507"/>
      <c r="U16" s="507"/>
      <c r="V16" s="507"/>
      <c r="W16" s="507"/>
    </row>
    <row r="17" spans="1:23" x14ac:dyDescent="0.25">
      <c r="A17" s="138">
        <f t="shared" si="2"/>
        <v>15</v>
      </c>
      <c r="B17" s="602">
        <f t="shared" si="0"/>
        <v>46204</v>
      </c>
      <c r="C17" s="600">
        <f t="shared" si="1"/>
        <v>0</v>
      </c>
      <c r="D17" s="138" t="s">
        <v>670</v>
      </c>
      <c r="E17" s="478" t="s">
        <v>380</v>
      </c>
      <c r="F17" s="508"/>
      <c r="G17" s="508"/>
      <c r="H17" s="503"/>
      <c r="I17" s="504"/>
      <c r="J17" s="504"/>
      <c r="K17" s="504"/>
      <c r="L17" s="504"/>
      <c r="M17" s="505"/>
      <c r="N17" s="505"/>
      <c r="O17" s="504"/>
      <c r="P17" s="504"/>
      <c r="Q17" s="504"/>
      <c r="R17" s="504"/>
      <c r="S17" s="505"/>
      <c r="T17" s="507"/>
      <c r="U17" s="507"/>
      <c r="V17" s="507"/>
      <c r="W17" s="507"/>
    </row>
    <row r="18" spans="1:23" x14ac:dyDescent="0.25">
      <c r="A18" s="138">
        <f t="shared" si="2"/>
        <v>16</v>
      </c>
      <c r="B18" s="602">
        <f t="shared" si="0"/>
        <v>46204</v>
      </c>
      <c r="C18" s="600">
        <f t="shared" si="1"/>
        <v>17355.18</v>
      </c>
      <c r="D18" s="138" t="s">
        <v>867</v>
      </c>
      <c r="E18" s="478" t="s">
        <v>1116</v>
      </c>
      <c r="F18" s="518"/>
      <c r="G18" s="508"/>
      <c r="H18" s="519">
        <v>17355.18</v>
      </c>
      <c r="I18" s="504"/>
      <c r="J18" s="504"/>
      <c r="K18" s="504"/>
      <c r="L18" s="504"/>
      <c r="M18" s="505"/>
      <c r="N18" s="505"/>
      <c r="O18" s="504"/>
      <c r="P18" s="504"/>
      <c r="Q18" s="504"/>
      <c r="R18" s="504"/>
      <c r="S18" s="505"/>
      <c r="T18" s="507"/>
      <c r="U18" s="507">
        <f>10000</f>
        <v>10000</v>
      </c>
      <c r="V18" s="507"/>
      <c r="W18" s="507"/>
    </row>
    <row r="19" spans="1:23" x14ac:dyDescent="0.25">
      <c r="A19" s="138">
        <f t="shared" si="2"/>
        <v>17</v>
      </c>
      <c r="B19" s="602">
        <f t="shared" si="0"/>
        <v>46204</v>
      </c>
      <c r="C19" s="600">
        <f t="shared" si="1"/>
        <v>3036.6000000000004</v>
      </c>
      <c r="D19" s="138" t="s">
        <v>482</v>
      </c>
      <c r="E19" s="478" t="s">
        <v>1117</v>
      </c>
      <c r="F19" s="508"/>
      <c r="G19" s="508"/>
      <c r="H19" s="519">
        <v>2448.36</v>
      </c>
      <c r="I19" s="504"/>
      <c r="J19" s="504"/>
      <c r="K19" s="504"/>
      <c r="L19" s="504"/>
      <c r="M19" s="505"/>
      <c r="N19" s="514">
        <v>588.24</v>
      </c>
      <c r="O19" s="504"/>
      <c r="P19" s="504"/>
      <c r="Q19" s="504"/>
      <c r="R19" s="504"/>
      <c r="S19" s="505"/>
      <c r="T19" s="507"/>
      <c r="U19" s="513">
        <f>20000</f>
        <v>20000</v>
      </c>
      <c r="V19" s="507"/>
      <c r="W19" s="507"/>
    </row>
    <row r="20" spans="1:23" x14ac:dyDescent="0.25">
      <c r="A20" s="138">
        <f t="shared" si="2"/>
        <v>18</v>
      </c>
      <c r="B20" s="602">
        <f t="shared" si="0"/>
        <v>46204</v>
      </c>
      <c r="C20" s="600">
        <f t="shared" si="1"/>
        <v>88224.82</v>
      </c>
      <c r="D20" s="138" t="s">
        <v>673</v>
      </c>
      <c r="E20" s="478" t="s">
        <v>1118</v>
      </c>
      <c r="F20" s="504">
        <v>88224.82</v>
      </c>
      <c r="G20" s="508"/>
      <c r="H20" s="503">
        <v>0</v>
      </c>
      <c r="I20" s="504"/>
      <c r="J20" s="504"/>
      <c r="K20" s="504"/>
      <c r="L20" s="504"/>
      <c r="M20" s="505"/>
      <c r="N20" s="505"/>
      <c r="O20" s="504"/>
      <c r="P20" s="504"/>
      <c r="Q20" s="504"/>
      <c r="R20" s="504"/>
      <c r="S20" s="505"/>
      <c r="T20" s="507"/>
      <c r="U20" s="507"/>
      <c r="V20" s="507"/>
      <c r="W20" s="507"/>
    </row>
    <row r="21" spans="1:23" x14ac:dyDescent="0.25">
      <c r="A21" s="138">
        <f t="shared" si="2"/>
        <v>19</v>
      </c>
      <c r="B21" s="602">
        <f t="shared" si="0"/>
        <v>46204</v>
      </c>
      <c r="C21" s="600">
        <f t="shared" si="1"/>
        <v>69713.08</v>
      </c>
      <c r="D21" s="138" t="s">
        <v>677</v>
      </c>
      <c r="E21" s="478" t="s">
        <v>381</v>
      </c>
      <c r="F21" s="503">
        <v>69713.08</v>
      </c>
      <c r="G21" s="508"/>
      <c r="H21" s="134">
        <v>0</v>
      </c>
      <c r="I21" s="504"/>
      <c r="J21" s="504"/>
      <c r="K21" s="504"/>
      <c r="L21" s="504"/>
      <c r="M21" s="505"/>
      <c r="N21" s="505"/>
      <c r="O21" s="504"/>
      <c r="P21" s="504"/>
      <c r="Q21" s="504"/>
      <c r="R21" s="504"/>
      <c r="S21" s="505"/>
      <c r="T21" s="507"/>
      <c r="U21" s="507"/>
      <c r="V21" s="507"/>
      <c r="W21" s="507"/>
    </row>
    <row r="22" spans="1:23" x14ac:dyDescent="0.25">
      <c r="A22" s="138">
        <f t="shared" si="2"/>
        <v>20</v>
      </c>
      <c r="B22" s="602">
        <f t="shared" si="0"/>
        <v>46204</v>
      </c>
      <c r="C22" s="600">
        <f t="shared" si="1"/>
        <v>8510</v>
      </c>
      <c r="D22" s="138" t="s">
        <v>678</v>
      </c>
      <c r="E22" s="478" t="s">
        <v>1119</v>
      </c>
      <c r="F22" s="591">
        <v>8509.98</v>
      </c>
      <c r="G22" s="508"/>
      <c r="H22" s="503">
        <v>0.02</v>
      </c>
      <c r="I22" s="504"/>
      <c r="J22" s="504"/>
      <c r="K22" s="504"/>
      <c r="L22" s="504"/>
      <c r="M22" s="505"/>
      <c r="N22" s="505"/>
      <c r="O22" s="504"/>
      <c r="P22" s="504"/>
      <c r="Q22" s="504"/>
      <c r="R22" s="504"/>
      <c r="S22" s="505"/>
      <c r="T22" s="507"/>
      <c r="U22" s="507"/>
      <c r="V22" s="507"/>
      <c r="W22" s="507"/>
    </row>
    <row r="23" spans="1:23" x14ac:dyDescent="0.25">
      <c r="A23" s="138">
        <f t="shared" si="2"/>
        <v>21</v>
      </c>
      <c r="B23" s="602">
        <f t="shared" si="0"/>
        <v>46204</v>
      </c>
      <c r="C23" s="600">
        <f t="shared" si="1"/>
        <v>19496.11</v>
      </c>
      <c r="D23" s="138" t="s">
        <v>813</v>
      </c>
      <c r="E23" s="478" t="s">
        <v>1120</v>
      </c>
      <c r="F23" s="504">
        <v>19496.11</v>
      </c>
      <c r="G23" s="508"/>
      <c r="H23" s="503">
        <v>0</v>
      </c>
      <c r="I23" s="504"/>
      <c r="J23" s="504"/>
      <c r="K23" s="504"/>
      <c r="L23" s="504"/>
      <c r="M23" s="505"/>
      <c r="N23" s="505"/>
      <c r="O23" s="504"/>
      <c r="P23" s="504"/>
      <c r="Q23" s="504"/>
      <c r="R23" s="504"/>
      <c r="S23" s="505"/>
      <c r="T23" s="507"/>
      <c r="U23" s="507"/>
      <c r="V23" s="507"/>
      <c r="W23" s="507"/>
    </row>
    <row r="24" spans="1:23" x14ac:dyDescent="0.25">
      <c r="A24" s="138">
        <f t="shared" si="2"/>
        <v>22</v>
      </c>
      <c r="B24" s="602">
        <f t="shared" si="0"/>
        <v>46204</v>
      </c>
      <c r="C24" s="600">
        <f t="shared" si="1"/>
        <v>-587.80999999999995</v>
      </c>
      <c r="D24" s="138" t="s">
        <v>671</v>
      </c>
      <c r="E24" s="478" t="s">
        <v>1121</v>
      </c>
      <c r="F24" s="503">
        <v>1838.56</v>
      </c>
      <c r="G24" s="508"/>
      <c r="H24" s="509">
        <v>-2426.37</v>
      </c>
      <c r="I24" s="503"/>
      <c r="J24" s="503"/>
      <c r="K24" s="504"/>
      <c r="L24" s="503"/>
      <c r="M24" s="505"/>
      <c r="N24" s="505"/>
      <c r="O24" s="504"/>
      <c r="P24" s="504"/>
      <c r="Q24" s="504"/>
      <c r="R24" s="504"/>
      <c r="S24" s="505"/>
      <c r="T24" s="507"/>
      <c r="U24" s="513">
        <f>100000+H24</f>
        <v>97573.63</v>
      </c>
      <c r="V24" s="513"/>
      <c r="W24" s="513"/>
    </row>
    <row r="25" spans="1:23" x14ac:dyDescent="0.25">
      <c r="A25" s="138">
        <f t="shared" si="2"/>
        <v>23</v>
      </c>
      <c r="B25" s="602">
        <f t="shared" si="0"/>
        <v>46204</v>
      </c>
      <c r="C25" s="600">
        <f t="shared" si="1"/>
        <v>785.2</v>
      </c>
      <c r="D25" s="138" t="s">
        <v>1122</v>
      </c>
      <c r="E25" s="479" t="s">
        <v>1122</v>
      </c>
      <c r="F25" s="508"/>
      <c r="G25" s="508"/>
      <c r="H25" s="522">
        <v>785.2</v>
      </c>
      <c r="I25" s="522"/>
      <c r="J25" s="522"/>
      <c r="K25" s="522"/>
      <c r="L25" s="522"/>
      <c r="M25" s="522"/>
      <c r="N25" s="522"/>
      <c r="O25" s="522"/>
      <c r="P25" s="522"/>
      <c r="Q25" s="504"/>
      <c r="R25" s="504"/>
      <c r="S25" s="505"/>
      <c r="T25" s="507"/>
      <c r="U25" s="507">
        <f>40000</f>
        <v>40000</v>
      </c>
      <c r="V25" s="513"/>
      <c r="W25" s="513"/>
    </row>
    <row r="26" spans="1:23" x14ac:dyDescent="0.25">
      <c r="A26" s="138">
        <f t="shared" si="2"/>
        <v>24</v>
      </c>
      <c r="B26" s="602">
        <f t="shared" si="0"/>
        <v>46204</v>
      </c>
      <c r="C26" s="600">
        <f t="shared" si="1"/>
        <v>1445.04</v>
      </c>
      <c r="D26" s="138" t="s">
        <v>857</v>
      </c>
      <c r="E26" s="478" t="s">
        <v>1123</v>
      </c>
      <c r="F26" s="503">
        <v>1445.04</v>
      </c>
      <c r="G26" s="508"/>
      <c r="H26" s="503">
        <v>0</v>
      </c>
      <c r="I26" s="503"/>
      <c r="J26" s="503"/>
      <c r="K26" s="503"/>
      <c r="L26" s="503"/>
      <c r="M26" s="505"/>
      <c r="N26" s="505"/>
      <c r="O26" s="504"/>
      <c r="P26" s="504"/>
      <c r="Q26" s="504"/>
      <c r="R26" s="504"/>
      <c r="S26" s="505"/>
      <c r="T26" s="507"/>
      <c r="U26" s="507"/>
      <c r="V26" s="507"/>
      <c r="W26" s="507"/>
    </row>
    <row r="27" spans="1:23" x14ac:dyDescent="0.25">
      <c r="A27" s="138">
        <f t="shared" si="2"/>
        <v>25</v>
      </c>
      <c r="B27" s="602">
        <f t="shared" si="0"/>
        <v>46204</v>
      </c>
      <c r="C27" s="600">
        <f t="shared" si="1"/>
        <v>3219.67</v>
      </c>
      <c r="D27" s="138" t="s">
        <v>889</v>
      </c>
      <c r="E27" s="478" t="s">
        <v>1124</v>
      </c>
      <c r="F27" s="508"/>
      <c r="G27" s="508"/>
      <c r="H27" s="503">
        <v>3219.67</v>
      </c>
      <c r="I27" s="503"/>
      <c r="J27" s="503"/>
      <c r="K27" s="503"/>
      <c r="L27" s="503"/>
      <c r="M27" s="505"/>
      <c r="N27" s="505"/>
      <c r="O27" s="504"/>
      <c r="P27" s="504"/>
      <c r="Q27" s="504"/>
      <c r="R27" s="504"/>
      <c r="S27" s="505"/>
      <c r="T27" s="507"/>
      <c r="U27" s="507"/>
      <c r="V27" s="507"/>
      <c r="W27" s="507"/>
    </row>
    <row r="28" spans="1:23" x14ac:dyDescent="0.25">
      <c r="A28" s="138">
        <f t="shared" si="2"/>
        <v>26</v>
      </c>
      <c r="B28" s="602">
        <f t="shared" si="0"/>
        <v>46204</v>
      </c>
      <c r="C28" s="600">
        <f t="shared" si="1"/>
        <v>0</v>
      </c>
      <c r="D28" s="138" t="s">
        <v>863</v>
      </c>
      <c r="E28" s="478" t="s">
        <v>1125</v>
      </c>
      <c r="F28" s="508"/>
      <c r="G28" s="508"/>
      <c r="H28" s="524"/>
      <c r="I28" s="503"/>
      <c r="J28" s="503"/>
      <c r="K28" s="503"/>
      <c r="L28" s="503"/>
      <c r="M28" s="505"/>
      <c r="N28" s="505"/>
      <c r="O28" s="504"/>
      <c r="P28" s="504"/>
      <c r="Q28" s="504"/>
      <c r="R28" s="504"/>
      <c r="S28" s="505"/>
      <c r="T28" s="507"/>
      <c r="U28" s="507"/>
      <c r="V28" s="507"/>
      <c r="W28" s="507"/>
    </row>
    <row r="29" spans="1:23" x14ac:dyDescent="0.25">
      <c r="E29" s="480"/>
      <c r="F29" s="525">
        <f t="shared" ref="F29:N29" si="3">SUM(F3:F28)</f>
        <v>668366.39000000013</v>
      </c>
      <c r="G29" s="526">
        <f t="shared" si="3"/>
        <v>231305.49</v>
      </c>
      <c r="H29" s="526">
        <f t="shared" si="3"/>
        <v>884258.54</v>
      </c>
      <c r="I29" s="526">
        <f t="shared" si="3"/>
        <v>45002.869999999995</v>
      </c>
      <c r="J29" s="526">
        <f t="shared" si="3"/>
        <v>-2496.56</v>
      </c>
      <c r="K29" s="526">
        <f t="shared" si="3"/>
        <v>0</v>
      </c>
      <c r="L29" s="526">
        <f t="shared" si="3"/>
        <v>585793.67000000004</v>
      </c>
      <c r="M29" s="526">
        <f t="shared" si="3"/>
        <v>71933.81</v>
      </c>
      <c r="N29" s="526">
        <f t="shared" si="3"/>
        <v>588.24</v>
      </c>
      <c r="O29" s="526">
        <v>0</v>
      </c>
      <c r="P29" s="526">
        <f>SUM(P3:P28)</f>
        <v>0</v>
      </c>
      <c r="Q29" s="526">
        <v>0</v>
      </c>
      <c r="R29" s="526">
        <f t="shared" ref="R29:W29" si="4">SUM(R3:R28)</f>
        <v>0</v>
      </c>
      <c r="S29" s="526">
        <f t="shared" si="4"/>
        <v>397356.49</v>
      </c>
      <c r="T29" s="526">
        <f t="shared" si="4"/>
        <v>276297</v>
      </c>
      <c r="U29" s="526">
        <f t="shared" si="4"/>
        <v>167573.63</v>
      </c>
      <c r="V29" s="526">
        <f t="shared" si="4"/>
        <v>64506.11</v>
      </c>
      <c r="W29" s="526">
        <f t="shared" si="4"/>
        <v>300000</v>
      </c>
    </row>
    <row r="30" spans="1:23" x14ac:dyDescent="0.25">
      <c r="C30" s="601">
        <f>SUM(C3:C28)</f>
        <v>2484752.4499999997</v>
      </c>
      <c r="E30" s="480"/>
      <c r="F30" s="481"/>
      <c r="G30" s="480"/>
      <c r="H30" s="480"/>
      <c r="I30" s="483" t="s">
        <v>1126</v>
      </c>
      <c r="J30" s="527">
        <f>SUM(F29:N29)</f>
        <v>2484752.4500000002</v>
      </c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1"/>
      <c r="G31" s="480"/>
      <c r="H31" s="480"/>
      <c r="I31" s="485" t="s">
        <v>1127</v>
      </c>
      <c r="J31" s="528">
        <f>SUM(F3,G3,H3,F4,H4,I4,L4,F5,H5,I5,F7,F6,H6,F8,H8,F9,H9,F10,H10,I10,H11,F13,F14,F15,H15,M14,F16,H16,H18,H19,N19,F20,F21,F22,H22,F23,F24,H25,F26,H27)</f>
        <v>2512672.71</v>
      </c>
      <c r="K31" s="529">
        <f>J31+W33</f>
        <v>3321049.45</v>
      </c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x14ac:dyDescent="0.25">
      <c r="E32" s="480"/>
      <c r="F32" s="481"/>
      <c r="G32" s="480"/>
      <c r="H32" s="480"/>
      <c r="I32" s="483"/>
      <c r="J32" s="527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1"/>
      <c r="G33" s="480"/>
      <c r="H33" s="480"/>
      <c r="I33" s="486" t="s">
        <v>1128</v>
      </c>
      <c r="J33" s="527"/>
      <c r="K33" s="484"/>
      <c r="M33" s="487"/>
      <c r="N33" s="637" t="s">
        <v>1208</v>
      </c>
      <c r="O33" s="637"/>
      <c r="P33" s="637"/>
      <c r="Q33" s="480"/>
      <c r="R33" s="480"/>
      <c r="S33" s="480"/>
      <c r="T33" s="480"/>
      <c r="U33" s="480"/>
      <c r="V33" s="480"/>
      <c r="W33" s="586">
        <f>T29+U29+V29+W29</f>
        <v>808376.74</v>
      </c>
    </row>
    <row r="34" spans="5:23" x14ac:dyDescent="0.25">
      <c r="E34" s="480"/>
      <c r="F34" s="481"/>
      <c r="G34" s="480"/>
      <c r="H34" s="480"/>
      <c r="I34" s="488"/>
      <c r="J34" s="598"/>
      <c r="K34" s="490"/>
      <c r="N34" s="481"/>
      <c r="O34" s="481"/>
      <c r="P34" s="491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1"/>
      <c r="G35" s="480"/>
      <c r="H35" s="480"/>
      <c r="I35" s="492" t="s">
        <v>1209</v>
      </c>
      <c r="J35" s="530"/>
      <c r="K35" s="490"/>
      <c r="M35" s="480"/>
      <c r="N35" s="494"/>
      <c r="O35" s="493"/>
      <c r="P35" s="495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1"/>
      <c r="G36" s="480"/>
      <c r="H36" s="480"/>
      <c r="I36" s="488" t="s">
        <v>1210</v>
      </c>
      <c r="J36" s="530"/>
      <c r="K36" s="490">
        <v>46193</v>
      </c>
      <c r="M36" s="480"/>
      <c r="N36" s="494"/>
      <c r="O36" s="494"/>
      <c r="P36" s="496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1"/>
      <c r="G37" s="480"/>
      <c r="H37" s="480"/>
      <c r="I37" s="488" t="s">
        <v>1132</v>
      </c>
      <c r="J37" s="530">
        <v>0</v>
      </c>
      <c r="K37" s="490"/>
      <c r="M37" s="480"/>
      <c r="N37" s="494"/>
      <c r="O37" s="494"/>
      <c r="P37" s="496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1"/>
      <c r="G38" s="480"/>
      <c r="H38" s="480"/>
      <c r="I38" s="488"/>
      <c r="J38" s="530">
        <v>0</v>
      </c>
      <c r="K38" s="490"/>
      <c r="M38" s="480"/>
      <c r="N38" s="494"/>
      <c r="O38" s="494"/>
      <c r="P38" s="496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1"/>
      <c r="G39" s="480"/>
      <c r="H39" s="480"/>
      <c r="I39" s="488" t="s">
        <v>1211</v>
      </c>
      <c r="J39" s="530"/>
      <c r="K39" s="490">
        <v>46181</v>
      </c>
      <c r="M39" s="480"/>
      <c r="N39" s="481"/>
      <c r="O39" s="481"/>
      <c r="P39" s="497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1"/>
      <c r="G40" s="480"/>
      <c r="H40" s="480"/>
      <c r="I40" s="488" t="s">
        <v>1134</v>
      </c>
      <c r="J40" s="531"/>
      <c r="K40" s="490">
        <v>46193</v>
      </c>
      <c r="M40" s="480"/>
      <c r="N40" s="481"/>
      <c r="O40" s="481"/>
      <c r="P40" s="497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1"/>
      <c r="G41" s="480"/>
      <c r="H41" s="480"/>
      <c r="I41" s="488" t="s">
        <v>1135</v>
      </c>
      <c r="J41" s="531"/>
      <c r="K41" s="490">
        <v>46198</v>
      </c>
      <c r="M41" s="480"/>
      <c r="N41" s="481"/>
      <c r="O41" s="481"/>
      <c r="P41" s="497"/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1"/>
      <c r="G42" s="480"/>
      <c r="H42" s="480"/>
      <c r="I42" s="561" t="s">
        <v>1212</v>
      </c>
      <c r="J42" s="599">
        <v>600000</v>
      </c>
      <c r="K42" s="562">
        <v>46218</v>
      </c>
      <c r="M42" s="480"/>
      <c r="N42" s="481"/>
      <c r="O42" s="481"/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E43" s="480"/>
      <c r="F43" s="481"/>
      <c r="G43" s="480"/>
      <c r="H43" s="480"/>
      <c r="I43" s="488" t="s">
        <v>1137</v>
      </c>
      <c r="J43" s="531"/>
      <c r="K43" s="490">
        <v>46184</v>
      </c>
      <c r="M43" s="480"/>
      <c r="N43" s="481"/>
      <c r="O43" s="481"/>
      <c r="P43" s="480"/>
      <c r="Q43" s="480"/>
      <c r="R43" s="480"/>
      <c r="S43" s="480"/>
      <c r="T43" s="480"/>
      <c r="U43" s="480"/>
      <c r="V43" s="480"/>
      <c r="W43" s="480"/>
    </row>
    <row r="44" spans="5:23" x14ac:dyDescent="0.25">
      <c r="E44" s="480"/>
      <c r="F44" s="481"/>
      <c r="G44" s="480"/>
      <c r="H44" s="480"/>
      <c r="I44" s="488" t="s">
        <v>1138</v>
      </c>
      <c r="J44" s="531"/>
      <c r="K44" s="490">
        <v>46191</v>
      </c>
      <c r="M44" s="498"/>
      <c r="N44" s="498"/>
      <c r="O44" s="534">
        <f>O34+O35+O36+O38+O40+O41+O42+O43+O37+O39</f>
        <v>0</v>
      </c>
      <c r="P44" s="499"/>
      <c r="Q44" s="480"/>
      <c r="R44" s="480"/>
      <c r="S44" s="480"/>
      <c r="T44" s="480"/>
      <c r="U44" s="480"/>
      <c r="V44" s="480"/>
      <c r="W44" s="480"/>
    </row>
    <row r="45" spans="5:23" ht="45" x14ac:dyDescent="0.25">
      <c r="I45" s="501" t="s">
        <v>1139</v>
      </c>
      <c r="J45" s="532">
        <f>J31-J34-J35-J36-J38-J42-J44-J40-J41-J39-J37-J43</f>
        <v>1912672.71</v>
      </c>
      <c r="K45" s="533">
        <f>K31-J40-J41-J42-J43-J44</f>
        <v>2721049.45</v>
      </c>
      <c r="L45" s="502"/>
      <c r="O45" s="500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>
    <tabColor rgb="FF00B050"/>
  </sheetPr>
  <dimension ref="A1:AJ67"/>
  <sheetViews>
    <sheetView showGridLines="0" topLeftCell="K1" zoomScale="82" zoomScaleNormal="82" workbookViewId="0">
      <pane ySplit="1" topLeftCell="A26" activePane="bottomLeft" state="frozen"/>
      <selection activeCell="D15" sqref="D15"/>
      <selection pane="bottomLeft" activeCell="D15" sqref="D15"/>
    </sheetView>
  </sheetViews>
  <sheetFormatPr defaultColWidth="9.140625" defaultRowHeight="15" x14ac:dyDescent="0.25"/>
  <cols>
    <col min="1" max="1" width="66.140625" style="312" customWidth="1"/>
    <col min="2" max="2" width="11.28515625" style="312" customWidth="1"/>
    <col min="3" max="3" width="22.140625" style="312" customWidth="1"/>
    <col min="4" max="4" width="29" style="337" customWidth="1"/>
    <col min="5" max="5" width="11.140625" style="337" customWidth="1"/>
    <col min="6" max="6" width="18.28515625" style="338" customWidth="1"/>
    <col min="7" max="7" width="21.28515625" style="337" bestFit="1" customWidth="1"/>
    <col min="8" max="8" width="11.85546875" style="337" customWidth="1"/>
    <col min="9" max="9" width="26.85546875" style="337" customWidth="1"/>
    <col min="10" max="10" width="53.5703125" style="312" bestFit="1" customWidth="1"/>
    <col min="11" max="18" width="18.7109375" style="337" customWidth="1"/>
    <col min="19" max="36" width="18.7109375" style="312" customWidth="1"/>
    <col min="37" max="16384" width="9.140625" style="312"/>
  </cols>
  <sheetData>
    <row r="1" spans="1:36" s="423" customFormat="1" ht="15.75" x14ac:dyDescent="0.25">
      <c r="A1" s="299" t="s">
        <v>730</v>
      </c>
      <c r="B1" s="300" t="s">
        <v>33</v>
      </c>
      <c r="C1" s="300" t="s">
        <v>731</v>
      </c>
      <c r="D1" s="300" t="s">
        <v>732</v>
      </c>
      <c r="E1" s="300" t="s">
        <v>733</v>
      </c>
      <c r="F1" s="301" t="s">
        <v>734</v>
      </c>
      <c r="G1" s="300" t="s">
        <v>735</v>
      </c>
      <c r="H1" s="300" t="s">
        <v>736</v>
      </c>
      <c r="I1" s="302" t="s">
        <v>737</v>
      </c>
      <c r="J1" s="300" t="s">
        <v>738</v>
      </c>
      <c r="K1" s="303" t="s">
        <v>739</v>
      </c>
      <c r="L1" s="303" t="s">
        <v>740</v>
      </c>
      <c r="M1" s="303" t="s">
        <v>741</v>
      </c>
      <c r="N1" s="303" t="s">
        <v>742</v>
      </c>
      <c r="O1" s="303" t="s">
        <v>743</v>
      </c>
      <c r="P1" s="303" t="s">
        <v>744</v>
      </c>
      <c r="Q1" s="303" t="s">
        <v>745</v>
      </c>
      <c r="R1" s="304" t="s">
        <v>746</v>
      </c>
      <c r="S1" s="303" t="s">
        <v>946</v>
      </c>
      <c r="T1" s="304" t="s">
        <v>947</v>
      </c>
      <c r="U1" s="303" t="s">
        <v>1027</v>
      </c>
      <c r="V1" s="303" t="s">
        <v>1028</v>
      </c>
      <c r="W1" s="303" t="s">
        <v>1043</v>
      </c>
      <c r="X1" s="303" t="s">
        <v>1044</v>
      </c>
      <c r="Y1" s="303" t="s">
        <v>1045</v>
      </c>
      <c r="Z1" s="303" t="s">
        <v>1046</v>
      </c>
      <c r="AA1" s="303" t="s">
        <v>1047</v>
      </c>
      <c r="AB1" s="303" t="s">
        <v>1048</v>
      </c>
      <c r="AC1" s="303" t="s">
        <v>1050</v>
      </c>
      <c r="AD1" s="303" t="s">
        <v>1051</v>
      </c>
      <c r="AE1" s="303" t="s">
        <v>1052</v>
      </c>
      <c r="AF1" s="303" t="s">
        <v>1049</v>
      </c>
      <c r="AG1" s="303" t="s">
        <v>1053</v>
      </c>
      <c r="AH1" s="303" t="s">
        <v>1054</v>
      </c>
      <c r="AI1" s="303" t="s">
        <v>1055</v>
      </c>
      <c r="AJ1" s="303" t="s">
        <v>1056</v>
      </c>
    </row>
    <row r="2" spans="1:36" ht="18" customHeight="1" x14ac:dyDescent="0.25">
      <c r="A2" s="305" t="s">
        <v>776</v>
      </c>
      <c r="B2" s="306" t="s">
        <v>670</v>
      </c>
      <c r="C2" s="307" t="s">
        <v>777</v>
      </c>
      <c r="D2" s="307" t="s">
        <v>749</v>
      </c>
      <c r="E2" s="307">
        <v>3605</v>
      </c>
      <c r="F2" s="309" t="s">
        <v>778</v>
      </c>
      <c r="G2" s="307" t="s">
        <v>779</v>
      </c>
      <c r="H2" s="307">
        <v>229</v>
      </c>
      <c r="I2" s="307" t="s">
        <v>780</v>
      </c>
      <c r="J2" s="306"/>
      <c r="K2" s="325">
        <v>4234.3599999999997</v>
      </c>
      <c r="L2" s="325">
        <v>5385.77</v>
      </c>
      <c r="M2" s="325">
        <v>5370.77</v>
      </c>
      <c r="N2" s="325">
        <v>3886.3</v>
      </c>
      <c r="O2" s="326">
        <v>3886.3</v>
      </c>
      <c r="P2" s="326">
        <v>276.72000000000003</v>
      </c>
      <c r="Q2" s="326"/>
      <c r="R2" s="327"/>
      <c r="S2" s="327">
        <v>0</v>
      </c>
      <c r="T2" s="327">
        <v>543.9</v>
      </c>
      <c r="U2" s="327">
        <v>398.9</v>
      </c>
      <c r="V2" s="327">
        <v>452.16</v>
      </c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7"/>
      <c r="AI2" s="327"/>
      <c r="AJ2" s="327"/>
    </row>
    <row r="3" spans="1:36" ht="18" customHeight="1" x14ac:dyDescent="0.25">
      <c r="A3" s="305" t="s">
        <v>781</v>
      </c>
      <c r="B3" s="306" t="s">
        <v>7</v>
      </c>
      <c r="C3" s="307" t="s">
        <v>782</v>
      </c>
      <c r="D3" s="307" t="s">
        <v>749</v>
      </c>
      <c r="E3" s="307">
        <v>3154</v>
      </c>
      <c r="F3" s="309" t="s">
        <v>783</v>
      </c>
      <c r="G3" s="307" t="s">
        <v>784</v>
      </c>
      <c r="H3" s="307">
        <v>227</v>
      </c>
      <c r="I3" s="307" t="s">
        <v>780</v>
      </c>
      <c r="J3" s="306"/>
      <c r="K3" s="325">
        <v>-3.04</v>
      </c>
      <c r="L3" s="325">
        <v>-2685.17</v>
      </c>
      <c r="M3" s="325">
        <v>-2693.67</v>
      </c>
      <c r="N3" s="325">
        <v>-3206.1</v>
      </c>
      <c r="O3" s="325">
        <v>-3216.2</v>
      </c>
      <c r="P3" s="325">
        <v>-3682.82</v>
      </c>
      <c r="Q3" s="325">
        <v>-3693.34</v>
      </c>
      <c r="R3" s="328">
        <v>-4245.76</v>
      </c>
      <c r="S3" s="328">
        <v>-4895.5</v>
      </c>
      <c r="T3" s="328">
        <v>0</v>
      </c>
      <c r="U3" s="328">
        <v>-4910.01</v>
      </c>
      <c r="V3" s="328">
        <v>-5644.33</v>
      </c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8"/>
      <c r="AH3" s="328"/>
      <c r="AI3" s="328"/>
      <c r="AJ3" s="328"/>
    </row>
    <row r="4" spans="1:36" ht="18" customHeight="1" x14ac:dyDescent="0.25">
      <c r="A4" s="305" t="s">
        <v>781</v>
      </c>
      <c r="B4" s="306" t="s">
        <v>7</v>
      </c>
      <c r="C4" s="307" t="s">
        <v>782</v>
      </c>
      <c r="D4" s="307" t="s">
        <v>749</v>
      </c>
      <c r="E4" s="307">
        <v>3154</v>
      </c>
      <c r="F4" s="309" t="s">
        <v>785</v>
      </c>
      <c r="G4" s="307" t="s">
        <v>786</v>
      </c>
      <c r="H4" s="307">
        <v>6178</v>
      </c>
      <c r="I4" s="307" t="s">
        <v>780</v>
      </c>
      <c r="J4" s="306"/>
      <c r="K4" s="325">
        <v>3000</v>
      </c>
      <c r="L4" s="325">
        <v>0</v>
      </c>
      <c r="M4" s="325">
        <v>0</v>
      </c>
      <c r="N4" s="325">
        <v>0</v>
      </c>
      <c r="O4" s="325">
        <v>0</v>
      </c>
      <c r="P4" s="325">
        <v>0</v>
      </c>
      <c r="Q4" s="325" t="s">
        <v>787</v>
      </c>
      <c r="R4" s="328"/>
      <c r="S4" s="328" t="s">
        <v>1003</v>
      </c>
      <c r="T4" s="328"/>
      <c r="U4" s="328">
        <v>0</v>
      </c>
      <c r="V4" s="328">
        <v>0</v>
      </c>
      <c r="W4" s="328"/>
      <c r="X4" s="328"/>
      <c r="Y4" s="328"/>
      <c r="Z4" s="328"/>
      <c r="AA4" s="328"/>
      <c r="AB4" s="328"/>
      <c r="AC4" s="328"/>
      <c r="AD4" s="328"/>
      <c r="AE4" s="328"/>
      <c r="AF4" s="328"/>
      <c r="AG4" s="328"/>
      <c r="AH4" s="328"/>
      <c r="AI4" s="328"/>
      <c r="AJ4" s="328"/>
    </row>
    <row r="5" spans="1:36" ht="18" customHeight="1" x14ac:dyDescent="0.25">
      <c r="A5" s="305" t="s">
        <v>781</v>
      </c>
      <c r="B5" s="306" t="s">
        <v>7</v>
      </c>
      <c r="C5" s="307" t="s">
        <v>782</v>
      </c>
      <c r="D5" s="307" t="s">
        <v>749</v>
      </c>
      <c r="E5" s="307">
        <v>3154</v>
      </c>
      <c r="F5" s="309" t="s">
        <v>788</v>
      </c>
      <c r="G5" s="307" t="s">
        <v>789</v>
      </c>
      <c r="H5" s="307">
        <v>332</v>
      </c>
      <c r="I5" s="307" t="s">
        <v>780</v>
      </c>
      <c r="J5" s="306"/>
      <c r="K5" s="325">
        <v>227026.54</v>
      </c>
      <c r="L5" s="325">
        <v>340005.33</v>
      </c>
      <c r="M5" s="325">
        <v>340005.33</v>
      </c>
      <c r="N5" s="325">
        <v>0</v>
      </c>
      <c r="O5" s="325">
        <v>522.23</v>
      </c>
      <c r="P5" s="325">
        <v>277.17</v>
      </c>
      <c r="Q5" s="325">
        <v>152.16999999999999</v>
      </c>
      <c r="R5" s="328">
        <v>5.0199999999999996</v>
      </c>
      <c r="S5" s="328">
        <v>4.82</v>
      </c>
      <c r="T5" s="328">
        <v>0</v>
      </c>
      <c r="U5" s="328">
        <v>80000</v>
      </c>
      <c r="V5" s="328">
        <v>150000</v>
      </c>
      <c r="W5" s="328"/>
      <c r="X5" s="328"/>
      <c r="Y5" s="328"/>
      <c r="Z5" s="328"/>
      <c r="AA5" s="328"/>
      <c r="AB5" s="328"/>
      <c r="AC5" s="328"/>
      <c r="AD5" s="328"/>
      <c r="AE5" s="328"/>
      <c r="AF5" s="328"/>
      <c r="AG5" s="328"/>
      <c r="AH5" s="328"/>
      <c r="AI5" s="328"/>
      <c r="AJ5" s="328"/>
    </row>
    <row r="6" spans="1:36" ht="18" customHeight="1" x14ac:dyDescent="0.25">
      <c r="A6" s="305" t="s">
        <v>781</v>
      </c>
      <c r="B6" s="306" t="s">
        <v>7</v>
      </c>
      <c r="C6" s="307" t="s">
        <v>782</v>
      </c>
      <c r="D6" s="307" t="s">
        <v>749</v>
      </c>
      <c r="E6" s="307">
        <v>3154</v>
      </c>
      <c r="F6" s="309" t="s">
        <v>790</v>
      </c>
      <c r="G6" s="307" t="s">
        <v>791</v>
      </c>
      <c r="H6" s="307">
        <v>302</v>
      </c>
      <c r="I6" s="307" t="s">
        <v>780</v>
      </c>
      <c r="J6" s="306"/>
      <c r="K6" s="325">
        <v>127070.38</v>
      </c>
      <c r="L6" s="325">
        <v>59698.25</v>
      </c>
      <c r="M6" s="325">
        <v>59703.25</v>
      </c>
      <c r="N6" s="325">
        <v>7.48</v>
      </c>
      <c r="O6" s="325">
        <v>5941.33</v>
      </c>
      <c r="P6" s="325">
        <v>5977.9</v>
      </c>
      <c r="Q6" s="325">
        <v>6684.21</v>
      </c>
      <c r="R6" s="328">
        <v>3548.35</v>
      </c>
      <c r="S6" s="328">
        <v>1007.06</v>
      </c>
      <c r="T6" s="328">
        <v>6649.55</v>
      </c>
      <c r="U6" s="328">
        <v>5114.76</v>
      </c>
      <c r="V6" s="328">
        <v>150335.09</v>
      </c>
      <c r="W6" s="328"/>
      <c r="X6" s="328"/>
      <c r="Y6" s="328"/>
      <c r="Z6" s="328"/>
      <c r="AA6" s="328"/>
      <c r="AB6" s="328"/>
      <c r="AC6" s="328"/>
      <c r="AD6" s="328"/>
      <c r="AE6" s="328"/>
      <c r="AF6" s="328"/>
      <c r="AG6" s="328"/>
      <c r="AH6" s="328"/>
      <c r="AI6" s="328"/>
      <c r="AJ6" s="328"/>
    </row>
    <row r="7" spans="1:36" ht="18" customHeight="1" x14ac:dyDescent="0.25">
      <c r="A7" s="305" t="s">
        <v>781</v>
      </c>
      <c r="B7" s="306" t="s">
        <v>7</v>
      </c>
      <c r="C7" s="307" t="s">
        <v>782</v>
      </c>
      <c r="D7" s="307" t="s">
        <v>749</v>
      </c>
      <c r="E7" s="307">
        <v>3154</v>
      </c>
      <c r="F7" s="309" t="s">
        <v>751</v>
      </c>
      <c r="G7" s="307" t="s">
        <v>792</v>
      </c>
      <c r="H7" s="307">
        <v>833</v>
      </c>
      <c r="I7" s="307" t="s">
        <v>780</v>
      </c>
      <c r="J7" s="306"/>
      <c r="K7" s="325">
        <v>32507</v>
      </c>
      <c r="L7" s="325">
        <v>33.520000000000003</v>
      </c>
      <c r="M7" s="325">
        <v>33.69</v>
      </c>
      <c r="N7" s="325">
        <v>1234.05</v>
      </c>
      <c r="O7" s="325">
        <v>0</v>
      </c>
      <c r="P7" s="325">
        <v>0</v>
      </c>
      <c r="Q7" s="325">
        <v>0</v>
      </c>
      <c r="R7" s="328">
        <v>0</v>
      </c>
      <c r="S7" s="328">
        <v>1234.57</v>
      </c>
      <c r="T7" s="328">
        <v>1252.9000000000001</v>
      </c>
      <c r="U7" s="328">
        <v>0</v>
      </c>
      <c r="V7" s="328">
        <v>0</v>
      </c>
      <c r="W7" s="328"/>
      <c r="X7" s="328"/>
      <c r="Y7" s="328"/>
      <c r="Z7" s="328"/>
      <c r="AA7" s="328"/>
      <c r="AB7" s="328"/>
      <c r="AC7" s="328"/>
      <c r="AD7" s="328"/>
      <c r="AE7" s="328"/>
      <c r="AF7" s="328"/>
      <c r="AG7" s="328"/>
      <c r="AH7" s="328"/>
      <c r="AI7" s="328"/>
      <c r="AJ7" s="328"/>
    </row>
    <row r="8" spans="1:36" ht="18" customHeight="1" x14ac:dyDescent="0.25">
      <c r="A8" s="305" t="s">
        <v>781</v>
      </c>
      <c r="B8" s="306" t="s">
        <v>7</v>
      </c>
      <c r="C8" s="307" t="s">
        <v>782</v>
      </c>
      <c r="D8" s="307" t="s">
        <v>773</v>
      </c>
      <c r="E8" s="307">
        <v>5441</v>
      </c>
      <c r="F8" s="309" t="s">
        <v>751</v>
      </c>
      <c r="G8" s="307" t="s">
        <v>793</v>
      </c>
      <c r="H8" s="307">
        <v>6340</v>
      </c>
      <c r="I8" s="307" t="s">
        <v>780</v>
      </c>
      <c r="J8" s="306"/>
      <c r="K8" s="325">
        <v>-24794.53</v>
      </c>
      <c r="L8" s="325">
        <v>1226582.25</v>
      </c>
      <c r="M8" s="325">
        <v>568227.57999999996</v>
      </c>
      <c r="N8" s="325">
        <v>82076.600000000006</v>
      </c>
      <c r="O8" s="325">
        <v>19360.509999999998</v>
      </c>
      <c r="P8" s="325">
        <v>-45217.17</v>
      </c>
      <c r="Q8" s="325">
        <v>124000</v>
      </c>
      <c r="R8" s="328">
        <v>14317.68</v>
      </c>
      <c r="S8" s="328">
        <v>49816.61</v>
      </c>
      <c r="T8" s="328">
        <v>72917.23</v>
      </c>
      <c r="U8" s="328">
        <v>-18294.509999999998</v>
      </c>
      <c r="V8" s="328">
        <v>39474.42</v>
      </c>
      <c r="W8" s="328"/>
      <c r="X8" s="328"/>
      <c r="Y8" s="328"/>
      <c r="Z8" s="328"/>
      <c r="AA8" s="328"/>
      <c r="AB8" s="328"/>
      <c r="AC8" s="328"/>
      <c r="AD8" s="328"/>
      <c r="AE8" s="328"/>
      <c r="AF8" s="328"/>
      <c r="AG8" s="328"/>
      <c r="AH8" s="328"/>
      <c r="AI8" s="328"/>
      <c r="AJ8" s="328"/>
    </row>
    <row r="9" spans="1:36" ht="18" customHeight="1" x14ac:dyDescent="0.25">
      <c r="A9" s="305" t="s">
        <v>781</v>
      </c>
      <c r="B9" s="306" t="s">
        <v>7</v>
      </c>
      <c r="C9" s="307" t="s">
        <v>782</v>
      </c>
      <c r="D9" s="307" t="s">
        <v>470</v>
      </c>
      <c r="E9" s="307">
        <v>20</v>
      </c>
      <c r="F9" s="309" t="s">
        <v>751</v>
      </c>
      <c r="G9" s="307" t="s">
        <v>794</v>
      </c>
      <c r="H9" s="307">
        <v>896</v>
      </c>
      <c r="I9" s="307" t="s">
        <v>780</v>
      </c>
      <c r="J9" s="306"/>
      <c r="K9" s="325">
        <v>2750000</v>
      </c>
      <c r="L9" s="325">
        <v>48564.15</v>
      </c>
      <c r="M9" s="325">
        <v>34.51</v>
      </c>
      <c r="N9" s="325">
        <v>4823.26</v>
      </c>
      <c r="O9" s="325">
        <v>18.7</v>
      </c>
      <c r="P9" s="325">
        <v>-977.54</v>
      </c>
      <c r="Q9" s="325" t="s">
        <v>787</v>
      </c>
      <c r="R9" s="328"/>
      <c r="S9" s="328"/>
      <c r="T9" s="328"/>
      <c r="U9" s="328"/>
      <c r="V9" s="328" t="s">
        <v>1003</v>
      </c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</row>
    <row r="10" spans="1:36" ht="18" customHeight="1" x14ac:dyDescent="0.25">
      <c r="A10" s="305" t="s">
        <v>795</v>
      </c>
      <c r="B10" s="306" t="s">
        <v>677</v>
      </c>
      <c r="C10" s="307" t="s">
        <v>796</v>
      </c>
      <c r="D10" s="307" t="s">
        <v>749</v>
      </c>
      <c r="E10" s="307">
        <v>1003</v>
      </c>
      <c r="F10" s="309" t="s">
        <v>751</v>
      </c>
      <c r="G10" s="307" t="s">
        <v>797</v>
      </c>
      <c r="H10" s="307">
        <v>461</v>
      </c>
      <c r="I10" s="307" t="s">
        <v>780</v>
      </c>
      <c r="J10" s="306"/>
      <c r="K10" s="325">
        <v>840413.25</v>
      </c>
      <c r="L10" s="325">
        <v>0</v>
      </c>
      <c r="M10" s="325">
        <v>0</v>
      </c>
      <c r="N10" s="325">
        <v>0</v>
      </c>
      <c r="O10" s="325">
        <v>7200</v>
      </c>
      <c r="P10" s="325">
        <v>925</v>
      </c>
      <c r="Q10" s="325">
        <v>311.14</v>
      </c>
      <c r="R10" s="328">
        <v>235.34</v>
      </c>
      <c r="S10" s="328">
        <v>234.74</v>
      </c>
      <c r="T10" s="328">
        <v>120.74</v>
      </c>
      <c r="U10" s="328">
        <v>45.74</v>
      </c>
      <c r="V10" s="328">
        <v>45.74</v>
      </c>
      <c r="W10" s="328"/>
      <c r="X10" s="328"/>
      <c r="Y10" s="328"/>
      <c r="Z10" s="328"/>
      <c r="AA10" s="328"/>
      <c r="AB10" s="328"/>
      <c r="AC10" s="328"/>
      <c r="AD10" s="328"/>
      <c r="AE10" s="328"/>
      <c r="AF10" s="328"/>
      <c r="AG10" s="328"/>
      <c r="AH10" s="328"/>
      <c r="AI10" s="328"/>
      <c r="AJ10" s="328"/>
    </row>
    <row r="11" spans="1:36" ht="18" customHeight="1" x14ac:dyDescent="0.25">
      <c r="A11" s="305" t="s">
        <v>795</v>
      </c>
      <c r="B11" s="306" t="s">
        <v>677</v>
      </c>
      <c r="C11" s="307" t="s">
        <v>796</v>
      </c>
      <c r="D11" s="307" t="s">
        <v>773</v>
      </c>
      <c r="E11" s="307">
        <v>5441</v>
      </c>
      <c r="F11" s="309" t="s">
        <v>751</v>
      </c>
      <c r="G11" s="307" t="s">
        <v>798</v>
      </c>
      <c r="H11" s="307">
        <v>99681</v>
      </c>
      <c r="I11" s="307" t="s">
        <v>780</v>
      </c>
      <c r="J11" s="306"/>
      <c r="K11" s="325">
        <v>0</v>
      </c>
      <c r="L11" s="325">
        <v>313.58999999999997</v>
      </c>
      <c r="M11" s="325">
        <v>312.58999999999997</v>
      </c>
      <c r="N11" s="325">
        <v>601.01</v>
      </c>
      <c r="O11" s="325">
        <v>203.48</v>
      </c>
      <c r="P11" s="325">
        <v>311.39</v>
      </c>
      <c r="Q11" s="325">
        <v>16000</v>
      </c>
      <c r="R11" s="328">
        <v>238.93</v>
      </c>
      <c r="S11" s="328">
        <v>238.93</v>
      </c>
      <c r="T11" s="328">
        <v>604.80999999999995</v>
      </c>
      <c r="U11" s="328">
        <v>27.27</v>
      </c>
      <c r="V11" s="328">
        <v>4194.1400000000003</v>
      </c>
      <c r="W11" s="328"/>
      <c r="X11" s="328"/>
      <c r="Y11" s="328"/>
      <c r="Z11" s="328"/>
      <c r="AA11" s="328"/>
      <c r="AB11" s="328"/>
      <c r="AC11" s="328"/>
      <c r="AD11" s="328"/>
      <c r="AE11" s="328"/>
      <c r="AF11" s="328"/>
      <c r="AG11" s="328"/>
      <c r="AH11" s="328"/>
      <c r="AI11" s="328"/>
      <c r="AJ11" s="328"/>
    </row>
    <row r="12" spans="1:36" ht="18" customHeight="1" x14ac:dyDescent="0.25">
      <c r="A12" s="305" t="s">
        <v>799</v>
      </c>
      <c r="B12" s="306" t="s">
        <v>8</v>
      </c>
      <c r="C12" s="307" t="s">
        <v>800</v>
      </c>
      <c r="D12" s="307" t="s">
        <v>749</v>
      </c>
      <c r="E12" s="307">
        <v>1003</v>
      </c>
      <c r="F12" s="309" t="s">
        <v>801</v>
      </c>
      <c r="G12" s="307" t="s">
        <v>802</v>
      </c>
      <c r="H12" s="307">
        <v>317</v>
      </c>
      <c r="I12" s="307" t="s">
        <v>780</v>
      </c>
      <c r="J12" s="306"/>
      <c r="K12" s="325">
        <v>324904.42</v>
      </c>
      <c r="L12" s="325">
        <v>0</v>
      </c>
      <c r="M12" s="325">
        <v>-0.4</v>
      </c>
      <c r="N12" s="325">
        <v>1032.6199999999999</v>
      </c>
      <c r="O12" s="325">
        <v>803.79</v>
      </c>
      <c r="P12" s="325">
        <v>725.39</v>
      </c>
      <c r="Q12" s="325">
        <v>505.78</v>
      </c>
      <c r="R12" s="328">
        <v>380.75</v>
      </c>
      <c r="S12" s="328">
        <v>161.13999999999999</v>
      </c>
      <c r="T12" s="328">
        <v>484.13</v>
      </c>
      <c r="U12" s="328">
        <v>264.52</v>
      </c>
      <c r="V12" s="328">
        <v>189.12</v>
      </c>
      <c r="W12" s="328"/>
      <c r="X12" s="328"/>
      <c r="Y12" s="328"/>
      <c r="Z12" s="328"/>
      <c r="AA12" s="328"/>
      <c r="AB12" s="328"/>
      <c r="AC12" s="328"/>
      <c r="AD12" s="328"/>
      <c r="AE12" s="328"/>
      <c r="AF12" s="328"/>
      <c r="AG12" s="328"/>
      <c r="AH12" s="328"/>
      <c r="AI12" s="328"/>
      <c r="AJ12" s="328"/>
    </row>
    <row r="13" spans="1:36" ht="18" customHeight="1" x14ac:dyDescent="0.25">
      <c r="A13" s="305" t="s">
        <v>799</v>
      </c>
      <c r="B13" s="306" t="s">
        <v>8</v>
      </c>
      <c r="C13" s="307" t="s">
        <v>800</v>
      </c>
      <c r="D13" s="307" t="s">
        <v>749</v>
      </c>
      <c r="E13" s="307">
        <v>1003</v>
      </c>
      <c r="F13" s="309" t="s">
        <v>803</v>
      </c>
      <c r="G13" s="307" t="s">
        <v>804</v>
      </c>
      <c r="H13" s="307">
        <v>854</v>
      </c>
      <c r="I13" s="307" t="s">
        <v>780</v>
      </c>
      <c r="J13" s="306"/>
      <c r="K13" s="325">
        <v>3588.53</v>
      </c>
      <c r="L13" s="325" t="s">
        <v>805</v>
      </c>
      <c r="M13" s="325">
        <v>31403.759999999998</v>
      </c>
      <c r="N13" s="325">
        <v>19396.45</v>
      </c>
      <c r="O13" s="325">
        <v>20658.900000000001</v>
      </c>
      <c r="P13" s="325">
        <v>58419.49</v>
      </c>
      <c r="Q13" s="325">
        <v>58418.69</v>
      </c>
      <c r="R13" s="328">
        <v>26324.5</v>
      </c>
      <c r="S13" s="328">
        <v>27340.39</v>
      </c>
      <c r="T13" s="328">
        <v>14707.42</v>
      </c>
      <c r="U13" s="328">
        <v>515.04</v>
      </c>
      <c r="V13" s="328">
        <v>63281.64</v>
      </c>
      <c r="W13" s="328"/>
      <c r="X13" s="328"/>
      <c r="Y13" s="328"/>
      <c r="Z13" s="328"/>
      <c r="AA13" s="328"/>
      <c r="AB13" s="328"/>
      <c r="AC13" s="328"/>
      <c r="AD13" s="328"/>
      <c r="AE13" s="328"/>
      <c r="AF13" s="328"/>
      <c r="AG13" s="328"/>
      <c r="AH13" s="328"/>
      <c r="AI13" s="328"/>
      <c r="AJ13" s="328"/>
    </row>
    <row r="14" spans="1:36" ht="18" customHeight="1" x14ac:dyDescent="0.25">
      <c r="A14" s="305" t="s">
        <v>799</v>
      </c>
      <c r="B14" s="306" t="s">
        <v>8</v>
      </c>
      <c r="C14" s="307" t="s">
        <v>800</v>
      </c>
      <c r="D14" s="307" t="s">
        <v>773</v>
      </c>
      <c r="E14" s="307">
        <v>5441</v>
      </c>
      <c r="F14" s="309" t="s">
        <v>751</v>
      </c>
      <c r="G14" s="307" t="s">
        <v>806</v>
      </c>
      <c r="H14" s="307">
        <v>99853</v>
      </c>
      <c r="I14" s="307" t="s">
        <v>780</v>
      </c>
      <c r="J14" s="306"/>
      <c r="K14" s="325">
        <v>0.44</v>
      </c>
      <c r="L14" s="325">
        <v>-53551.11</v>
      </c>
      <c r="M14" s="325">
        <v>-11518.06</v>
      </c>
      <c r="N14" s="325">
        <v>-75987.13</v>
      </c>
      <c r="O14" s="325">
        <v>-76090.03</v>
      </c>
      <c r="P14" s="325">
        <v>-58279.28</v>
      </c>
      <c r="Q14" s="325">
        <v>-65144.43</v>
      </c>
      <c r="R14" s="328">
        <v>1257.9100000000001</v>
      </c>
      <c r="S14" s="328">
        <v>-6185.17</v>
      </c>
      <c r="T14" s="328">
        <v>-77083.520000000004</v>
      </c>
      <c r="U14" s="328">
        <v>-81166.89</v>
      </c>
      <c r="V14" s="328">
        <v>-290.68</v>
      </c>
      <c r="W14" s="328"/>
      <c r="X14" s="328"/>
      <c r="Y14" s="328"/>
      <c r="Z14" s="328"/>
      <c r="AA14" s="328"/>
      <c r="AB14" s="328"/>
      <c r="AC14" s="328"/>
      <c r="AD14" s="328"/>
      <c r="AE14" s="328"/>
      <c r="AF14" s="328"/>
      <c r="AG14" s="328"/>
      <c r="AH14" s="328"/>
      <c r="AI14" s="328"/>
      <c r="AJ14" s="328"/>
    </row>
    <row r="15" spans="1:36" ht="18" customHeight="1" x14ac:dyDescent="0.25">
      <c r="A15" s="305" t="s">
        <v>807</v>
      </c>
      <c r="B15" s="306" t="s">
        <v>678</v>
      </c>
      <c r="C15" s="307" t="s">
        <v>808</v>
      </c>
      <c r="D15" s="307" t="s">
        <v>749</v>
      </c>
      <c r="E15" s="307">
        <v>1003</v>
      </c>
      <c r="F15" s="309" t="s">
        <v>751</v>
      </c>
      <c r="G15" s="307" t="s">
        <v>809</v>
      </c>
      <c r="H15" s="307">
        <v>473</v>
      </c>
      <c r="I15" s="307" t="s">
        <v>780</v>
      </c>
      <c r="J15" s="306"/>
      <c r="K15" s="325">
        <v>1749739.44</v>
      </c>
      <c r="L15" s="325">
        <v>0</v>
      </c>
      <c r="M15" s="325">
        <v>-5000</v>
      </c>
      <c r="N15" s="325">
        <v>0</v>
      </c>
      <c r="O15" s="325">
        <v>0</v>
      </c>
      <c r="P15" s="325">
        <v>0</v>
      </c>
      <c r="Q15" s="325">
        <v>-0.4</v>
      </c>
      <c r="R15" s="328">
        <v>0</v>
      </c>
      <c r="S15" s="328">
        <v>0</v>
      </c>
      <c r="T15" s="328">
        <v>0</v>
      </c>
      <c r="U15" s="328">
        <v>0</v>
      </c>
      <c r="V15" s="328">
        <v>0</v>
      </c>
      <c r="W15" s="328"/>
      <c r="X15" s="328"/>
      <c r="Y15" s="328"/>
      <c r="Z15" s="328"/>
      <c r="AA15" s="328"/>
      <c r="AB15" s="328"/>
      <c r="AC15" s="328"/>
      <c r="AD15" s="328"/>
      <c r="AE15" s="328"/>
      <c r="AF15" s="328"/>
      <c r="AG15" s="328"/>
      <c r="AH15" s="328"/>
      <c r="AI15" s="328"/>
      <c r="AJ15" s="328"/>
    </row>
    <row r="16" spans="1:36" ht="18" customHeight="1" x14ac:dyDescent="0.25">
      <c r="A16" s="305" t="s">
        <v>807</v>
      </c>
      <c r="B16" s="306" t="s">
        <v>678</v>
      </c>
      <c r="C16" s="307" t="s">
        <v>808</v>
      </c>
      <c r="D16" s="307" t="s">
        <v>773</v>
      </c>
      <c r="E16" s="307">
        <v>5441</v>
      </c>
      <c r="F16" s="309" t="s">
        <v>751</v>
      </c>
      <c r="G16" s="307" t="s">
        <v>810</v>
      </c>
      <c r="H16" s="307">
        <v>99636</v>
      </c>
      <c r="I16" s="307" t="s">
        <v>780</v>
      </c>
      <c r="J16" s="306"/>
      <c r="K16" s="325">
        <v>40000</v>
      </c>
      <c r="L16" s="325">
        <v>36.61</v>
      </c>
      <c r="M16" s="325">
        <v>35.61</v>
      </c>
      <c r="N16" s="325">
        <v>0.08</v>
      </c>
      <c r="O16" s="325">
        <v>141.25</v>
      </c>
      <c r="P16" s="325">
        <v>70.209999999999994</v>
      </c>
      <c r="Q16" s="325" t="s">
        <v>811</v>
      </c>
      <c r="R16" s="328">
        <v>1136.95</v>
      </c>
      <c r="S16" s="328">
        <v>2528.4499999999998</v>
      </c>
      <c r="T16" s="328">
        <v>258.98</v>
      </c>
      <c r="U16" s="328">
        <v>170.12</v>
      </c>
      <c r="V16" s="328">
        <v>2036.29</v>
      </c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28"/>
      <c r="AH16" s="328"/>
      <c r="AI16" s="328"/>
      <c r="AJ16" s="328"/>
    </row>
    <row r="17" spans="1:36" ht="18" customHeight="1" x14ac:dyDescent="0.25">
      <c r="A17" s="305" t="s">
        <v>812</v>
      </c>
      <c r="B17" s="306" t="s">
        <v>813</v>
      </c>
      <c r="C17" s="307" t="s">
        <v>814</v>
      </c>
      <c r="D17" s="307" t="s">
        <v>749</v>
      </c>
      <c r="E17" s="307">
        <v>1003</v>
      </c>
      <c r="F17" s="309" t="s">
        <v>751</v>
      </c>
      <c r="G17" s="309" t="s">
        <v>815</v>
      </c>
      <c r="H17" s="307">
        <v>841</v>
      </c>
      <c r="I17" s="307" t="s">
        <v>780</v>
      </c>
      <c r="J17" s="306"/>
      <c r="K17" s="325">
        <v>0</v>
      </c>
      <c r="L17" s="325">
        <v>0</v>
      </c>
      <c r="M17" s="325">
        <v>0</v>
      </c>
      <c r="N17" s="325">
        <v>0</v>
      </c>
      <c r="O17" s="325">
        <v>0</v>
      </c>
      <c r="P17" s="325">
        <v>0</v>
      </c>
      <c r="Q17" s="325">
        <v>0</v>
      </c>
      <c r="R17" s="328">
        <v>0</v>
      </c>
      <c r="S17" s="328">
        <v>0</v>
      </c>
      <c r="T17" s="328">
        <v>0</v>
      </c>
      <c r="U17" s="328">
        <v>0</v>
      </c>
      <c r="V17" s="328">
        <v>0</v>
      </c>
      <c r="W17" s="328"/>
      <c r="X17" s="328"/>
      <c r="Y17" s="328"/>
      <c r="Z17" s="328"/>
      <c r="AA17" s="328"/>
      <c r="AB17" s="328"/>
      <c r="AC17" s="328"/>
      <c r="AD17" s="328"/>
      <c r="AE17" s="328"/>
      <c r="AF17" s="328"/>
      <c r="AG17" s="328"/>
      <c r="AH17" s="328"/>
      <c r="AI17" s="328"/>
      <c r="AJ17" s="328"/>
    </row>
    <row r="18" spans="1:36" ht="18" customHeight="1" x14ac:dyDescent="0.25">
      <c r="A18" s="305" t="s">
        <v>812</v>
      </c>
      <c r="B18" s="306" t="s">
        <v>813</v>
      </c>
      <c r="C18" s="307" t="s">
        <v>814</v>
      </c>
      <c r="D18" s="307" t="s">
        <v>773</v>
      </c>
      <c r="E18" s="307">
        <v>5441</v>
      </c>
      <c r="F18" s="309" t="s">
        <v>751</v>
      </c>
      <c r="G18" s="309" t="s">
        <v>816</v>
      </c>
      <c r="H18" s="307">
        <v>99653</v>
      </c>
      <c r="I18" s="307" t="s">
        <v>780</v>
      </c>
      <c r="J18" s="306"/>
      <c r="K18" s="325">
        <v>15000</v>
      </c>
      <c r="L18" s="325">
        <v>185.14</v>
      </c>
      <c r="M18" s="325">
        <v>-159</v>
      </c>
      <c r="N18" s="325">
        <v>-284.36</v>
      </c>
      <c r="O18" s="325">
        <v>40.799999999999997</v>
      </c>
      <c r="P18" s="325">
        <v>0</v>
      </c>
      <c r="Q18" s="325">
        <v>0</v>
      </c>
      <c r="R18" s="328">
        <v>0</v>
      </c>
      <c r="S18" s="328">
        <v>0</v>
      </c>
      <c r="T18" s="328">
        <v>0</v>
      </c>
      <c r="U18" s="328">
        <v>0</v>
      </c>
      <c r="V18" s="328">
        <v>0</v>
      </c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</row>
    <row r="19" spans="1:36" ht="18" customHeight="1" x14ac:dyDescent="0.25">
      <c r="A19" s="314" t="s">
        <v>817</v>
      </c>
      <c r="B19" s="315" t="s">
        <v>13</v>
      </c>
      <c r="C19" s="316" t="s">
        <v>751</v>
      </c>
      <c r="D19" s="316" t="s">
        <v>483</v>
      </c>
      <c r="E19" s="316">
        <v>3395</v>
      </c>
      <c r="F19" s="318" t="s">
        <v>751</v>
      </c>
      <c r="G19" s="316" t="s">
        <v>818</v>
      </c>
      <c r="H19" s="316">
        <v>3635</v>
      </c>
      <c r="I19" s="316" t="s">
        <v>780</v>
      </c>
      <c r="J19" s="315" t="s">
        <v>819</v>
      </c>
      <c r="K19" s="319" t="s">
        <v>754</v>
      </c>
      <c r="L19" s="319" t="s">
        <v>754</v>
      </c>
      <c r="M19" s="319" t="s">
        <v>754</v>
      </c>
      <c r="N19" s="319" t="s">
        <v>754</v>
      </c>
      <c r="O19" s="319" t="s">
        <v>754</v>
      </c>
      <c r="P19" s="319" t="s">
        <v>754</v>
      </c>
      <c r="Q19" s="319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</row>
    <row r="20" spans="1:36" ht="18" customHeight="1" x14ac:dyDescent="0.25">
      <c r="A20" s="305" t="s">
        <v>820</v>
      </c>
      <c r="B20" s="306" t="s">
        <v>13</v>
      </c>
      <c r="C20" s="307" t="s">
        <v>821</v>
      </c>
      <c r="D20" s="307" t="s">
        <v>749</v>
      </c>
      <c r="E20" s="307">
        <v>1003</v>
      </c>
      <c r="F20" s="309" t="s">
        <v>751</v>
      </c>
      <c r="G20" s="307" t="s">
        <v>822</v>
      </c>
      <c r="H20" s="329" t="s">
        <v>823</v>
      </c>
      <c r="I20" s="307" t="s">
        <v>780</v>
      </c>
      <c r="J20" s="306"/>
      <c r="K20" s="325">
        <v>171.95</v>
      </c>
      <c r="L20" s="325">
        <v>848.64</v>
      </c>
      <c r="M20" s="325">
        <v>848.44</v>
      </c>
      <c r="N20" s="325">
        <v>0</v>
      </c>
      <c r="O20" s="325">
        <v>0</v>
      </c>
      <c r="P20" s="325">
        <v>1250.24</v>
      </c>
      <c r="Q20" s="325">
        <v>1250.04</v>
      </c>
      <c r="R20" s="328">
        <v>5491.93</v>
      </c>
      <c r="S20" s="328">
        <v>5490.53</v>
      </c>
      <c r="T20" s="328">
        <v>0</v>
      </c>
      <c r="U20" s="328">
        <v>0</v>
      </c>
      <c r="V20" s="328">
        <v>16595.400000000001</v>
      </c>
      <c r="W20" s="328"/>
      <c r="X20" s="328"/>
      <c r="Y20" s="328"/>
      <c r="Z20" s="328"/>
      <c r="AA20" s="328"/>
      <c r="AB20" s="328"/>
      <c r="AC20" s="328"/>
      <c r="AD20" s="328"/>
      <c r="AE20" s="328"/>
      <c r="AF20" s="328"/>
      <c r="AG20" s="328"/>
      <c r="AH20" s="328"/>
      <c r="AI20" s="328"/>
      <c r="AJ20" s="328"/>
    </row>
    <row r="21" spans="1:36" ht="18" customHeight="1" x14ac:dyDescent="0.25">
      <c r="A21" s="305" t="s">
        <v>820</v>
      </c>
      <c r="B21" s="306" t="s">
        <v>13</v>
      </c>
      <c r="C21" s="307" t="s">
        <v>821</v>
      </c>
      <c r="D21" s="307" t="s">
        <v>773</v>
      </c>
      <c r="E21" s="307">
        <v>5441</v>
      </c>
      <c r="F21" s="309" t="s">
        <v>785</v>
      </c>
      <c r="G21" s="307" t="s">
        <v>824</v>
      </c>
      <c r="H21" s="307">
        <v>99664</v>
      </c>
      <c r="I21" s="307" t="s">
        <v>780</v>
      </c>
      <c r="J21" s="306"/>
      <c r="K21" s="325">
        <v>10000</v>
      </c>
      <c r="L21" s="325">
        <v>857.83</v>
      </c>
      <c r="M21" s="325">
        <v>-4500</v>
      </c>
      <c r="N21" s="325">
        <v>9550.36</v>
      </c>
      <c r="O21" s="325">
        <v>24510.15</v>
      </c>
      <c r="P21" s="325">
        <v>3112.17</v>
      </c>
      <c r="Q21" s="325">
        <v>348.64</v>
      </c>
      <c r="R21" s="328">
        <v>524.91</v>
      </c>
      <c r="S21" s="328">
        <v>640.66999999999996</v>
      </c>
      <c r="T21" s="328">
        <v>1541.77</v>
      </c>
      <c r="U21" s="328">
        <v>7853</v>
      </c>
      <c r="V21" s="328">
        <v>423879.99</v>
      </c>
      <c r="W21" s="328"/>
      <c r="X21" s="328"/>
      <c r="Y21" s="328"/>
      <c r="Z21" s="328"/>
      <c r="AA21" s="328"/>
      <c r="AB21" s="328"/>
      <c r="AC21" s="328"/>
      <c r="AD21" s="328"/>
      <c r="AE21" s="328"/>
      <c r="AF21" s="328"/>
      <c r="AG21" s="328"/>
      <c r="AH21" s="328"/>
      <c r="AI21" s="328"/>
      <c r="AJ21" s="328"/>
    </row>
    <row r="22" spans="1:36" ht="18" customHeight="1" x14ac:dyDescent="0.25">
      <c r="A22" s="305" t="s">
        <v>825</v>
      </c>
      <c r="B22" s="306" t="s">
        <v>11</v>
      </c>
      <c r="C22" s="307" t="s">
        <v>826</v>
      </c>
      <c r="D22" s="307" t="s">
        <v>22</v>
      </c>
      <c r="E22" s="329" t="s">
        <v>827</v>
      </c>
      <c r="F22" s="309" t="s">
        <v>828</v>
      </c>
      <c r="G22" s="307" t="s">
        <v>751</v>
      </c>
      <c r="H22" s="307">
        <v>447</v>
      </c>
      <c r="I22" s="307" t="s">
        <v>780</v>
      </c>
      <c r="J22" s="306"/>
      <c r="K22" s="325">
        <v>52093.69</v>
      </c>
      <c r="L22" s="325">
        <v>314.55</v>
      </c>
      <c r="M22" s="325">
        <v>-314.55</v>
      </c>
      <c r="N22" s="325">
        <v>6846.27</v>
      </c>
      <c r="O22" s="325">
        <v>6846.27</v>
      </c>
      <c r="P22" s="325">
        <v>0</v>
      </c>
      <c r="Q22" s="325"/>
      <c r="R22" s="328"/>
      <c r="S22" s="328">
        <v>0</v>
      </c>
      <c r="T22" s="328">
        <v>628.24</v>
      </c>
      <c r="U22" s="328"/>
      <c r="V22" s="328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28"/>
      <c r="AH22" s="328"/>
      <c r="AI22" s="328"/>
      <c r="AJ22" s="328"/>
    </row>
    <row r="23" spans="1:36" ht="18" customHeight="1" x14ac:dyDescent="0.25">
      <c r="A23" s="305" t="s">
        <v>825</v>
      </c>
      <c r="B23" s="306" t="s">
        <v>11</v>
      </c>
      <c r="C23" s="307" t="s">
        <v>826</v>
      </c>
      <c r="D23" s="307" t="s">
        <v>22</v>
      </c>
      <c r="E23" s="329" t="s">
        <v>827</v>
      </c>
      <c r="F23" s="309" t="s">
        <v>829</v>
      </c>
      <c r="G23" s="307" t="s">
        <v>751</v>
      </c>
      <c r="H23" s="307">
        <v>448</v>
      </c>
      <c r="I23" s="307" t="s">
        <v>780</v>
      </c>
      <c r="J23" s="306" t="s">
        <v>830</v>
      </c>
      <c r="K23" s="325">
        <v>-128221.64</v>
      </c>
      <c r="L23" s="325">
        <v>7713.65</v>
      </c>
      <c r="M23" s="325">
        <v>7413.65</v>
      </c>
      <c r="N23" s="325">
        <v>0</v>
      </c>
      <c r="O23" s="325">
        <v>0</v>
      </c>
      <c r="P23" s="325">
        <v>0</v>
      </c>
      <c r="Q23" s="325"/>
      <c r="R23" s="328"/>
      <c r="S23" s="328">
        <v>0</v>
      </c>
      <c r="T23" s="328">
        <v>0</v>
      </c>
      <c r="U23" s="328"/>
      <c r="V23" s="328"/>
      <c r="W23" s="328"/>
      <c r="X23" s="328"/>
      <c r="Y23" s="328"/>
      <c r="Z23" s="328"/>
      <c r="AA23" s="328"/>
      <c r="AB23" s="328"/>
      <c r="AC23" s="328"/>
      <c r="AD23" s="328"/>
      <c r="AE23" s="328"/>
      <c r="AF23" s="328"/>
      <c r="AG23" s="328"/>
      <c r="AH23" s="328"/>
      <c r="AI23" s="328"/>
      <c r="AJ23" s="328"/>
    </row>
    <row r="24" spans="1:36" ht="18" customHeight="1" x14ac:dyDescent="0.25">
      <c r="A24" s="305" t="s">
        <v>825</v>
      </c>
      <c r="B24" s="306" t="s">
        <v>11</v>
      </c>
      <c r="C24" s="307" t="s">
        <v>826</v>
      </c>
      <c r="D24" s="307" t="s">
        <v>749</v>
      </c>
      <c r="E24" s="307">
        <v>1003</v>
      </c>
      <c r="F24" s="309" t="s">
        <v>831</v>
      </c>
      <c r="G24" s="307" t="s">
        <v>832</v>
      </c>
      <c r="H24" s="307">
        <v>862</v>
      </c>
      <c r="I24" s="307" t="s">
        <v>780</v>
      </c>
      <c r="J24" s="306"/>
      <c r="K24" s="325">
        <v>353.77</v>
      </c>
      <c r="L24" s="325">
        <v>336.57</v>
      </c>
      <c r="M24" s="325">
        <v>336.37</v>
      </c>
      <c r="N24" s="325">
        <v>264.57</v>
      </c>
      <c r="O24" s="325">
        <v>264.17</v>
      </c>
      <c r="P24" s="325">
        <v>193.77</v>
      </c>
      <c r="Q24" s="325">
        <v>193.57</v>
      </c>
      <c r="R24" s="328">
        <v>120.37</v>
      </c>
      <c r="S24" s="328">
        <v>120.17</v>
      </c>
      <c r="T24" s="328">
        <v>46.77</v>
      </c>
      <c r="U24" s="328">
        <v>0</v>
      </c>
      <c r="V24" s="328">
        <v>0</v>
      </c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28"/>
      <c r="AH24" s="328"/>
      <c r="AI24" s="328"/>
      <c r="AJ24" s="328"/>
    </row>
    <row r="25" spans="1:36" x14ac:dyDescent="0.25">
      <c r="A25" s="305" t="s">
        <v>825</v>
      </c>
      <c r="B25" s="306" t="s">
        <v>11</v>
      </c>
      <c r="C25" s="307" t="s">
        <v>826</v>
      </c>
      <c r="D25" s="307" t="s">
        <v>773</v>
      </c>
      <c r="E25" s="307">
        <v>2633</v>
      </c>
      <c r="F25" s="309" t="s">
        <v>785</v>
      </c>
      <c r="G25" s="307" t="s">
        <v>833</v>
      </c>
      <c r="H25" s="307">
        <v>98426</v>
      </c>
      <c r="I25" s="307" t="s">
        <v>780</v>
      </c>
      <c r="J25" s="306"/>
      <c r="K25" s="325">
        <v>308.52</v>
      </c>
      <c r="L25" s="325">
        <v>165.31</v>
      </c>
      <c r="M25" s="325">
        <v>6.33</v>
      </c>
      <c r="N25" s="325">
        <v>6.33</v>
      </c>
      <c r="O25" s="325">
        <v>6.33</v>
      </c>
      <c r="P25" s="325">
        <v>2485.87</v>
      </c>
      <c r="Q25" s="325">
        <v>293.98</v>
      </c>
      <c r="R25" s="328">
        <v>2578.58</v>
      </c>
      <c r="S25" s="328">
        <v>2348.2199999999998</v>
      </c>
      <c r="T25" s="328">
        <v>348.55</v>
      </c>
      <c r="U25" s="328">
        <v>179.55</v>
      </c>
      <c r="V25" s="328">
        <v>802.81</v>
      </c>
      <c r="W25" s="328"/>
      <c r="X25" s="328"/>
      <c r="Y25" s="328"/>
      <c r="Z25" s="328"/>
      <c r="AA25" s="328"/>
      <c r="AB25" s="328"/>
      <c r="AC25" s="328"/>
      <c r="AD25" s="328"/>
      <c r="AE25" s="328"/>
      <c r="AF25" s="328"/>
      <c r="AG25" s="328"/>
      <c r="AH25" s="328"/>
      <c r="AI25" s="328"/>
      <c r="AJ25" s="328"/>
    </row>
    <row r="26" spans="1:36" ht="18" customHeight="1" x14ac:dyDescent="0.25">
      <c r="A26" s="314" t="s">
        <v>834</v>
      </c>
      <c r="B26" s="315" t="s">
        <v>465</v>
      </c>
      <c r="C26" s="316" t="s">
        <v>751</v>
      </c>
      <c r="D26" s="316" t="s">
        <v>835</v>
      </c>
      <c r="E26" s="316">
        <v>6327</v>
      </c>
      <c r="F26" s="318" t="s">
        <v>751</v>
      </c>
      <c r="G26" s="316" t="s">
        <v>836</v>
      </c>
      <c r="H26" s="316"/>
      <c r="I26" s="316" t="s">
        <v>780</v>
      </c>
      <c r="J26" s="315" t="s">
        <v>819</v>
      </c>
      <c r="K26" s="319" t="s">
        <v>754</v>
      </c>
      <c r="L26" s="319" t="s">
        <v>754</v>
      </c>
      <c r="M26" s="319" t="s">
        <v>754</v>
      </c>
      <c r="N26" s="319" t="s">
        <v>754</v>
      </c>
      <c r="O26" s="319" t="s">
        <v>754</v>
      </c>
      <c r="P26" s="319" t="s">
        <v>754</v>
      </c>
      <c r="Q26" s="319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</row>
    <row r="27" spans="1:36" ht="18" customHeight="1" x14ac:dyDescent="0.25">
      <c r="A27" s="305" t="s">
        <v>837</v>
      </c>
      <c r="B27" s="306" t="s">
        <v>465</v>
      </c>
      <c r="C27" s="307" t="s">
        <v>838</v>
      </c>
      <c r="D27" s="307" t="s">
        <v>749</v>
      </c>
      <c r="E27" s="307">
        <v>1003</v>
      </c>
      <c r="F27" s="309" t="s">
        <v>751</v>
      </c>
      <c r="G27" s="307" t="s">
        <v>839</v>
      </c>
      <c r="H27" s="307">
        <v>924</v>
      </c>
      <c r="I27" s="307" t="s">
        <v>780</v>
      </c>
      <c r="J27" s="306"/>
      <c r="K27" s="325">
        <v>1584.04</v>
      </c>
      <c r="L27" s="325">
        <v>11885.59</v>
      </c>
      <c r="M27" s="325">
        <v>11885.19</v>
      </c>
      <c r="N27" s="325">
        <v>4892.62</v>
      </c>
      <c r="O27" s="325">
        <v>15693.28</v>
      </c>
      <c r="P27" s="325">
        <v>1507.53</v>
      </c>
      <c r="Q27" s="325">
        <v>1690.91</v>
      </c>
      <c r="R27" s="328">
        <v>2160.6</v>
      </c>
      <c r="S27" s="328">
        <v>2158.6999999999998</v>
      </c>
      <c r="T27" s="328">
        <v>1453.02</v>
      </c>
      <c r="U27" s="328">
        <v>1451.52</v>
      </c>
      <c r="V27" s="328">
        <v>325.39</v>
      </c>
      <c r="W27" s="328"/>
      <c r="X27" s="328"/>
      <c r="Y27" s="328"/>
      <c r="Z27" s="328"/>
      <c r="AA27" s="328"/>
      <c r="AB27" s="328"/>
      <c r="AC27" s="328"/>
      <c r="AD27" s="328"/>
      <c r="AE27" s="328"/>
      <c r="AF27" s="328"/>
      <c r="AG27" s="328"/>
      <c r="AH27" s="328"/>
      <c r="AI27" s="328"/>
      <c r="AJ27" s="328"/>
    </row>
    <row r="28" spans="1:36" ht="18" customHeight="1" x14ac:dyDescent="0.25">
      <c r="A28" s="305" t="s">
        <v>837</v>
      </c>
      <c r="B28" s="306" t="s">
        <v>465</v>
      </c>
      <c r="C28" s="307" t="s">
        <v>838</v>
      </c>
      <c r="D28" s="307" t="s">
        <v>773</v>
      </c>
      <c r="E28" s="307">
        <v>5441</v>
      </c>
      <c r="F28" s="309" t="s">
        <v>751</v>
      </c>
      <c r="G28" s="307" t="s">
        <v>840</v>
      </c>
      <c r="H28" s="307">
        <v>99660</v>
      </c>
      <c r="I28" s="307" t="s">
        <v>780</v>
      </c>
      <c r="J28" s="306"/>
      <c r="K28" s="325">
        <v>315000</v>
      </c>
      <c r="L28" s="325">
        <v>181931.43</v>
      </c>
      <c r="M28" s="325">
        <v>179132.56</v>
      </c>
      <c r="N28" s="325">
        <v>41284.870000000003</v>
      </c>
      <c r="O28" s="325">
        <v>4983.47</v>
      </c>
      <c r="P28" s="325">
        <v>819.98</v>
      </c>
      <c r="Q28" s="325">
        <v>26884.27</v>
      </c>
      <c r="R28" s="328">
        <v>7513.01</v>
      </c>
      <c r="S28" s="328">
        <v>7113.02</v>
      </c>
      <c r="T28" s="328">
        <v>597.92999999999995</v>
      </c>
      <c r="U28" s="328">
        <v>61983.15</v>
      </c>
      <c r="V28" s="328">
        <v>210238.39</v>
      </c>
      <c r="W28" s="328"/>
      <c r="X28" s="328"/>
      <c r="Y28" s="328"/>
      <c r="Z28" s="328"/>
      <c r="AA28" s="328"/>
      <c r="AB28" s="328"/>
      <c r="AC28" s="328"/>
      <c r="AD28" s="328"/>
      <c r="AE28" s="328"/>
      <c r="AF28" s="328"/>
      <c r="AG28" s="328"/>
      <c r="AH28" s="328"/>
      <c r="AI28" s="328"/>
      <c r="AJ28" s="328"/>
    </row>
    <row r="29" spans="1:36" ht="18" customHeight="1" x14ac:dyDescent="0.25">
      <c r="A29" s="305" t="s">
        <v>841</v>
      </c>
      <c r="B29" s="306" t="s">
        <v>12</v>
      </c>
      <c r="C29" s="307" t="s">
        <v>842</v>
      </c>
      <c r="D29" s="307" t="s">
        <v>749</v>
      </c>
      <c r="E29" s="307">
        <v>1003</v>
      </c>
      <c r="F29" s="309" t="s">
        <v>843</v>
      </c>
      <c r="G29" s="307" t="s">
        <v>844</v>
      </c>
      <c r="H29" s="307">
        <v>324</v>
      </c>
      <c r="I29" s="307" t="s">
        <v>780</v>
      </c>
      <c r="J29" s="306"/>
      <c r="K29" s="325">
        <v>5092.8</v>
      </c>
      <c r="L29" s="325">
        <v>1059332.1399999999</v>
      </c>
      <c r="M29" s="325">
        <v>1059327.1399999999</v>
      </c>
      <c r="N29" s="325">
        <v>4298.41</v>
      </c>
      <c r="O29" s="325">
        <v>15805.15</v>
      </c>
      <c r="P29" s="325">
        <v>18890.05</v>
      </c>
      <c r="Q29" s="325">
        <v>21699.45</v>
      </c>
      <c r="R29" s="328">
        <v>2779.55</v>
      </c>
      <c r="S29" s="328">
        <v>1474691.37</v>
      </c>
      <c r="T29" s="328">
        <v>847.78</v>
      </c>
      <c r="U29" s="328">
        <v>1582959.74</v>
      </c>
      <c r="V29" s="328">
        <v>14635.64</v>
      </c>
      <c r="W29" s="328"/>
      <c r="X29" s="328"/>
      <c r="Y29" s="328"/>
      <c r="Z29" s="328"/>
      <c r="AA29" s="328"/>
      <c r="AB29" s="328"/>
      <c r="AC29" s="328"/>
      <c r="AD29" s="328"/>
      <c r="AE29" s="328"/>
      <c r="AF29" s="328"/>
      <c r="AG29" s="328"/>
      <c r="AH29" s="328"/>
      <c r="AI29" s="328"/>
      <c r="AJ29" s="328"/>
    </row>
    <row r="30" spans="1:36" ht="18" customHeight="1" x14ac:dyDescent="0.25">
      <c r="A30" s="305" t="s">
        <v>841</v>
      </c>
      <c r="B30" s="306" t="s">
        <v>12</v>
      </c>
      <c r="C30" s="307" t="s">
        <v>842</v>
      </c>
      <c r="D30" s="307" t="s">
        <v>773</v>
      </c>
      <c r="E30" s="307">
        <v>5441</v>
      </c>
      <c r="F30" s="309" t="s">
        <v>785</v>
      </c>
      <c r="G30" s="307" t="s">
        <v>845</v>
      </c>
      <c r="H30" s="307">
        <v>99756</v>
      </c>
      <c r="I30" s="307" t="s">
        <v>780</v>
      </c>
      <c r="J30" s="306"/>
      <c r="K30" s="325">
        <v>18100</v>
      </c>
      <c r="L30" s="325">
        <v>-15317.6</v>
      </c>
      <c r="M30" s="325">
        <v>395538.86</v>
      </c>
      <c r="N30" s="325">
        <v>56614.74</v>
      </c>
      <c r="O30" s="325">
        <v>36526.43</v>
      </c>
      <c r="P30" s="325">
        <v>-17595.080000000002</v>
      </c>
      <c r="Q30" s="325">
        <v>-397.26</v>
      </c>
      <c r="R30" s="328">
        <v>11626.65</v>
      </c>
      <c r="S30" s="328">
        <v>7712.8</v>
      </c>
      <c r="T30" s="328">
        <v>-7474.5</v>
      </c>
      <c r="U30" s="328">
        <v>-6472.31</v>
      </c>
      <c r="V30" s="328">
        <v>992.75</v>
      </c>
      <c r="W30" s="328"/>
      <c r="X30" s="328"/>
      <c r="Y30" s="328"/>
      <c r="Z30" s="328"/>
      <c r="AA30" s="328"/>
      <c r="AB30" s="328"/>
      <c r="AC30" s="328"/>
      <c r="AD30" s="328"/>
      <c r="AE30" s="328"/>
      <c r="AF30" s="328"/>
      <c r="AG30" s="328"/>
      <c r="AH30" s="328"/>
      <c r="AI30" s="328"/>
      <c r="AJ30" s="328"/>
    </row>
    <row r="31" spans="1:36" ht="18" customHeight="1" x14ac:dyDescent="0.25">
      <c r="A31" s="305" t="s">
        <v>841</v>
      </c>
      <c r="B31" s="306" t="s">
        <v>12</v>
      </c>
      <c r="C31" s="307" t="s">
        <v>842</v>
      </c>
      <c r="D31" s="307" t="s">
        <v>846</v>
      </c>
      <c r="E31" s="329" t="s">
        <v>847</v>
      </c>
      <c r="F31" s="309" t="s">
        <v>848</v>
      </c>
      <c r="G31" s="307" t="s">
        <v>751</v>
      </c>
      <c r="H31" s="329" t="s">
        <v>849</v>
      </c>
      <c r="I31" s="307" t="s">
        <v>780</v>
      </c>
      <c r="J31" s="306"/>
      <c r="K31" s="325">
        <v>949846.21</v>
      </c>
      <c r="L31" s="325">
        <v>1790749.03</v>
      </c>
      <c r="M31" s="325">
        <v>745126.22</v>
      </c>
      <c r="N31" s="325">
        <v>803296.44</v>
      </c>
      <c r="O31" s="325">
        <v>726266.11</v>
      </c>
      <c r="P31" s="325">
        <v>68746.600000000006</v>
      </c>
      <c r="Q31" s="325" t="s">
        <v>787</v>
      </c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28"/>
      <c r="AC31" s="328"/>
      <c r="AD31" s="328"/>
      <c r="AE31" s="328"/>
      <c r="AF31" s="328"/>
      <c r="AG31" s="328"/>
      <c r="AH31" s="328"/>
      <c r="AI31" s="328"/>
      <c r="AJ31" s="328"/>
    </row>
    <row r="32" spans="1:36" ht="18" customHeight="1" x14ac:dyDescent="0.25">
      <c r="A32" s="305" t="s">
        <v>841</v>
      </c>
      <c r="B32" s="306" t="s">
        <v>12</v>
      </c>
      <c r="C32" s="307" t="s">
        <v>842</v>
      </c>
      <c r="D32" s="307" t="s">
        <v>846</v>
      </c>
      <c r="E32" s="329" t="s">
        <v>847</v>
      </c>
      <c r="F32" s="309" t="s">
        <v>850</v>
      </c>
      <c r="G32" s="307" t="s">
        <v>751</v>
      </c>
      <c r="H32" s="329" t="s">
        <v>851</v>
      </c>
      <c r="I32" s="307" t="s">
        <v>780</v>
      </c>
      <c r="J32" s="306"/>
      <c r="K32" s="325" t="s">
        <v>852</v>
      </c>
      <c r="L32" s="325"/>
      <c r="M32" s="325"/>
      <c r="N32" s="325"/>
      <c r="O32" s="325">
        <v>0</v>
      </c>
      <c r="P32" s="325">
        <v>99655.24</v>
      </c>
      <c r="Q32" s="325" t="s">
        <v>787</v>
      </c>
      <c r="R32" s="328"/>
      <c r="S32" s="328">
        <v>238765.48</v>
      </c>
      <c r="T32" s="328">
        <v>115215.31</v>
      </c>
      <c r="U32" s="328"/>
      <c r="V32" s="328"/>
      <c r="W32" s="328"/>
      <c r="X32" s="328"/>
      <c r="Y32" s="328"/>
      <c r="Z32" s="328"/>
      <c r="AA32" s="328"/>
      <c r="AB32" s="328"/>
      <c r="AC32" s="328"/>
      <c r="AD32" s="328"/>
      <c r="AE32" s="328"/>
      <c r="AF32" s="328"/>
      <c r="AG32" s="328"/>
      <c r="AH32" s="328"/>
      <c r="AI32" s="328"/>
      <c r="AJ32" s="328"/>
    </row>
    <row r="33" spans="1:36" ht="18" customHeight="1" x14ac:dyDescent="0.25">
      <c r="A33" s="305" t="s">
        <v>747</v>
      </c>
      <c r="B33" s="306" t="s">
        <v>671</v>
      </c>
      <c r="C33" s="307" t="s">
        <v>748</v>
      </c>
      <c r="D33" s="308" t="s">
        <v>749</v>
      </c>
      <c r="E33" s="308">
        <v>3605</v>
      </c>
      <c r="F33" s="309" t="s">
        <v>750</v>
      </c>
      <c r="G33" s="308" t="s">
        <v>751</v>
      </c>
      <c r="H33" s="308">
        <v>90</v>
      </c>
      <c r="I33" s="307" t="s">
        <v>752</v>
      </c>
      <c r="J33" s="306" t="s">
        <v>753</v>
      </c>
      <c r="K33" s="310" t="s">
        <v>754</v>
      </c>
      <c r="L33" s="310" t="s">
        <v>754</v>
      </c>
      <c r="M33" s="310" t="s">
        <v>754</v>
      </c>
      <c r="N33" s="310" t="s">
        <v>754</v>
      </c>
      <c r="O33" s="310" t="s">
        <v>754</v>
      </c>
      <c r="P33" s="310" t="s">
        <v>754</v>
      </c>
      <c r="Q33" s="310"/>
      <c r="R33" s="311"/>
      <c r="S33" s="311"/>
      <c r="T33" s="311"/>
      <c r="U33" s="311">
        <v>0</v>
      </c>
      <c r="V33" s="311">
        <v>0</v>
      </c>
      <c r="W33" s="311"/>
      <c r="X33" s="311"/>
      <c r="Y33" s="311"/>
      <c r="Z33" s="311"/>
      <c r="AA33" s="311"/>
      <c r="AB33" s="311"/>
      <c r="AC33" s="311"/>
      <c r="AD33" s="311"/>
      <c r="AE33" s="311"/>
      <c r="AF33" s="311"/>
      <c r="AG33" s="311"/>
      <c r="AH33" s="311"/>
      <c r="AI33" s="311"/>
      <c r="AJ33" s="311"/>
    </row>
    <row r="34" spans="1:36" ht="18" customHeight="1" x14ac:dyDescent="0.25">
      <c r="A34" s="305" t="s">
        <v>747</v>
      </c>
      <c r="B34" s="306" t="s">
        <v>671</v>
      </c>
      <c r="C34" s="307" t="s">
        <v>748</v>
      </c>
      <c r="D34" s="307" t="s">
        <v>749</v>
      </c>
      <c r="E34" s="307">
        <v>1003</v>
      </c>
      <c r="F34" s="309" t="s">
        <v>853</v>
      </c>
      <c r="G34" s="307" t="s">
        <v>854</v>
      </c>
      <c r="H34" s="307">
        <v>369</v>
      </c>
      <c r="I34" s="307" t="s">
        <v>780</v>
      </c>
      <c r="J34" s="306"/>
      <c r="K34" s="325">
        <v>1152.77</v>
      </c>
      <c r="L34" s="325">
        <v>-98760.38</v>
      </c>
      <c r="M34" s="325">
        <v>-98107.98</v>
      </c>
      <c r="N34" s="325">
        <v>-76993.42</v>
      </c>
      <c r="O34" s="325">
        <v>-91436.53</v>
      </c>
      <c r="P34" s="325">
        <v>-83889.1</v>
      </c>
      <c r="Q34" s="325">
        <v>83891.1</v>
      </c>
      <c r="R34" s="328">
        <v>83484.570000000007</v>
      </c>
      <c r="S34" s="328">
        <v>-96322.74</v>
      </c>
      <c r="T34" s="328">
        <v>-99651.35</v>
      </c>
      <c r="U34" s="328">
        <v>114980.12</v>
      </c>
      <c r="V34" s="328">
        <v>17541</v>
      </c>
      <c r="W34" s="328"/>
      <c r="X34" s="328"/>
      <c r="Y34" s="328"/>
      <c r="Z34" s="328"/>
      <c r="AA34" s="328"/>
      <c r="AB34" s="328"/>
      <c r="AC34" s="328"/>
      <c r="AD34" s="328"/>
      <c r="AE34" s="328"/>
      <c r="AF34" s="328"/>
      <c r="AG34" s="328"/>
      <c r="AH34" s="328"/>
      <c r="AI34" s="328"/>
      <c r="AJ34" s="328"/>
    </row>
    <row r="35" spans="1:36" ht="18" customHeight="1" x14ac:dyDescent="0.25">
      <c r="A35" s="305" t="s">
        <v>747</v>
      </c>
      <c r="B35" s="306" t="s">
        <v>671</v>
      </c>
      <c r="C35" s="307" t="s">
        <v>748</v>
      </c>
      <c r="D35" s="307" t="s">
        <v>773</v>
      </c>
      <c r="E35" s="307">
        <v>2633</v>
      </c>
      <c r="F35" s="309" t="s">
        <v>751</v>
      </c>
      <c r="G35" s="307" t="s">
        <v>855</v>
      </c>
      <c r="H35" s="307">
        <v>97588</v>
      </c>
      <c r="I35" s="307" t="s">
        <v>780</v>
      </c>
      <c r="J35" s="306"/>
      <c r="K35" s="325">
        <v>0</v>
      </c>
      <c r="L35" s="325">
        <v>66.099999999999994</v>
      </c>
      <c r="M35" s="325">
        <v>64.87</v>
      </c>
      <c r="N35" s="325">
        <v>185.48</v>
      </c>
      <c r="O35" s="325">
        <v>26.49</v>
      </c>
      <c r="P35" s="325">
        <v>521.52</v>
      </c>
      <c r="Q35" s="325">
        <v>6452.53</v>
      </c>
      <c r="R35" s="328">
        <v>181.16</v>
      </c>
      <c r="S35" s="328">
        <v>12.16</v>
      </c>
      <c r="T35" s="328">
        <v>188.33</v>
      </c>
      <c r="U35" s="328">
        <v>10.5</v>
      </c>
      <c r="V35" s="328">
        <v>2006.95</v>
      </c>
      <c r="W35" s="328"/>
      <c r="X35" s="328"/>
      <c r="Y35" s="328"/>
      <c r="Z35" s="328"/>
      <c r="AA35" s="328"/>
      <c r="AB35" s="328"/>
      <c r="AC35" s="328"/>
      <c r="AD35" s="328"/>
      <c r="AE35" s="328"/>
      <c r="AF35" s="328"/>
      <c r="AG35" s="328"/>
      <c r="AH35" s="328"/>
      <c r="AI35" s="328"/>
      <c r="AJ35" s="328"/>
    </row>
    <row r="36" spans="1:36" ht="18" customHeight="1" x14ac:dyDescent="0.25">
      <c r="A36" s="305" t="s">
        <v>856</v>
      </c>
      <c r="B36" s="306" t="s">
        <v>857</v>
      </c>
      <c r="C36" s="307" t="s">
        <v>858</v>
      </c>
      <c r="D36" s="307" t="s">
        <v>749</v>
      </c>
      <c r="E36" s="307">
        <v>1003</v>
      </c>
      <c r="F36" s="309" t="s">
        <v>859</v>
      </c>
      <c r="G36" s="307" t="s">
        <v>860</v>
      </c>
      <c r="H36" s="307">
        <v>836</v>
      </c>
      <c r="I36" s="307" t="s">
        <v>780</v>
      </c>
      <c r="J36" s="306"/>
      <c r="K36" s="325">
        <v>421.39</v>
      </c>
      <c r="L36" s="325">
        <v>53.83</v>
      </c>
      <c r="M36" s="325">
        <v>53.63</v>
      </c>
      <c r="N36" s="325">
        <v>4868.2700000000004</v>
      </c>
      <c r="O36" s="325">
        <v>183448.55</v>
      </c>
      <c r="P36" s="325">
        <v>8040.46</v>
      </c>
      <c r="Q36" s="325">
        <v>5907.27</v>
      </c>
      <c r="R36" s="328">
        <v>4271.46</v>
      </c>
      <c r="S36" s="328">
        <v>2270.86</v>
      </c>
      <c r="T36" s="328">
        <v>293.56</v>
      </c>
      <c r="U36" s="328">
        <v>272.60000000000002</v>
      </c>
      <c r="V36" s="328">
        <v>6823.73</v>
      </c>
      <c r="W36" s="328"/>
      <c r="X36" s="328"/>
      <c r="Y36" s="328"/>
      <c r="Z36" s="328"/>
      <c r="AA36" s="328"/>
      <c r="AB36" s="328"/>
      <c r="AC36" s="328"/>
      <c r="AD36" s="328"/>
      <c r="AE36" s="328"/>
      <c r="AF36" s="328"/>
      <c r="AG36" s="328"/>
      <c r="AH36" s="328"/>
      <c r="AI36" s="328"/>
      <c r="AJ36" s="328"/>
    </row>
    <row r="37" spans="1:36" ht="18" customHeight="1" x14ac:dyDescent="0.25">
      <c r="A37" s="305" t="s">
        <v>856</v>
      </c>
      <c r="B37" s="306" t="s">
        <v>857</v>
      </c>
      <c r="C37" s="307" t="s">
        <v>858</v>
      </c>
      <c r="D37" s="307" t="s">
        <v>773</v>
      </c>
      <c r="E37" s="307">
        <v>2633</v>
      </c>
      <c r="F37" s="309" t="s">
        <v>751</v>
      </c>
      <c r="G37" s="307" t="s">
        <v>861</v>
      </c>
      <c r="H37" s="307">
        <v>97589</v>
      </c>
      <c r="I37" s="307" t="s">
        <v>780</v>
      </c>
      <c r="J37" s="306"/>
      <c r="K37" s="325">
        <v>0</v>
      </c>
      <c r="L37" s="325">
        <v>1299.06</v>
      </c>
      <c r="M37" s="325">
        <v>1049.08</v>
      </c>
      <c r="N37" s="325">
        <v>2789.92</v>
      </c>
      <c r="O37" s="325">
        <v>1373.13</v>
      </c>
      <c r="P37" s="325">
        <v>1814.61</v>
      </c>
      <c r="Q37" s="325">
        <v>1765.67</v>
      </c>
      <c r="R37" s="328">
        <v>68.64</v>
      </c>
      <c r="S37" s="328">
        <v>2031.57</v>
      </c>
      <c r="T37" s="328">
        <v>7780.99</v>
      </c>
      <c r="U37" s="328">
        <v>641.59</v>
      </c>
      <c r="V37" s="328">
        <v>2444.86</v>
      </c>
      <c r="W37" s="328"/>
      <c r="X37" s="328"/>
      <c r="Y37" s="328"/>
      <c r="Z37" s="328"/>
      <c r="AA37" s="328"/>
      <c r="AB37" s="328"/>
      <c r="AC37" s="328"/>
      <c r="AD37" s="328"/>
      <c r="AE37" s="328"/>
      <c r="AF37" s="328"/>
      <c r="AG37" s="328"/>
      <c r="AH37" s="328"/>
      <c r="AI37" s="328"/>
      <c r="AJ37" s="328"/>
    </row>
    <row r="38" spans="1:36" ht="18" customHeight="1" x14ac:dyDescent="0.25">
      <c r="A38" s="305" t="s">
        <v>862</v>
      </c>
      <c r="B38" s="306" t="s">
        <v>863</v>
      </c>
      <c r="C38" s="307" t="s">
        <v>864</v>
      </c>
      <c r="D38" s="307" t="s">
        <v>749</v>
      </c>
      <c r="E38" s="307">
        <v>1003</v>
      </c>
      <c r="F38" s="309">
        <v>3701</v>
      </c>
      <c r="G38" s="307" t="s">
        <v>865</v>
      </c>
      <c r="H38" s="307">
        <v>189</v>
      </c>
      <c r="I38" s="307" t="s">
        <v>780</v>
      </c>
      <c r="J38" s="306"/>
      <c r="K38" s="325" t="s">
        <v>852</v>
      </c>
      <c r="L38" s="325"/>
      <c r="M38" s="325"/>
      <c r="N38" s="325"/>
      <c r="O38" s="325"/>
      <c r="P38" s="325"/>
      <c r="Q38" s="325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28"/>
      <c r="AC38" s="328"/>
      <c r="AD38" s="328"/>
      <c r="AE38" s="328"/>
      <c r="AF38" s="328"/>
      <c r="AG38" s="328"/>
      <c r="AH38" s="328"/>
      <c r="AI38" s="328"/>
      <c r="AJ38" s="328"/>
    </row>
    <row r="39" spans="1:36" ht="18" customHeight="1" x14ac:dyDescent="0.25">
      <c r="A39" s="305" t="s">
        <v>866</v>
      </c>
      <c r="B39" s="306" t="s">
        <v>867</v>
      </c>
      <c r="C39" s="307" t="s">
        <v>868</v>
      </c>
      <c r="D39" s="307" t="s">
        <v>749</v>
      </c>
      <c r="E39" s="307">
        <v>1003</v>
      </c>
      <c r="F39" s="309" t="s">
        <v>869</v>
      </c>
      <c r="G39" s="307" t="s">
        <v>870</v>
      </c>
      <c r="H39" s="307">
        <v>394</v>
      </c>
      <c r="I39" s="307" t="s">
        <v>780</v>
      </c>
      <c r="J39" s="306"/>
      <c r="K39" s="325">
        <v>139621.99</v>
      </c>
      <c r="L39" s="325">
        <v>19172.599999999999</v>
      </c>
      <c r="M39" s="325">
        <v>19092.46</v>
      </c>
      <c r="N39" s="325">
        <v>29006.37</v>
      </c>
      <c r="O39" s="325">
        <v>-9091.2800000000007</v>
      </c>
      <c r="P39" s="325">
        <v>-2780.88</v>
      </c>
      <c r="Q39" s="325" t="s">
        <v>787</v>
      </c>
      <c r="R39" s="328"/>
      <c r="S39" s="328">
        <v>0</v>
      </c>
      <c r="T39" s="328">
        <v>0</v>
      </c>
      <c r="U39" s="328">
        <v>5305.16</v>
      </c>
      <c r="V39" s="328">
        <v>3801.57</v>
      </c>
      <c r="W39" s="328"/>
      <c r="X39" s="328"/>
      <c r="Y39" s="328"/>
      <c r="Z39" s="328"/>
      <c r="AA39" s="328"/>
      <c r="AB39" s="328"/>
      <c r="AC39" s="328"/>
      <c r="AD39" s="328"/>
      <c r="AE39" s="328"/>
      <c r="AF39" s="328"/>
      <c r="AG39" s="328"/>
      <c r="AH39" s="328"/>
      <c r="AI39" s="328"/>
      <c r="AJ39" s="328"/>
    </row>
    <row r="40" spans="1:36" ht="18" customHeight="1" x14ac:dyDescent="0.25">
      <c r="A40" s="314" t="s">
        <v>866</v>
      </c>
      <c r="B40" s="315" t="s">
        <v>867</v>
      </c>
      <c r="C40" s="316" t="s">
        <v>868</v>
      </c>
      <c r="D40" s="330" t="s">
        <v>773</v>
      </c>
      <c r="E40" s="330">
        <v>5403</v>
      </c>
      <c r="F40" s="318" t="s">
        <v>751</v>
      </c>
      <c r="G40" s="330" t="s">
        <v>871</v>
      </c>
      <c r="H40" s="330" t="s">
        <v>751</v>
      </c>
      <c r="I40" s="316" t="s">
        <v>780</v>
      </c>
      <c r="J40" s="315"/>
      <c r="K40" s="319" t="s">
        <v>754</v>
      </c>
      <c r="L40" s="319" t="s">
        <v>754</v>
      </c>
      <c r="M40" s="319" t="s">
        <v>754</v>
      </c>
      <c r="N40" s="319" t="s">
        <v>754</v>
      </c>
      <c r="O40" s="319" t="s">
        <v>754</v>
      </c>
      <c r="P40" s="319" t="s">
        <v>754</v>
      </c>
      <c r="Q40" s="319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0"/>
      <c r="AC40" s="320"/>
      <c r="AD40" s="320"/>
      <c r="AE40" s="320"/>
      <c r="AF40" s="320"/>
      <c r="AG40" s="320"/>
      <c r="AH40" s="320"/>
      <c r="AI40" s="320"/>
      <c r="AJ40" s="320"/>
    </row>
    <row r="41" spans="1:36" ht="18" customHeight="1" x14ac:dyDescent="0.25">
      <c r="A41" s="305" t="s">
        <v>872</v>
      </c>
      <c r="B41" s="306" t="s">
        <v>479</v>
      </c>
      <c r="C41" s="307" t="s">
        <v>873</v>
      </c>
      <c r="D41" s="307" t="s">
        <v>749</v>
      </c>
      <c r="E41" s="307">
        <v>3605</v>
      </c>
      <c r="F41" s="309" t="s">
        <v>874</v>
      </c>
      <c r="G41" s="307" t="s">
        <v>875</v>
      </c>
      <c r="H41" s="307">
        <v>231</v>
      </c>
      <c r="I41" s="307" t="s">
        <v>780</v>
      </c>
      <c r="J41" s="306"/>
      <c r="K41" s="325">
        <v>333.89</v>
      </c>
      <c r="L41" s="325" t="s">
        <v>852</v>
      </c>
      <c r="M41" s="325">
        <v>-43878.400000000001</v>
      </c>
      <c r="N41" s="325">
        <v>-51529.36</v>
      </c>
      <c r="O41" s="325">
        <v>-60041.31</v>
      </c>
      <c r="P41" s="325">
        <v>-30291.31</v>
      </c>
      <c r="Q41" s="325">
        <v>-35278.89</v>
      </c>
      <c r="R41" s="328">
        <v>-37403.89</v>
      </c>
      <c r="S41" s="328">
        <v>-42985.16</v>
      </c>
      <c r="T41" s="328">
        <v>-43110.16</v>
      </c>
      <c r="U41" s="328">
        <v>49775.16</v>
      </c>
      <c r="V41" s="328">
        <v>15288.69</v>
      </c>
      <c r="W41" s="328"/>
      <c r="X41" s="328"/>
      <c r="Y41" s="328"/>
      <c r="Z41" s="328"/>
      <c r="AA41" s="328"/>
      <c r="AB41" s="328"/>
      <c r="AC41" s="328"/>
      <c r="AD41" s="328"/>
      <c r="AE41" s="328"/>
      <c r="AF41" s="328"/>
      <c r="AG41" s="328"/>
      <c r="AH41" s="328"/>
      <c r="AI41" s="328"/>
      <c r="AJ41" s="328"/>
    </row>
    <row r="42" spans="1:36" ht="18" customHeight="1" x14ac:dyDescent="0.25">
      <c r="A42" s="305" t="s">
        <v>872</v>
      </c>
      <c r="B42" s="306" t="s">
        <v>479</v>
      </c>
      <c r="C42" s="307" t="s">
        <v>873</v>
      </c>
      <c r="D42" s="307" t="s">
        <v>749</v>
      </c>
      <c r="E42" s="307">
        <v>1003</v>
      </c>
      <c r="F42" s="309" t="s">
        <v>876</v>
      </c>
      <c r="G42" s="307" t="s">
        <v>877</v>
      </c>
      <c r="H42" s="307">
        <v>306</v>
      </c>
      <c r="I42" s="307" t="s">
        <v>780</v>
      </c>
      <c r="J42" s="306"/>
      <c r="K42" s="325">
        <v>171801.93</v>
      </c>
      <c r="L42" s="325" t="s">
        <v>852</v>
      </c>
      <c r="M42" s="325">
        <v>171801.93</v>
      </c>
      <c r="N42" s="325">
        <v>2671.47</v>
      </c>
      <c r="O42" s="325">
        <v>2669.47</v>
      </c>
      <c r="P42" s="325">
        <v>712.28</v>
      </c>
      <c r="Q42" s="325">
        <v>462.28</v>
      </c>
      <c r="R42" s="328">
        <v>1135.3800000000001</v>
      </c>
      <c r="S42" s="328">
        <v>1146.5999999999999</v>
      </c>
      <c r="T42" s="328">
        <v>71.2</v>
      </c>
      <c r="U42" s="328">
        <v>0</v>
      </c>
      <c r="V42" s="328">
        <v>0</v>
      </c>
      <c r="W42" s="328"/>
      <c r="X42" s="328"/>
      <c r="Y42" s="328"/>
      <c r="Z42" s="328"/>
      <c r="AA42" s="328"/>
      <c r="AB42" s="328"/>
      <c r="AC42" s="328"/>
      <c r="AD42" s="328"/>
      <c r="AE42" s="328"/>
      <c r="AF42" s="328"/>
      <c r="AG42" s="328"/>
      <c r="AH42" s="328"/>
      <c r="AI42" s="328"/>
      <c r="AJ42" s="328"/>
    </row>
    <row r="43" spans="1:36" ht="18" customHeight="1" x14ac:dyDescent="0.25">
      <c r="A43" s="305" t="s">
        <v>872</v>
      </c>
      <c r="B43" s="306" t="s">
        <v>479</v>
      </c>
      <c r="C43" s="307" t="s">
        <v>873</v>
      </c>
      <c r="D43" s="307" t="s">
        <v>773</v>
      </c>
      <c r="E43" s="307">
        <v>5441</v>
      </c>
      <c r="F43" s="309" t="s">
        <v>751</v>
      </c>
      <c r="G43" s="307" t="s">
        <v>878</v>
      </c>
      <c r="H43" s="307">
        <v>97</v>
      </c>
      <c r="I43" s="307" t="s">
        <v>780</v>
      </c>
      <c r="J43" s="306"/>
      <c r="K43" s="325">
        <v>1432.42</v>
      </c>
      <c r="L43" s="325">
        <v>-70875.89</v>
      </c>
      <c r="M43" s="325">
        <v>-70969.45</v>
      </c>
      <c r="N43" s="325">
        <v>42302.74</v>
      </c>
      <c r="O43" s="325">
        <v>11929.71</v>
      </c>
      <c r="P43" s="325">
        <v>-77369.2</v>
      </c>
      <c r="Q43" s="325">
        <v>-81359.75</v>
      </c>
      <c r="R43" s="328">
        <v>-77763.53</v>
      </c>
      <c r="S43" s="328">
        <v>-78471.42</v>
      </c>
      <c r="T43" s="328">
        <v>-87177.5</v>
      </c>
      <c r="U43" s="328">
        <v>-86577.59</v>
      </c>
      <c r="V43" s="328">
        <v>6643.2</v>
      </c>
      <c r="W43" s="328"/>
      <c r="X43" s="328"/>
      <c r="Y43" s="328"/>
      <c r="Z43" s="328"/>
      <c r="AA43" s="328"/>
      <c r="AB43" s="328"/>
      <c r="AC43" s="328"/>
      <c r="AD43" s="328"/>
      <c r="AE43" s="328"/>
      <c r="AF43" s="328"/>
      <c r="AG43" s="328"/>
      <c r="AH43" s="328"/>
      <c r="AI43" s="328"/>
      <c r="AJ43" s="328"/>
    </row>
    <row r="44" spans="1:36" ht="18" customHeight="1" x14ac:dyDescent="0.25">
      <c r="A44" s="305" t="s">
        <v>879</v>
      </c>
      <c r="B44" s="306" t="s">
        <v>481</v>
      </c>
      <c r="C44" s="307" t="s">
        <v>880</v>
      </c>
      <c r="D44" s="307" t="s">
        <v>749</v>
      </c>
      <c r="E44" s="307">
        <v>1599</v>
      </c>
      <c r="F44" s="309" t="s">
        <v>751</v>
      </c>
      <c r="G44" s="307" t="s">
        <v>881</v>
      </c>
      <c r="H44" s="307">
        <v>68</v>
      </c>
      <c r="I44" s="307" t="s">
        <v>780</v>
      </c>
      <c r="J44" s="306"/>
      <c r="K44" s="325">
        <v>0</v>
      </c>
      <c r="L44" s="325">
        <v>0</v>
      </c>
      <c r="M44" s="325">
        <v>0</v>
      </c>
      <c r="N44" s="325">
        <v>0</v>
      </c>
      <c r="O44" s="325">
        <v>0</v>
      </c>
      <c r="P44" s="325">
        <v>0</v>
      </c>
      <c r="Q44" s="325" t="s">
        <v>787</v>
      </c>
      <c r="R44" s="328"/>
      <c r="S44" s="328" t="s">
        <v>1003</v>
      </c>
      <c r="T44" s="328"/>
      <c r="U44" s="328"/>
      <c r="V44" s="328"/>
      <c r="W44" s="328"/>
      <c r="X44" s="328"/>
      <c r="Y44" s="328"/>
      <c r="Z44" s="328"/>
      <c r="AA44" s="328"/>
      <c r="AB44" s="328"/>
      <c r="AC44" s="328"/>
      <c r="AD44" s="328"/>
      <c r="AE44" s="328"/>
      <c r="AF44" s="328"/>
      <c r="AG44" s="328"/>
      <c r="AH44" s="328"/>
      <c r="AI44" s="328"/>
      <c r="AJ44" s="328"/>
    </row>
    <row r="45" spans="1:36" ht="18" customHeight="1" x14ac:dyDescent="0.25">
      <c r="A45" s="305" t="s">
        <v>879</v>
      </c>
      <c r="B45" s="306" t="s">
        <v>481</v>
      </c>
      <c r="C45" s="307" t="s">
        <v>880</v>
      </c>
      <c r="D45" s="307" t="s">
        <v>749</v>
      </c>
      <c r="E45" s="307">
        <v>2106</v>
      </c>
      <c r="F45" s="309" t="s">
        <v>882</v>
      </c>
      <c r="G45" s="307" t="s">
        <v>883</v>
      </c>
      <c r="H45" s="307">
        <v>123</v>
      </c>
      <c r="I45" s="307" t="s">
        <v>780</v>
      </c>
      <c r="J45" s="306"/>
      <c r="K45" s="325">
        <v>16325.43</v>
      </c>
      <c r="L45" s="325">
        <v>-29687.77</v>
      </c>
      <c r="M45" s="325">
        <v>-34001.5</v>
      </c>
      <c r="N45" s="325">
        <v>-28488.31</v>
      </c>
      <c r="O45" s="325">
        <v>-33642.31</v>
      </c>
      <c r="P45" s="325">
        <v>1366.72</v>
      </c>
      <c r="Q45" s="325" t="s">
        <v>787</v>
      </c>
      <c r="R45" s="328"/>
      <c r="S45" s="328">
        <v>-27085.14</v>
      </c>
      <c r="T45" s="328">
        <v>-27274.14</v>
      </c>
      <c r="U45" s="328">
        <v>-31475</v>
      </c>
      <c r="V45" s="328">
        <v>-31475</v>
      </c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28"/>
      <c r="AI45" s="328"/>
      <c r="AJ45" s="328"/>
    </row>
    <row r="46" spans="1:36" ht="18" customHeight="1" x14ac:dyDescent="0.25">
      <c r="A46" s="305" t="s">
        <v>879</v>
      </c>
      <c r="B46" s="306" t="s">
        <v>481</v>
      </c>
      <c r="C46" s="307" t="s">
        <v>880</v>
      </c>
      <c r="D46" s="307" t="s">
        <v>773</v>
      </c>
      <c r="E46" s="307">
        <v>186</v>
      </c>
      <c r="F46" s="309" t="s">
        <v>751</v>
      </c>
      <c r="G46" s="307" t="s">
        <v>884</v>
      </c>
      <c r="H46" s="307">
        <v>99310</v>
      </c>
      <c r="I46" s="307" t="s">
        <v>780</v>
      </c>
      <c r="J46" s="306"/>
      <c r="K46" s="325">
        <v>366.51</v>
      </c>
      <c r="L46" s="325">
        <v>-4777</v>
      </c>
      <c r="M46" s="325">
        <v>-5549.3</v>
      </c>
      <c r="N46" s="325">
        <v>-4583.05</v>
      </c>
      <c r="O46" s="325">
        <v>-5210.01</v>
      </c>
      <c r="P46" s="325">
        <v>-2676.34</v>
      </c>
      <c r="Q46" s="325" t="s">
        <v>787</v>
      </c>
      <c r="R46" s="328"/>
      <c r="S46" s="328">
        <v>-1161.9100000000001</v>
      </c>
      <c r="T46" s="328">
        <v>-1296.32</v>
      </c>
      <c r="U46" s="328">
        <v>-1499.19</v>
      </c>
      <c r="V46" s="328">
        <v>951.28</v>
      </c>
      <c r="W46" s="328"/>
      <c r="X46" s="328"/>
      <c r="Y46" s="328"/>
      <c r="Z46" s="328"/>
      <c r="AA46" s="328"/>
      <c r="AB46" s="328"/>
      <c r="AC46" s="328"/>
      <c r="AD46" s="328"/>
      <c r="AE46" s="328"/>
      <c r="AF46" s="328"/>
      <c r="AG46" s="328"/>
      <c r="AH46" s="328"/>
      <c r="AI46" s="328"/>
      <c r="AJ46" s="328"/>
    </row>
    <row r="47" spans="1:36" ht="18" customHeight="1" x14ac:dyDescent="0.25">
      <c r="A47" s="305" t="s">
        <v>755</v>
      </c>
      <c r="B47" s="306" t="s">
        <v>482</v>
      </c>
      <c r="C47" s="307" t="s">
        <v>756</v>
      </c>
      <c r="D47" s="313" t="s">
        <v>757</v>
      </c>
      <c r="E47" s="307" t="s">
        <v>751</v>
      </c>
      <c r="F47" s="309" t="s">
        <v>751</v>
      </c>
      <c r="G47" s="307" t="s">
        <v>751</v>
      </c>
      <c r="H47" s="307" t="s">
        <v>751</v>
      </c>
      <c r="I47" s="307" t="s">
        <v>752</v>
      </c>
      <c r="J47" s="306" t="s">
        <v>758</v>
      </c>
      <c r="K47" s="310" t="s">
        <v>754</v>
      </c>
      <c r="L47" s="310" t="s">
        <v>754</v>
      </c>
      <c r="M47" s="310" t="s">
        <v>754</v>
      </c>
      <c r="N47" s="310" t="s">
        <v>754</v>
      </c>
      <c r="O47" s="310" t="s">
        <v>754</v>
      </c>
      <c r="P47" s="310" t="s">
        <v>754</v>
      </c>
      <c r="Q47" s="310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311"/>
      <c r="AI47" s="311"/>
      <c r="AJ47" s="311"/>
    </row>
    <row r="48" spans="1:36" ht="18" customHeight="1" x14ac:dyDescent="0.25">
      <c r="A48" s="305" t="s">
        <v>755</v>
      </c>
      <c r="B48" s="306" t="s">
        <v>482</v>
      </c>
      <c r="C48" s="307" t="s">
        <v>756</v>
      </c>
      <c r="D48" s="307" t="s">
        <v>749</v>
      </c>
      <c r="E48" s="307">
        <v>1003</v>
      </c>
      <c r="F48" s="309" t="s">
        <v>885</v>
      </c>
      <c r="G48" s="307" t="s">
        <v>886</v>
      </c>
      <c r="H48" s="307">
        <v>423</v>
      </c>
      <c r="I48" s="307" t="s">
        <v>780</v>
      </c>
      <c r="J48" s="306"/>
      <c r="K48" s="325">
        <v>25025.18</v>
      </c>
      <c r="L48" s="325">
        <v>2299.15</v>
      </c>
      <c r="M48" s="325">
        <v>14119.22</v>
      </c>
      <c r="N48" s="325">
        <v>-4705.99</v>
      </c>
      <c r="O48" s="325">
        <v>-4837</v>
      </c>
      <c r="P48" s="325">
        <v>-2899.42</v>
      </c>
      <c r="Q48" s="310" t="s">
        <v>787</v>
      </c>
      <c r="R48" s="328"/>
      <c r="S48" s="328">
        <v>-6760.16</v>
      </c>
      <c r="T48" s="328">
        <v>-3867.52</v>
      </c>
      <c r="U48" s="328">
        <v>-4287.3500000000004</v>
      </c>
      <c r="V48" s="328">
        <v>-12085.46</v>
      </c>
      <c r="W48" s="328"/>
      <c r="X48" s="328"/>
      <c r="Y48" s="328"/>
      <c r="Z48" s="328"/>
      <c r="AA48" s="328"/>
      <c r="AB48" s="328"/>
      <c r="AC48" s="328"/>
      <c r="AD48" s="328"/>
      <c r="AE48" s="328"/>
      <c r="AF48" s="328"/>
      <c r="AG48" s="328"/>
      <c r="AH48" s="328"/>
      <c r="AI48" s="328"/>
      <c r="AJ48" s="328"/>
    </row>
    <row r="49" spans="1:36" ht="18" customHeight="1" x14ac:dyDescent="0.25">
      <c r="A49" s="314" t="s">
        <v>755</v>
      </c>
      <c r="B49" s="315" t="s">
        <v>482</v>
      </c>
      <c r="C49" s="316" t="s">
        <v>756</v>
      </c>
      <c r="D49" s="316" t="s">
        <v>773</v>
      </c>
      <c r="E49" s="316">
        <v>5403</v>
      </c>
      <c r="F49" s="318" t="s">
        <v>751</v>
      </c>
      <c r="G49" s="316" t="s">
        <v>887</v>
      </c>
      <c r="H49" s="316">
        <v>852</v>
      </c>
      <c r="I49" s="316" t="s">
        <v>780</v>
      </c>
      <c r="J49" s="315"/>
      <c r="K49" s="319" t="s">
        <v>754</v>
      </c>
      <c r="L49" s="319" t="s">
        <v>754</v>
      </c>
      <c r="M49" s="319" t="s">
        <v>754</v>
      </c>
      <c r="N49" s="319" t="s">
        <v>754</v>
      </c>
      <c r="O49" s="319" t="s">
        <v>754</v>
      </c>
      <c r="P49" s="319" t="s">
        <v>754</v>
      </c>
      <c r="Q49" s="319"/>
      <c r="R49" s="320"/>
      <c r="S49" s="320"/>
      <c r="T49" s="320"/>
      <c r="U49" s="320" t="s">
        <v>1042</v>
      </c>
      <c r="V49" s="320"/>
      <c r="W49" s="320"/>
      <c r="X49" s="320"/>
      <c r="Y49" s="320"/>
      <c r="Z49" s="320"/>
      <c r="AA49" s="320"/>
      <c r="AB49" s="320"/>
      <c r="AC49" s="320"/>
      <c r="AD49" s="320"/>
      <c r="AE49" s="320"/>
      <c r="AF49" s="320"/>
      <c r="AG49" s="320"/>
      <c r="AH49" s="320"/>
      <c r="AI49" s="320"/>
      <c r="AJ49" s="320"/>
    </row>
    <row r="50" spans="1:36" ht="18" customHeight="1" x14ac:dyDescent="0.25">
      <c r="A50" s="305" t="s">
        <v>888</v>
      </c>
      <c r="B50" s="306" t="s">
        <v>889</v>
      </c>
      <c r="C50" s="307" t="s">
        <v>890</v>
      </c>
      <c r="D50" s="307" t="s">
        <v>749</v>
      </c>
      <c r="E50" s="307">
        <v>1003</v>
      </c>
      <c r="F50" s="309" t="s">
        <v>751</v>
      </c>
      <c r="G50" s="307" t="s">
        <v>891</v>
      </c>
      <c r="H50" s="307" t="s">
        <v>751</v>
      </c>
      <c r="I50" s="307" t="s">
        <v>780</v>
      </c>
      <c r="J50" s="306"/>
      <c r="K50" s="325">
        <v>0</v>
      </c>
      <c r="L50" s="325">
        <v>767.3</v>
      </c>
      <c r="M50" s="325">
        <v>5667.3</v>
      </c>
      <c r="N50" s="325">
        <v>1061.03</v>
      </c>
      <c r="O50" s="325">
        <v>223482.08</v>
      </c>
      <c r="P50" s="325">
        <v>17934.240000000002</v>
      </c>
      <c r="Q50" s="325">
        <v>12734.24</v>
      </c>
      <c r="R50" s="328">
        <v>226.36</v>
      </c>
      <c r="S50" s="328">
        <v>13.06</v>
      </c>
      <c r="T50" s="328">
        <v>456.12</v>
      </c>
      <c r="U50" s="328">
        <v>18424.36</v>
      </c>
      <c r="V50" s="328">
        <v>988.38</v>
      </c>
      <c r="W50" s="328"/>
      <c r="X50" s="328"/>
      <c r="Y50" s="328"/>
      <c r="Z50" s="328"/>
      <c r="AA50" s="328"/>
      <c r="AB50" s="328"/>
      <c r="AC50" s="328"/>
      <c r="AD50" s="328"/>
      <c r="AE50" s="328"/>
      <c r="AF50" s="328"/>
      <c r="AG50" s="328"/>
      <c r="AH50" s="328"/>
      <c r="AI50" s="328"/>
      <c r="AJ50" s="328"/>
    </row>
    <row r="51" spans="1:36" ht="18" customHeight="1" x14ac:dyDescent="0.25">
      <c r="A51" s="305" t="s">
        <v>892</v>
      </c>
      <c r="B51" s="306" t="s">
        <v>673</v>
      </c>
      <c r="C51" s="307" t="s">
        <v>893</v>
      </c>
      <c r="D51" s="307" t="s">
        <v>749</v>
      </c>
      <c r="E51" s="307">
        <v>1003</v>
      </c>
      <c r="F51" s="309" t="s">
        <v>751</v>
      </c>
      <c r="G51" s="307" t="s">
        <v>894</v>
      </c>
      <c r="H51" s="307">
        <v>31</v>
      </c>
      <c r="I51" s="307" t="s">
        <v>780</v>
      </c>
      <c r="J51" s="306"/>
      <c r="K51" s="325">
        <v>0</v>
      </c>
      <c r="L51" s="325">
        <v>0</v>
      </c>
      <c r="M51" s="325">
        <v>0</v>
      </c>
      <c r="N51" s="325">
        <v>0</v>
      </c>
      <c r="O51" s="325">
        <v>0</v>
      </c>
      <c r="P51" s="325">
        <v>0</v>
      </c>
      <c r="Q51" s="325">
        <v>0</v>
      </c>
      <c r="R51" s="328">
        <v>0</v>
      </c>
      <c r="S51" s="328">
        <v>0</v>
      </c>
      <c r="T51" s="328">
        <v>0</v>
      </c>
      <c r="U51" s="328">
        <v>0</v>
      </c>
      <c r="V51" s="328">
        <v>0</v>
      </c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28"/>
      <c r="AI51" s="328"/>
      <c r="AJ51" s="328"/>
    </row>
    <row r="52" spans="1:36" ht="18" customHeight="1" x14ac:dyDescent="0.25">
      <c r="A52" s="305" t="s">
        <v>892</v>
      </c>
      <c r="B52" s="306" t="s">
        <v>673</v>
      </c>
      <c r="C52" s="307" t="s">
        <v>893</v>
      </c>
      <c r="D52" s="307" t="s">
        <v>773</v>
      </c>
      <c r="E52" s="307">
        <v>5441</v>
      </c>
      <c r="F52" s="309" t="s">
        <v>751</v>
      </c>
      <c r="G52" s="307" t="s">
        <v>912</v>
      </c>
      <c r="H52" s="307">
        <v>99651</v>
      </c>
      <c r="I52" s="307" t="s">
        <v>780</v>
      </c>
      <c r="J52" s="306"/>
      <c r="K52" s="325">
        <v>0</v>
      </c>
      <c r="L52" s="325">
        <v>89227.73</v>
      </c>
      <c r="M52" s="325">
        <v>99227.73</v>
      </c>
      <c r="N52" s="325">
        <v>424532.72</v>
      </c>
      <c r="O52" s="325">
        <v>224533.6</v>
      </c>
      <c r="P52" s="325">
        <v>9664.98</v>
      </c>
      <c r="Q52" s="325">
        <v>269864.98</v>
      </c>
      <c r="R52" s="328">
        <v>332546.69</v>
      </c>
      <c r="S52" s="328">
        <v>19544.71</v>
      </c>
      <c r="T52" s="328">
        <v>106028.58</v>
      </c>
      <c r="U52" s="328">
        <v>558717.30000000005</v>
      </c>
      <c r="V52" s="328">
        <v>2022136.92</v>
      </c>
      <c r="W52" s="328"/>
      <c r="X52" s="328"/>
      <c r="Y52" s="328"/>
      <c r="Z52" s="328"/>
      <c r="AA52" s="328"/>
      <c r="AB52" s="328"/>
      <c r="AC52" s="328"/>
      <c r="AD52" s="328"/>
      <c r="AE52" s="328"/>
      <c r="AF52" s="328"/>
      <c r="AG52" s="328"/>
      <c r="AH52" s="328"/>
      <c r="AI52" s="328"/>
      <c r="AJ52" s="328"/>
    </row>
    <row r="53" spans="1:36" ht="18" customHeight="1" x14ac:dyDescent="0.25">
      <c r="A53" s="314" t="s">
        <v>895</v>
      </c>
      <c r="B53" s="315" t="s">
        <v>9</v>
      </c>
      <c r="C53" s="316"/>
      <c r="D53" s="316" t="s">
        <v>835</v>
      </c>
      <c r="E53" s="316">
        <v>6327</v>
      </c>
      <c r="F53" s="318" t="s">
        <v>751</v>
      </c>
      <c r="G53" s="316" t="s">
        <v>896</v>
      </c>
      <c r="H53" s="316">
        <v>804</v>
      </c>
      <c r="I53" s="316" t="s">
        <v>780</v>
      </c>
      <c r="J53" s="315" t="s">
        <v>819</v>
      </c>
      <c r="K53" s="319" t="s">
        <v>754</v>
      </c>
      <c r="L53" s="319" t="s">
        <v>754</v>
      </c>
      <c r="M53" s="319" t="s">
        <v>754</v>
      </c>
      <c r="N53" s="319" t="s">
        <v>754</v>
      </c>
      <c r="O53" s="319" t="s">
        <v>754</v>
      </c>
      <c r="P53" s="319" t="s">
        <v>754</v>
      </c>
      <c r="Q53" s="319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</row>
    <row r="54" spans="1:36" ht="18" customHeight="1" x14ac:dyDescent="0.25">
      <c r="A54" s="305" t="s">
        <v>897</v>
      </c>
      <c r="B54" s="306" t="s">
        <v>9</v>
      </c>
      <c r="C54" s="307" t="s">
        <v>898</v>
      </c>
      <c r="D54" s="307" t="s">
        <v>749</v>
      </c>
      <c r="E54" s="307">
        <v>1003</v>
      </c>
      <c r="F54" s="309" t="s">
        <v>899</v>
      </c>
      <c r="G54" s="307" t="s">
        <v>900</v>
      </c>
      <c r="H54" s="307">
        <v>363</v>
      </c>
      <c r="I54" s="307" t="s">
        <v>780</v>
      </c>
      <c r="J54" s="306"/>
      <c r="K54" s="325">
        <v>14012.66</v>
      </c>
      <c r="L54" s="325">
        <v>34510.480000000003</v>
      </c>
      <c r="M54" s="325">
        <v>36058.639999999999</v>
      </c>
      <c r="N54" s="325">
        <v>15891.08</v>
      </c>
      <c r="O54" s="325">
        <v>17604.490000000002</v>
      </c>
      <c r="P54" s="325">
        <v>9911.92</v>
      </c>
      <c r="Q54" s="325">
        <v>12188.7</v>
      </c>
      <c r="R54" s="328">
        <v>0</v>
      </c>
      <c r="S54" s="328">
        <v>3993.28</v>
      </c>
      <c r="T54" s="328">
        <v>595.51</v>
      </c>
      <c r="U54" s="328">
        <v>1618.77</v>
      </c>
      <c r="V54" s="328">
        <v>14313.71</v>
      </c>
      <c r="W54" s="328"/>
      <c r="X54" s="328"/>
      <c r="Y54" s="328"/>
      <c r="Z54" s="328"/>
      <c r="AA54" s="328"/>
      <c r="AB54" s="328"/>
      <c r="AC54" s="328"/>
      <c r="AD54" s="328"/>
      <c r="AE54" s="328"/>
      <c r="AF54" s="328"/>
      <c r="AG54" s="328"/>
      <c r="AH54" s="328"/>
      <c r="AI54" s="328"/>
      <c r="AJ54" s="328"/>
    </row>
    <row r="55" spans="1:36" ht="18" customHeight="1" x14ac:dyDescent="0.25">
      <c r="A55" s="305" t="s">
        <v>897</v>
      </c>
      <c r="B55" s="306" t="s">
        <v>9</v>
      </c>
      <c r="C55" s="307" t="s">
        <v>898</v>
      </c>
      <c r="D55" s="307" t="s">
        <v>749</v>
      </c>
      <c r="E55" s="307">
        <v>1599</v>
      </c>
      <c r="F55" s="309" t="s">
        <v>901</v>
      </c>
      <c r="G55" s="307" t="s">
        <v>901</v>
      </c>
      <c r="H55" s="307">
        <v>863</v>
      </c>
      <c r="I55" s="307" t="s">
        <v>780</v>
      </c>
      <c r="J55" s="306"/>
      <c r="K55" s="326">
        <v>291</v>
      </c>
      <c r="L55" s="325">
        <v>212686.98</v>
      </c>
      <c r="M55" s="325">
        <v>212086.58</v>
      </c>
      <c r="N55" s="325">
        <v>943929.16</v>
      </c>
      <c r="O55" s="325">
        <v>1133805.78</v>
      </c>
      <c r="P55" s="325">
        <v>1096008.78</v>
      </c>
      <c r="Q55" s="325">
        <v>1173136.77</v>
      </c>
      <c r="R55" s="328">
        <v>401660.6</v>
      </c>
      <c r="S55" s="328">
        <v>201647.6</v>
      </c>
      <c r="T55" s="328">
        <v>661093.63</v>
      </c>
      <c r="U55" s="328">
        <v>121627.04</v>
      </c>
      <c r="V55" s="328">
        <v>2073594.01</v>
      </c>
      <c r="W55" s="328"/>
      <c r="X55" s="328"/>
      <c r="Y55" s="328"/>
      <c r="Z55" s="328"/>
      <c r="AA55" s="328"/>
      <c r="AB55" s="328"/>
      <c r="AC55" s="328"/>
      <c r="AD55" s="328"/>
      <c r="AE55" s="328"/>
      <c r="AF55" s="328"/>
      <c r="AG55" s="328"/>
      <c r="AH55" s="328"/>
      <c r="AI55" s="328"/>
      <c r="AJ55" s="328"/>
    </row>
    <row r="56" spans="1:36" ht="18" customHeight="1" x14ac:dyDescent="0.25">
      <c r="A56" s="305" t="s">
        <v>897</v>
      </c>
      <c r="B56" s="306" t="s">
        <v>9</v>
      </c>
      <c r="C56" s="307" t="s">
        <v>898</v>
      </c>
      <c r="D56" s="307" t="s">
        <v>773</v>
      </c>
      <c r="E56" s="307">
        <v>5441</v>
      </c>
      <c r="F56" s="309" t="s">
        <v>751</v>
      </c>
      <c r="G56" s="307" t="s">
        <v>902</v>
      </c>
      <c r="H56" s="307">
        <v>99725</v>
      </c>
      <c r="I56" s="307" t="s">
        <v>780</v>
      </c>
      <c r="J56" s="306"/>
      <c r="K56" s="325">
        <v>25014.35</v>
      </c>
      <c r="L56" s="325">
        <v>21954.84</v>
      </c>
      <c r="M56" s="325">
        <v>19226.11</v>
      </c>
      <c r="N56" s="325">
        <v>-28783.57</v>
      </c>
      <c r="O56" s="325">
        <v>34223.25</v>
      </c>
      <c r="P56" s="325">
        <v>131818.75</v>
      </c>
      <c r="Q56" s="325">
        <v>-1358.51</v>
      </c>
      <c r="R56" s="328">
        <v>211270.39999999999</v>
      </c>
      <c r="S56" s="328">
        <v>151759.73000000001</v>
      </c>
      <c r="T56" s="328">
        <v>-25782.080000000002</v>
      </c>
      <c r="U56" s="328">
        <v>-22244.240000000002</v>
      </c>
      <c r="V56" s="328">
        <v>532.67999999999995</v>
      </c>
      <c r="W56" s="328"/>
      <c r="X56" s="328"/>
      <c r="Y56" s="328"/>
      <c r="Z56" s="328"/>
      <c r="AA56" s="328"/>
      <c r="AB56" s="328"/>
      <c r="AC56" s="328"/>
      <c r="AD56" s="328"/>
      <c r="AE56" s="328"/>
      <c r="AF56" s="328"/>
      <c r="AG56" s="328"/>
      <c r="AH56" s="328"/>
      <c r="AI56" s="328"/>
      <c r="AJ56" s="328"/>
    </row>
    <row r="57" spans="1:36" ht="18" customHeight="1" x14ac:dyDescent="0.25">
      <c r="A57" s="321" t="s">
        <v>763</v>
      </c>
      <c r="B57" s="322" t="s">
        <v>764</v>
      </c>
      <c r="C57" s="323" t="s">
        <v>765</v>
      </c>
      <c r="D57" s="323" t="s">
        <v>749</v>
      </c>
      <c r="E57" s="323">
        <v>1003</v>
      </c>
      <c r="F57" s="324" t="s">
        <v>751</v>
      </c>
      <c r="G57" s="323" t="s">
        <v>766</v>
      </c>
      <c r="H57" s="323">
        <v>188</v>
      </c>
      <c r="I57" s="323" t="s">
        <v>767</v>
      </c>
      <c r="J57" s="322" t="s">
        <v>768</v>
      </c>
      <c r="K57" s="310" t="s">
        <v>754</v>
      </c>
      <c r="L57" s="310" t="s">
        <v>754</v>
      </c>
      <c r="M57" s="310" t="s">
        <v>754</v>
      </c>
      <c r="N57" s="310" t="s">
        <v>754</v>
      </c>
      <c r="O57" s="310" t="s">
        <v>754</v>
      </c>
      <c r="P57" s="310" t="s">
        <v>754</v>
      </c>
      <c r="Q57" s="310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</row>
    <row r="58" spans="1:36" ht="18" customHeight="1" x14ac:dyDescent="0.25">
      <c r="A58" s="321" t="s">
        <v>769</v>
      </c>
      <c r="B58" s="322" t="s">
        <v>770</v>
      </c>
      <c r="C58" s="323" t="s">
        <v>771</v>
      </c>
      <c r="D58" s="323" t="s">
        <v>749</v>
      </c>
      <c r="E58" s="323">
        <v>1003</v>
      </c>
      <c r="F58" s="324" t="s">
        <v>751</v>
      </c>
      <c r="G58" s="323" t="s">
        <v>772</v>
      </c>
      <c r="H58" s="323">
        <v>666</v>
      </c>
      <c r="I58" s="323" t="s">
        <v>767</v>
      </c>
      <c r="J58" s="322" t="s">
        <v>768</v>
      </c>
      <c r="K58" s="310" t="s">
        <v>754</v>
      </c>
      <c r="L58" s="310" t="s">
        <v>754</v>
      </c>
      <c r="M58" s="310" t="s">
        <v>754</v>
      </c>
      <c r="N58" s="310" t="s">
        <v>754</v>
      </c>
      <c r="O58" s="310" t="s">
        <v>754</v>
      </c>
      <c r="P58" s="310" t="s">
        <v>754</v>
      </c>
      <c r="Q58" s="310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</row>
    <row r="59" spans="1:36" ht="18" customHeight="1" x14ac:dyDescent="0.25">
      <c r="A59" s="321" t="s">
        <v>769</v>
      </c>
      <c r="B59" s="322" t="s">
        <v>770</v>
      </c>
      <c r="C59" s="323" t="s">
        <v>771</v>
      </c>
      <c r="D59" s="323" t="s">
        <v>773</v>
      </c>
      <c r="E59" s="323">
        <v>2633</v>
      </c>
      <c r="F59" s="324" t="s">
        <v>774</v>
      </c>
      <c r="G59" s="323" t="s">
        <v>751</v>
      </c>
      <c r="H59" s="323">
        <v>97648</v>
      </c>
      <c r="I59" s="323" t="s">
        <v>775</v>
      </c>
      <c r="J59" s="322" t="s">
        <v>768</v>
      </c>
      <c r="K59" s="310" t="s">
        <v>754</v>
      </c>
      <c r="L59" s="310" t="s">
        <v>754</v>
      </c>
      <c r="M59" s="310" t="s">
        <v>754</v>
      </c>
      <c r="N59" s="310" t="s">
        <v>754</v>
      </c>
      <c r="O59" s="310" t="s">
        <v>754</v>
      </c>
      <c r="P59" s="310" t="s">
        <v>754</v>
      </c>
      <c r="Q59" s="310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</row>
    <row r="60" spans="1:36" ht="18" customHeight="1" x14ac:dyDescent="0.25">
      <c r="A60" s="314" t="s">
        <v>759</v>
      </c>
      <c r="B60" s="315" t="s">
        <v>760</v>
      </c>
      <c r="C60" s="316" t="s">
        <v>761</v>
      </c>
      <c r="D60" s="317" t="s">
        <v>762</v>
      </c>
      <c r="E60" s="316" t="s">
        <v>751</v>
      </c>
      <c r="F60" s="318" t="s">
        <v>751</v>
      </c>
      <c r="G60" s="316" t="s">
        <v>751</v>
      </c>
      <c r="H60" s="316" t="s">
        <v>751</v>
      </c>
      <c r="I60" s="316" t="s">
        <v>752</v>
      </c>
      <c r="J60" s="315" t="s">
        <v>758</v>
      </c>
      <c r="K60" s="319" t="s">
        <v>754</v>
      </c>
      <c r="L60" s="319" t="s">
        <v>754</v>
      </c>
      <c r="M60" s="319" t="s">
        <v>754</v>
      </c>
      <c r="N60" s="319" t="s">
        <v>754</v>
      </c>
      <c r="O60" s="319" t="s">
        <v>754</v>
      </c>
      <c r="P60" s="319" t="s">
        <v>754</v>
      </c>
      <c r="Q60" s="319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0"/>
      <c r="AG60" s="320"/>
      <c r="AH60" s="320"/>
      <c r="AI60" s="320"/>
      <c r="AJ60" s="320"/>
    </row>
    <row r="61" spans="1:36" ht="18" customHeight="1" x14ac:dyDescent="0.25">
      <c r="A61" s="305" t="s">
        <v>759</v>
      </c>
      <c r="B61" s="306" t="s">
        <v>760</v>
      </c>
      <c r="C61" s="307" t="s">
        <v>761</v>
      </c>
      <c r="D61" s="307" t="s">
        <v>773</v>
      </c>
      <c r="E61" s="307">
        <v>186</v>
      </c>
      <c r="F61" s="309" t="s">
        <v>785</v>
      </c>
      <c r="G61" s="307" t="s">
        <v>903</v>
      </c>
      <c r="H61" s="307">
        <v>99267</v>
      </c>
      <c r="I61" s="307" t="s">
        <v>780</v>
      </c>
      <c r="J61" s="306"/>
      <c r="K61" s="325">
        <v>14834.73</v>
      </c>
      <c r="L61" s="325">
        <v>2757.94</v>
      </c>
      <c r="M61" s="325">
        <v>1975.02</v>
      </c>
      <c r="N61" s="325">
        <v>8768.09</v>
      </c>
      <c r="O61" s="325">
        <v>1368.4</v>
      </c>
      <c r="P61" s="325">
        <v>2815.62</v>
      </c>
      <c r="Q61" s="325" t="s">
        <v>787</v>
      </c>
      <c r="R61" s="328"/>
      <c r="S61" s="328">
        <v>2013.98</v>
      </c>
      <c r="T61" s="328">
        <v>764.33</v>
      </c>
      <c r="U61" s="328">
        <v>514.36</v>
      </c>
      <c r="V61" s="328">
        <v>14629.83</v>
      </c>
      <c r="W61" s="328"/>
      <c r="X61" s="328"/>
      <c r="Y61" s="328"/>
      <c r="Z61" s="328"/>
      <c r="AA61" s="328"/>
      <c r="AB61" s="328"/>
      <c r="AC61" s="328"/>
      <c r="AD61" s="328"/>
      <c r="AE61" s="328"/>
      <c r="AF61" s="328"/>
      <c r="AG61" s="328"/>
      <c r="AH61" s="328"/>
      <c r="AI61" s="328"/>
      <c r="AJ61" s="328"/>
    </row>
    <row r="62" spans="1:36" ht="18" customHeight="1" x14ac:dyDescent="0.25">
      <c r="A62" s="305" t="s">
        <v>759</v>
      </c>
      <c r="B62" s="306" t="s">
        <v>760</v>
      </c>
      <c r="C62" s="307" t="s">
        <v>761</v>
      </c>
      <c r="D62" s="307" t="s">
        <v>749</v>
      </c>
      <c r="E62" s="307">
        <v>1003</v>
      </c>
      <c r="F62" s="309" t="s">
        <v>751</v>
      </c>
      <c r="G62" s="307" t="s">
        <v>913</v>
      </c>
      <c r="H62" s="307">
        <v>355</v>
      </c>
      <c r="I62" s="307" t="s">
        <v>780</v>
      </c>
      <c r="J62" s="306"/>
      <c r="K62" s="325" t="s">
        <v>852</v>
      </c>
      <c r="L62" s="325"/>
      <c r="M62" s="325"/>
      <c r="N62" s="325"/>
      <c r="O62" s="325">
        <v>0</v>
      </c>
      <c r="P62" s="325">
        <v>0</v>
      </c>
      <c r="Q62" s="325" t="s">
        <v>787</v>
      </c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28"/>
      <c r="AC62" s="328"/>
      <c r="AD62" s="328"/>
      <c r="AE62" s="328"/>
      <c r="AF62" s="328"/>
      <c r="AG62" s="328"/>
      <c r="AH62" s="328"/>
      <c r="AI62" s="328"/>
      <c r="AJ62" s="328"/>
    </row>
    <row r="63" spans="1:36" ht="18" customHeight="1" x14ac:dyDescent="0.25">
      <c r="A63" s="305" t="s">
        <v>904</v>
      </c>
      <c r="B63" s="306" t="s">
        <v>10</v>
      </c>
      <c r="C63" s="307" t="s">
        <v>905</v>
      </c>
      <c r="D63" s="307" t="s">
        <v>749</v>
      </c>
      <c r="E63" s="307">
        <v>1003</v>
      </c>
      <c r="F63" s="309" t="s">
        <v>751</v>
      </c>
      <c r="G63" s="307" t="s">
        <v>906</v>
      </c>
      <c r="H63" s="307">
        <v>827</v>
      </c>
      <c r="I63" s="307" t="s">
        <v>780</v>
      </c>
      <c r="J63" s="306"/>
      <c r="K63" s="325">
        <v>0</v>
      </c>
      <c r="L63" s="325">
        <v>30811.279999999999</v>
      </c>
      <c r="M63" s="325">
        <v>29574.54</v>
      </c>
      <c r="N63" s="325">
        <v>107682.65</v>
      </c>
      <c r="O63" s="325">
        <v>380057.73</v>
      </c>
      <c r="P63" s="325">
        <v>10258.85</v>
      </c>
      <c r="Q63" s="325">
        <v>6834.96</v>
      </c>
      <c r="R63" s="328">
        <v>4524.71</v>
      </c>
      <c r="S63" s="328">
        <v>4738.97</v>
      </c>
      <c r="T63" s="328">
        <v>155.03</v>
      </c>
      <c r="U63" s="328">
        <v>405084.95</v>
      </c>
      <c r="V63" s="328">
        <v>52463.89</v>
      </c>
      <c r="W63" s="328"/>
      <c r="X63" s="328"/>
      <c r="Y63" s="328"/>
      <c r="Z63" s="328"/>
      <c r="AA63" s="328"/>
      <c r="AB63" s="328"/>
      <c r="AC63" s="328"/>
      <c r="AD63" s="328"/>
      <c r="AE63" s="328"/>
      <c r="AF63" s="328"/>
      <c r="AG63" s="328"/>
      <c r="AH63" s="328"/>
      <c r="AI63" s="328"/>
      <c r="AJ63" s="328"/>
    </row>
    <row r="64" spans="1:36" ht="18" customHeight="1" x14ac:dyDescent="0.25">
      <c r="A64" s="305" t="s">
        <v>904</v>
      </c>
      <c r="B64" s="306" t="s">
        <v>10</v>
      </c>
      <c r="C64" s="307" t="s">
        <v>905</v>
      </c>
      <c r="D64" s="307" t="s">
        <v>773</v>
      </c>
      <c r="E64" s="307">
        <v>5441</v>
      </c>
      <c r="F64" s="309" t="s">
        <v>785</v>
      </c>
      <c r="G64" s="307" t="s">
        <v>907</v>
      </c>
      <c r="H64" s="307">
        <v>99715</v>
      </c>
      <c r="I64" s="307" t="s">
        <v>780</v>
      </c>
      <c r="J64" s="306"/>
      <c r="K64" s="325">
        <v>3633.85</v>
      </c>
      <c r="L64" s="325">
        <v>39136.53</v>
      </c>
      <c r="M64" s="325">
        <v>39097.74</v>
      </c>
      <c r="N64" s="325">
        <v>25784.83</v>
      </c>
      <c r="O64" s="325">
        <v>469.26</v>
      </c>
      <c r="P64" s="325">
        <v>603.41999999999996</v>
      </c>
      <c r="Q64" s="325">
        <v>537.33000000000004</v>
      </c>
      <c r="R64" s="328">
        <v>19118.009999999998</v>
      </c>
      <c r="S64" s="328">
        <v>3025.09</v>
      </c>
      <c r="T64" s="328">
        <v>-587.77</v>
      </c>
      <c r="U64" s="328">
        <v>1817.71</v>
      </c>
      <c r="V64" s="328">
        <v>465.48</v>
      </c>
      <c r="W64" s="328"/>
      <c r="X64" s="328"/>
      <c r="Y64" s="328"/>
      <c r="Z64" s="328"/>
      <c r="AA64" s="328"/>
      <c r="AB64" s="328"/>
      <c r="AC64" s="328"/>
      <c r="AD64" s="328"/>
      <c r="AE64" s="328"/>
      <c r="AF64" s="328"/>
      <c r="AG64" s="328"/>
      <c r="AH64" s="328"/>
      <c r="AI64" s="328"/>
      <c r="AJ64" s="328"/>
    </row>
    <row r="65" spans="1:36" ht="18" customHeight="1" x14ac:dyDescent="0.25">
      <c r="A65" s="305" t="s">
        <v>908</v>
      </c>
      <c r="B65" s="306" t="s">
        <v>909</v>
      </c>
      <c r="C65" s="307" t="s">
        <v>910</v>
      </c>
      <c r="D65" s="307" t="s">
        <v>773</v>
      </c>
      <c r="E65" s="307">
        <v>5441</v>
      </c>
      <c r="F65" s="309" t="s">
        <v>785</v>
      </c>
      <c r="G65" s="307" t="s">
        <v>911</v>
      </c>
      <c r="H65" s="307">
        <v>99716</v>
      </c>
      <c r="I65" s="307" t="s">
        <v>780</v>
      </c>
      <c r="J65" s="306"/>
      <c r="K65" s="325">
        <v>100</v>
      </c>
      <c r="L65" s="325">
        <v>218.03</v>
      </c>
      <c r="M65" s="325">
        <v>59.37</v>
      </c>
      <c r="N65" s="325">
        <v>62.9</v>
      </c>
      <c r="O65" s="325">
        <v>0</v>
      </c>
      <c r="P65" s="325">
        <v>0</v>
      </c>
      <c r="Q65" s="325">
        <v>364.9</v>
      </c>
      <c r="R65" s="328">
        <v>1864.9</v>
      </c>
      <c r="S65" s="328">
        <v>1695.92</v>
      </c>
      <c r="T65" s="328">
        <v>948.61</v>
      </c>
      <c r="U65" s="328">
        <v>779.66</v>
      </c>
      <c r="V65" s="328">
        <v>318.52</v>
      </c>
      <c r="W65" s="328"/>
      <c r="X65" s="328"/>
      <c r="Y65" s="328"/>
      <c r="Z65" s="328"/>
      <c r="AA65" s="328"/>
      <c r="AB65" s="328"/>
      <c r="AC65" s="328"/>
      <c r="AD65" s="328"/>
      <c r="AE65" s="328"/>
      <c r="AF65" s="328"/>
      <c r="AG65" s="328"/>
      <c r="AH65" s="328"/>
      <c r="AI65" s="328"/>
      <c r="AJ65" s="328"/>
    </row>
    <row r="66" spans="1:36" ht="18" customHeight="1" x14ac:dyDescent="0.25">
      <c r="A66" s="331" t="s">
        <v>908</v>
      </c>
      <c r="B66" s="332" t="s">
        <v>909</v>
      </c>
      <c r="C66" s="333" t="s">
        <v>910</v>
      </c>
      <c r="D66" s="333" t="s">
        <v>749</v>
      </c>
      <c r="E66" s="333">
        <v>1003</v>
      </c>
      <c r="F66" s="334" t="s">
        <v>751</v>
      </c>
      <c r="G66" s="333" t="s">
        <v>914</v>
      </c>
      <c r="H66" s="333">
        <v>157</v>
      </c>
      <c r="I66" s="333" t="s">
        <v>780</v>
      </c>
      <c r="J66" s="332"/>
      <c r="K66" s="335" t="s">
        <v>852</v>
      </c>
      <c r="L66" s="335"/>
      <c r="M66" s="335"/>
      <c r="N66" s="335"/>
      <c r="O66" s="335">
        <v>0</v>
      </c>
      <c r="P66" s="335">
        <v>0</v>
      </c>
      <c r="Q66" s="335" t="s">
        <v>787</v>
      </c>
      <c r="R66" s="336"/>
      <c r="S66" s="336"/>
      <c r="T66" s="336"/>
      <c r="U66" s="336">
        <v>0</v>
      </c>
      <c r="V66" s="336">
        <v>0</v>
      </c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</row>
    <row r="67" spans="1:36" x14ac:dyDescent="0.25">
      <c r="A67" s="305"/>
      <c r="B67" s="306"/>
      <c r="C67" s="307"/>
      <c r="D67" s="307"/>
      <c r="E67" s="307"/>
      <c r="F67" s="309"/>
      <c r="G67" s="307"/>
      <c r="H67" s="307"/>
      <c r="I67" s="307"/>
      <c r="J67" s="306"/>
      <c r="K67" s="325"/>
      <c r="L67" s="325"/>
      <c r="M67" s="325"/>
      <c r="N67" s="325"/>
      <c r="O67" s="325"/>
      <c r="P67" s="325"/>
      <c r="Q67" s="325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28"/>
      <c r="AC67" s="328"/>
      <c r="AD67" s="328"/>
      <c r="AE67" s="328"/>
      <c r="AF67" s="328"/>
      <c r="AG67" s="328"/>
      <c r="AH67" s="328"/>
      <c r="AI67" s="328"/>
      <c r="AJ67" s="328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f.grupo</vt:lpstr>
      <vt:lpstr>f.mes</vt:lpstr>
      <vt:lpstr>f.empresa</vt:lpstr>
      <vt:lpstr>agenda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caixa</vt:lpstr>
      <vt:lpstr>02-01-26</vt:lpstr>
      <vt:lpstr>02-02-26</vt:lpstr>
      <vt:lpstr>02-03-26</vt:lpstr>
      <vt:lpstr>02-04-26</vt:lpstr>
      <vt:lpstr>04-05-26</vt:lpstr>
      <vt:lpstr>01-06-26</vt:lpstr>
      <vt:lpstr>01-07-26</vt:lpstr>
      <vt:lpstr>caixa0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2026-07-22T16:01:07Z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